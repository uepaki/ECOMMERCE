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HRESHOLDS" sheetId="2" state="visible" r:id="rId2"/>
    <sheet xmlns:r="http://schemas.openxmlformats.org/officeDocument/2006/relationships" name="TRACKER" sheetId="3" state="visible" r:id="rId3"/>
    <sheet xmlns:r="http://schemas.openxmlformats.org/officeDocument/2006/relationships" name="KPI" sheetId="4" state="visible" r:id="rId4"/>
    <sheet xmlns:r="http://schemas.openxmlformats.org/officeDocument/2006/relationships" name="CHECKLIST_ITEMS" sheetId="5" state="visible" r:id="rId5"/>
    <sheet xmlns:r="http://schemas.openxmlformats.org/officeDocument/2006/relationships" name="DETAILED_CHECKLIST" sheetId="6" state="visible" r:id="rId6"/>
    <sheet xmlns:r="http://schemas.openxmlformats.org/officeDocument/2006/relationships" name="ESCALATION_LOG" sheetId="7" state="visible" r:id="rId7"/>
    <sheet xmlns:r="http://schemas.openxmlformats.org/officeDocument/2006/relationships" name="LISTS" sheetId="8" state="visible" r:id="rId8"/>
  </sheets>
  <definedNames>
    <definedName name="_xlnm._FilterDatabase" localSheetId="2" hidden="1">'TRACKER'!$A$1:$AJ$501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FF2CC"/>
      </patternFill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9" fontId="0" fillId="3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Seller Activation Checklist &amp; Conversion Tracker</t>
        </is>
      </c>
    </row>
    <row r="2">
      <c r="A2" s="2" t="inlineStr"/>
    </row>
    <row r="3">
      <c r="A3" s="2" t="inlineStr">
        <is>
          <t>Purpose: track every interested professional from interest to activation, first transaction and repeat activity, and calculate conversion KPIs automatically.</t>
        </is>
      </c>
    </row>
    <row r="4">
      <c r="A4" s="2" t="inlineStr">
        <is>
          <t>How to use: add one row per professional in TRACKER when they become Interested (stage 5 of the funnel). Enter DATES in the white date columns and Y/N in the Y/N columns. Green-header columns are calculated — do not type in them.</t>
        </is>
      </c>
    </row>
    <row r="5">
      <c r="A5" s="2" t="inlineStr">
        <is>
          <t>ACTIVATED = Approved (KYC + store) + Profile completed + First listing live + Payout details complete + Account standing OK. Recorded automatically with the activation date.</t>
        </is>
      </c>
    </row>
    <row r="6">
      <c r="A6" s="2" t="inlineStr">
        <is>
          <t>Thresholds in THRESHOLDS are DIAGNOSTIC TEST THRESHOLDS — not Uepaki benchmarks. Replace them with observed rates after Waves 0–1.</t>
        </is>
      </c>
    </row>
    <row r="7">
      <c r="A7" s="2" t="inlineStr">
        <is>
          <t>Items marked CONFIRM in CHECKLIST_ITEMS depend on product behaviour not yet verified in the live flow (KYC checks Q-KYC/CA-KYC; EV-09 launch features). Confirm before Wave 0.</t>
        </is>
      </c>
    </row>
    <row r="8">
      <c r="A8" s="2" t="inlineStr">
        <is>
          <t>GST flag: in the current code, order placement requires a verified, active GSTIN (EV-01 c). The flag prompts an escalation — staff must not give tax advice.</t>
        </is>
      </c>
    </row>
    <row r="9">
      <c r="A9" s="2" t="inlineStr">
        <is>
          <t>Founding column applies the PROPOSED qualifying rule (registration completed + approved + first live listing). It is not in effect until the founder decides FP-QUAL.</t>
        </is>
      </c>
    </row>
    <row r="10">
      <c r="A10" s="2" t="inlineStr">
        <is>
          <t>No contact details are stored here. Use Prospect ID / Seller ID to link to the master database and the admin system.</t>
        </is>
      </c>
    </row>
    <row r="11">
      <c r="A11" s="2" t="inlineStr">
        <is>
          <t>Sheets: TRACKER · KPI · THRESHOLDS · CHECKLIST_ITEMS · DETAILED_CHECKLIST (printable, one professional) · ESCALATION_LOG · 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3" t="inlineStr">
        <is>
          <t>Diagnostic TEST thresholds — not Uepaki benchmarks. Edit after Waves 0–1.</t>
        </is>
      </c>
    </row>
    <row r="2">
      <c r="A2" s="4" t="inlineStr">
        <is>
          <t>Conversion</t>
        </is>
      </c>
      <c r="B2" s="4" t="inlineStr">
        <is>
          <t>Investigate if below</t>
        </is>
      </c>
      <c r="C2" s="4" t="inlineStr">
        <is>
          <t>Healthy signal at or above</t>
        </is>
      </c>
      <c r="D2" s="4" t="inlineStr">
        <is>
          <t>Window (days)</t>
        </is>
      </c>
      <c r="E2" s="4" t="inlineStr">
        <is>
          <t>Note</t>
        </is>
      </c>
    </row>
    <row r="3">
      <c r="A3" t="inlineStr">
        <is>
          <t>Interested → Registration completed</t>
        </is>
      </c>
      <c r="B3" s="5" t="n">
        <v>0.3</v>
      </c>
      <c r="C3" s="5" t="n">
        <v>0.5</v>
      </c>
      <c r="D3" t="n">
        <v>14</v>
      </c>
      <c r="E3" t="inlineStr"/>
    </row>
    <row r="4">
      <c r="A4" t="inlineStr">
        <is>
          <t>Registration → Approved</t>
        </is>
      </c>
      <c r="B4" s="5" t="n">
        <v>0.7</v>
      </c>
      <c r="C4" s="5" t="n">
        <v>0.85</v>
      </c>
      <c r="D4" t="n">
        <v>7</v>
      </c>
      <c r="E4" t="inlineStr">
        <is>
          <t>Also investigate if median approval &gt; 3 business days</t>
        </is>
      </c>
    </row>
    <row r="5">
      <c r="A5" t="inlineStr">
        <is>
          <t>Approved → Profile completed</t>
        </is>
      </c>
      <c r="B5" s="5" t="n">
        <v>0.6</v>
      </c>
      <c r="C5" s="5" t="n">
        <v>0.8</v>
      </c>
      <c r="D5" t="n">
        <v>7</v>
      </c>
      <c r="E5" t="inlineStr"/>
    </row>
    <row r="6">
      <c r="A6" t="inlineStr">
        <is>
          <t>Profile → First listing</t>
        </is>
      </c>
      <c r="B6" s="5" t="n">
        <v>0.7</v>
      </c>
      <c r="C6" s="5" t="n">
        <v>0.9</v>
      </c>
      <c r="D6" t="n">
        <v>7</v>
      </c>
      <c r="E6" t="inlineStr"/>
    </row>
    <row r="7">
      <c r="A7" t="inlineStr">
        <is>
          <t>First listing → Activated</t>
        </is>
      </c>
      <c r="B7" s="5" t="n">
        <v>0.8</v>
      </c>
      <c r="C7" s="5" t="n">
        <v>0.95</v>
      </c>
      <c r="D7" t="n">
        <v>7</v>
      </c>
      <c r="E7" t="inlineStr"/>
    </row>
    <row r="8">
      <c r="A8" t="inlineStr">
        <is>
          <t>Activated → First transaction</t>
        </is>
      </c>
      <c r="B8" s="5" t="n"/>
      <c r="C8" s="5" t="n"/>
      <c r="D8" t="n">
        <v>30</v>
      </c>
      <c r="E8" t="inlineStr">
        <is>
          <t>Post-launch; measure first, then set</t>
        </is>
      </c>
    </row>
    <row r="9">
      <c r="A9" t="inlineStr">
        <is>
          <t>First transaction → Repeat</t>
        </is>
      </c>
      <c r="B9" s="5" t="n"/>
      <c r="C9" s="5" t="n"/>
      <c r="D9" t="n">
        <v>60</v>
      </c>
      <c r="E9" t="inlineStr">
        <is>
          <t>Measure first</t>
        </is>
      </c>
    </row>
    <row r="10">
      <c r="A10" t="inlineStr">
        <is>
          <t>Interested → Activated (overall)</t>
        </is>
      </c>
      <c r="B10" s="5" t="n">
        <v>0.25</v>
      </c>
      <c r="C10" s="5" t="n">
        <v>0.4</v>
      </c>
      <c r="D10" t="n">
        <v>30</v>
      </c>
      <c r="E10" t="inlineStr"/>
    </row>
    <row r="11">
      <c r="A11" t="inlineStr">
        <is>
          <t>Minimum cohort size to read a rate</t>
        </is>
      </c>
      <c r="B11" s="6" t="n">
        <v>10</v>
      </c>
      <c r="C11" s="6" t="n"/>
      <c r="E11" t="inlineStr">
        <is>
          <t>Below this: "Insufficient data"</t>
        </is>
      </c>
    </row>
    <row r="12">
      <c r="A12" t="inlineStr">
        <is>
          <t>Days in one stage before STUCK alert</t>
        </is>
      </c>
      <c r="B12" s="6" t="n">
        <v>3</v>
      </c>
      <c r="C12" s="6" t="n"/>
      <c r="E12" t="inlineStr">
        <is>
          <t>Operational alert</t>
        </is>
      </c>
    </row>
    <row r="13">
      <c r="A13" t="inlineStr">
        <is>
          <t>Median days registration → approval: investigate above</t>
        </is>
      </c>
      <c r="B13" s="6" t="n">
        <v>3</v>
      </c>
      <c r="C13" s="6" t="n"/>
      <c r="E13" t="inlineStr">
        <is>
          <t>Calendar days used as proxy for business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0" customWidth="1" min="25" max="25"/>
    <col width="14" customWidth="1" min="26" max="26"/>
    <col width="14" customWidth="1" min="27" max="27"/>
    <col width="22" customWidth="1" min="28" max="28"/>
    <col width="14" customWidth="1" min="29" max="29"/>
    <col width="14" customWidth="1" min="30" max="30"/>
    <col width="14" customWidth="1" min="31" max="31"/>
    <col width="40" customWidth="1" min="32" max="32"/>
    <col width="14" customWidth="1" min="33" max="33"/>
    <col width="14" customWidth="1" min="34" max="34"/>
    <col width="14" customWidth="1" min="35" max="35"/>
    <col width="24" customWidth="1" min="36" max="36"/>
  </cols>
  <sheetData>
    <row r="1" ht="60" customHeight="1">
      <c r="A1" s="7" t="inlineStr">
        <is>
          <t>Prospect / Seller ID</t>
        </is>
      </c>
      <c r="B1" s="7" t="inlineStr">
        <is>
          <t>Name (as they use it)</t>
        </is>
      </c>
      <c r="C1" s="7" t="inlineStr">
        <is>
          <t>Category</t>
        </is>
      </c>
      <c r="D1" s="7" t="inlineStr">
        <is>
          <t>City</t>
        </is>
      </c>
      <c r="E1" s="7" t="inlineStr">
        <is>
          <t>Wave / source</t>
        </is>
      </c>
      <c r="F1" s="7" t="inlineStr">
        <is>
          <t>Owner</t>
        </is>
      </c>
      <c r="G1" s="7" t="inlineStr">
        <is>
          <t>Interested date</t>
        </is>
      </c>
      <c r="H1" s="7" t="inlineStr">
        <is>
          <t>Information sent date</t>
        </is>
      </c>
      <c r="I1" s="7" t="inlineStr">
        <is>
          <t>Readiness check done (Y/N)</t>
        </is>
      </c>
      <c r="J1" s="7" t="inlineStr">
        <is>
          <t>GSTIN status</t>
        </is>
      </c>
      <c r="K1" s="7" t="inlineStr">
        <is>
          <t>Registration started date</t>
        </is>
      </c>
      <c r="L1" s="7" t="inlineStr">
        <is>
          <t>Registration completed date (₹1 + GST paid)</t>
        </is>
      </c>
      <c r="M1" s="7" t="inlineStr">
        <is>
          <t>KYC submitted date</t>
        </is>
      </c>
      <c r="N1" s="7" t="inlineStr">
        <is>
          <t>Approved date (KYC + store)</t>
        </is>
      </c>
      <c r="O1" s="7" t="inlineStr">
        <is>
          <t>Profile completed date</t>
        </is>
      </c>
      <c r="P1" s="7" t="inlineStr">
        <is>
          <t>Portfolio ≥ 6 images (Y/N)</t>
        </is>
      </c>
      <c r="Q1" s="7" t="inlineStr">
        <is>
          <t>First listing live date</t>
        </is>
      </c>
      <c r="R1" s="7" t="inlineStr">
        <is>
          <t>Payout details complete date</t>
        </is>
      </c>
      <c r="S1" s="7" t="inlineStr">
        <is>
          <t>Account standing OK (Y/N)</t>
        </is>
      </c>
      <c r="T1" s="7" t="inlineStr">
        <is>
          <t>Consent: named to peers (Y/N)</t>
        </is>
      </c>
      <c r="U1" s="7" t="inlineStr">
        <is>
          <t>Consent: social promotion (Y/N)</t>
        </is>
      </c>
      <c r="V1" s="7" t="inlineStr">
        <is>
          <t>Consent: WhatsApp updates (Y/N)</t>
        </is>
      </c>
      <c r="W1" s="7" t="inlineStr">
        <is>
          <t>First enquiry/order/booking date</t>
        </is>
      </c>
      <c r="X1" s="7" t="inlineStr">
        <is>
          <t>Repeat activity date</t>
        </is>
      </c>
      <c r="Y1" s="7" t="inlineStr">
        <is>
          <t>Notes</t>
        </is>
      </c>
      <c r="Z1" s="8" t="inlineStr">
        <is>
          <t>ACTIVATED?</t>
        </is>
      </c>
      <c r="AA1" s="8" t="inlineStr">
        <is>
          <t>Activation date</t>
        </is>
      </c>
      <c r="AB1" s="8" t="inlineStr">
        <is>
          <t>Current stage</t>
        </is>
      </c>
      <c r="AC1" s="8" t="inlineStr">
        <is>
          <t>Checklist completion</t>
        </is>
      </c>
      <c r="AD1" s="8" t="inlineStr">
        <is>
          <t>Days since last step</t>
        </is>
      </c>
      <c r="AE1" s="8" t="inlineStr">
        <is>
          <t>Alert</t>
        </is>
      </c>
      <c r="AF1" s="8" t="inlineStr">
        <is>
          <t>GST flag</t>
        </is>
      </c>
      <c r="AG1" s="8" t="inlineStr">
        <is>
          <t>Days interested → registered</t>
        </is>
      </c>
      <c r="AH1" s="8" t="inlineStr">
        <is>
          <t>Days registered → approved</t>
        </is>
      </c>
      <c r="AI1" s="8" t="inlineStr">
        <is>
          <t>Days approved → activated</t>
        </is>
      </c>
      <c r="AJ1" s="8" t="inlineStr">
        <is>
          <t>Founding (proposed FP-QUAL)</t>
        </is>
      </c>
    </row>
    <row r="2">
      <c r="G2" s="9" t="n"/>
      <c r="H2" s="9" t="n"/>
      <c r="K2" s="9" t="n"/>
      <c r="L2" s="9" t="n"/>
      <c r="M2" s="9" t="n"/>
      <c r="N2" s="9" t="n"/>
      <c r="O2" s="9" t="n"/>
      <c r="Q2" s="9" t="n"/>
      <c r="R2" s="9" t="n"/>
      <c r="W2" s="9" t="n"/>
      <c r="X2" s="9" t="n"/>
      <c r="Z2">
        <f>IF(A2="","",IF(AND(N2&lt;&gt;"",O2&lt;&gt;"",Q2&lt;&gt;"",R2&lt;&gt;"",S2="Y"),"YES","no"))</f>
        <v/>
      </c>
      <c r="AA2" s="9">
        <f>IF(Z2="YES",MAX(N2,O2,Q2,R2),"")</f>
        <v/>
      </c>
      <c r="AB2">
        <f>IF(A2="","",IF(X2&lt;&gt;"","13 Repeat activity",IF(W2&lt;&gt;"","12 First enquiry/order/booking",IF(Z2="YES","11 ACTIVATED",IF(Q2&lt;&gt;"","10 First listing live",IF(O2&lt;&gt;"","9 Profile completed",IF(N2&lt;&gt;"","8 Approved",IF(M2&lt;&gt;"","7 KYC submitted",IF(L2&lt;&gt;"","6 Registration completed",IF(K2&lt;&gt;"","5b Registration started",IF(H2&lt;&gt;"","5a Information sent",IF(G2&lt;&gt;"","5 Interested","—"))))))))))))</f>
        <v/>
      </c>
      <c r="AC2" s="10">
        <f>IF(A2="","",(COUNT(G2,H2,K2,L2,M2,N2,O2,Q2,R2)+(I2="Y")+(P2="Y")+(S2="Y"))/12)</f>
        <v/>
      </c>
      <c r="AD2">
        <f>IF(OR(A2="",COUNT(G2:X2)=0),"",TODAY()-MAX(G2,H2,K2,L2,M2,N2,O2,Q2,R2,W2,X2))</f>
        <v/>
      </c>
      <c r="AE2">
        <f>IF(A2="","",IF(AND(Z2&lt;&gt;"YES",AD2&lt;&gt;"",AD2&gt;THRESHOLDS!$B$12),"STUCK — act today",""))</f>
        <v/>
      </c>
      <c r="AF2">
        <f>IF(A2="","",IF(J2="Active (verified)","",IF(J2="","Ask GST status (readiness R2)","Escalate to founder: orders need verified GSTIN in current code — no tax advice")))</f>
        <v/>
      </c>
      <c r="AG2">
        <f>IF(AND(G2&lt;&gt;"",L2&lt;&gt;""),L2-G2,"")</f>
        <v/>
      </c>
      <c r="AH2">
        <f>IF(AND(L2&lt;&gt;"",N2&lt;&gt;""),N2-L2,"")</f>
        <v/>
      </c>
      <c r="AI2">
        <f>IF(AND(N2&lt;&gt;"",AA2&lt;&gt;""),AA2-N2,"")</f>
        <v/>
      </c>
      <c r="AJ2">
        <f>IF(AND(L2&lt;&gt;"",N2&lt;&gt;"",Q2&lt;&gt;""),"Qualifies (if FP-QUAL adopted)","")</f>
        <v/>
      </c>
    </row>
    <row r="3">
      <c r="G3" s="9" t="n"/>
      <c r="H3" s="9" t="n"/>
      <c r="K3" s="9" t="n"/>
      <c r="L3" s="9" t="n"/>
      <c r="M3" s="9" t="n"/>
      <c r="N3" s="9" t="n"/>
      <c r="O3" s="9" t="n"/>
      <c r="Q3" s="9" t="n"/>
      <c r="R3" s="9" t="n"/>
      <c r="W3" s="9" t="n"/>
      <c r="X3" s="9" t="n"/>
      <c r="Z3">
        <f>IF(A3="","",IF(AND(N3&lt;&gt;"",O3&lt;&gt;"",Q3&lt;&gt;"",R3&lt;&gt;"",S3="Y"),"YES","no"))</f>
        <v/>
      </c>
      <c r="AA3" s="9">
        <f>IF(Z3="YES",MAX(N3,O3,Q3,R3),"")</f>
        <v/>
      </c>
      <c r="AB3">
        <f>IF(A3="","",IF(X3&lt;&gt;"","13 Repeat activity",IF(W3&lt;&gt;"","12 First enquiry/order/booking",IF(Z3="YES","11 ACTIVATED",IF(Q3&lt;&gt;"","10 First listing live",IF(O3&lt;&gt;"","9 Profile completed",IF(N3&lt;&gt;"","8 Approved",IF(M3&lt;&gt;"","7 KYC submitted",IF(L3&lt;&gt;"","6 Registration completed",IF(K3&lt;&gt;"","5b Registration started",IF(H3&lt;&gt;"","5a Information sent",IF(G3&lt;&gt;"","5 Interested","—"))))))))))))</f>
        <v/>
      </c>
      <c r="AC3" s="10">
        <f>IF(A3="","",(COUNT(G3,H3,K3,L3,M3,N3,O3,Q3,R3)+(I3="Y")+(P3="Y")+(S3="Y"))/12)</f>
        <v/>
      </c>
      <c r="AD3">
        <f>IF(OR(A3="",COUNT(G3:X3)=0),"",TODAY()-MAX(G3,H3,K3,L3,M3,N3,O3,Q3,R3,W3,X3))</f>
        <v/>
      </c>
      <c r="AE3">
        <f>IF(A3="","",IF(AND(Z3&lt;&gt;"YES",AD3&lt;&gt;"",AD3&gt;THRESHOLDS!$B$12),"STUCK — act today",""))</f>
        <v/>
      </c>
      <c r="AF3">
        <f>IF(A3="","",IF(J3="Active (verified)","",IF(J3="","Ask GST status (readiness R2)","Escalate to founder: orders need verified GSTIN in current code — no tax advice")))</f>
        <v/>
      </c>
      <c r="AG3">
        <f>IF(AND(G3&lt;&gt;"",L3&lt;&gt;""),L3-G3,"")</f>
        <v/>
      </c>
      <c r="AH3">
        <f>IF(AND(L3&lt;&gt;"",N3&lt;&gt;""),N3-L3,"")</f>
        <v/>
      </c>
      <c r="AI3">
        <f>IF(AND(N3&lt;&gt;"",AA3&lt;&gt;""),AA3-N3,"")</f>
        <v/>
      </c>
      <c r="AJ3">
        <f>IF(AND(L3&lt;&gt;"",N3&lt;&gt;"",Q3&lt;&gt;""),"Qualifies (if FP-QUAL adopted)","")</f>
        <v/>
      </c>
    </row>
    <row r="4">
      <c r="G4" s="9" t="n"/>
      <c r="H4" s="9" t="n"/>
      <c r="K4" s="9" t="n"/>
      <c r="L4" s="9" t="n"/>
      <c r="M4" s="9" t="n"/>
      <c r="N4" s="9" t="n"/>
      <c r="O4" s="9" t="n"/>
      <c r="Q4" s="9" t="n"/>
      <c r="R4" s="9" t="n"/>
      <c r="W4" s="9" t="n"/>
      <c r="X4" s="9" t="n"/>
      <c r="Z4">
        <f>IF(A4="","",IF(AND(N4&lt;&gt;"",O4&lt;&gt;"",Q4&lt;&gt;"",R4&lt;&gt;"",S4="Y"),"YES","no"))</f>
        <v/>
      </c>
      <c r="AA4" s="9">
        <f>IF(Z4="YES",MAX(N4,O4,Q4,R4),"")</f>
        <v/>
      </c>
      <c r="AB4">
        <f>IF(A4="","",IF(X4&lt;&gt;"","13 Repeat activity",IF(W4&lt;&gt;"","12 First enquiry/order/booking",IF(Z4="YES","11 ACTIVATED",IF(Q4&lt;&gt;"","10 First listing live",IF(O4&lt;&gt;"","9 Profile completed",IF(N4&lt;&gt;"","8 Approved",IF(M4&lt;&gt;"","7 KYC submitted",IF(L4&lt;&gt;"","6 Registration completed",IF(K4&lt;&gt;"","5b Registration started",IF(H4&lt;&gt;"","5a Information sent",IF(G4&lt;&gt;"","5 Interested","—"))))))))))))</f>
        <v/>
      </c>
      <c r="AC4" s="10">
        <f>IF(A4="","",(COUNT(G4,H4,K4,L4,M4,N4,O4,Q4,R4)+(I4="Y")+(P4="Y")+(S4="Y"))/12)</f>
        <v/>
      </c>
      <c r="AD4">
        <f>IF(OR(A4="",COUNT(G4:X4)=0),"",TODAY()-MAX(G4,H4,K4,L4,M4,N4,O4,Q4,R4,W4,X4))</f>
        <v/>
      </c>
      <c r="AE4">
        <f>IF(A4="","",IF(AND(Z4&lt;&gt;"YES",AD4&lt;&gt;"",AD4&gt;THRESHOLDS!$B$12),"STUCK — act today",""))</f>
        <v/>
      </c>
      <c r="AF4">
        <f>IF(A4="","",IF(J4="Active (verified)","",IF(J4="","Ask GST status (readiness R2)","Escalate to founder: orders need verified GSTIN in current code — no tax advice")))</f>
        <v/>
      </c>
      <c r="AG4">
        <f>IF(AND(G4&lt;&gt;"",L4&lt;&gt;""),L4-G4,"")</f>
        <v/>
      </c>
      <c r="AH4">
        <f>IF(AND(L4&lt;&gt;"",N4&lt;&gt;""),N4-L4,"")</f>
        <v/>
      </c>
      <c r="AI4">
        <f>IF(AND(N4&lt;&gt;"",AA4&lt;&gt;""),AA4-N4,"")</f>
        <v/>
      </c>
      <c r="AJ4">
        <f>IF(AND(L4&lt;&gt;"",N4&lt;&gt;"",Q4&lt;&gt;""),"Qualifies (if FP-QUAL adopted)","")</f>
        <v/>
      </c>
    </row>
    <row r="5">
      <c r="G5" s="9" t="n"/>
      <c r="H5" s="9" t="n"/>
      <c r="K5" s="9" t="n"/>
      <c r="L5" s="9" t="n"/>
      <c r="M5" s="9" t="n"/>
      <c r="N5" s="9" t="n"/>
      <c r="O5" s="9" t="n"/>
      <c r="Q5" s="9" t="n"/>
      <c r="R5" s="9" t="n"/>
      <c r="W5" s="9" t="n"/>
      <c r="X5" s="9" t="n"/>
      <c r="Z5">
        <f>IF(A5="","",IF(AND(N5&lt;&gt;"",O5&lt;&gt;"",Q5&lt;&gt;"",R5&lt;&gt;"",S5="Y"),"YES","no"))</f>
        <v/>
      </c>
      <c r="AA5" s="9">
        <f>IF(Z5="YES",MAX(N5,O5,Q5,R5),"")</f>
        <v/>
      </c>
      <c r="AB5">
        <f>IF(A5="","",IF(X5&lt;&gt;"","13 Repeat activity",IF(W5&lt;&gt;"","12 First enquiry/order/booking",IF(Z5="YES","11 ACTIVATED",IF(Q5&lt;&gt;"","10 First listing live",IF(O5&lt;&gt;"","9 Profile completed",IF(N5&lt;&gt;"","8 Approved",IF(M5&lt;&gt;"","7 KYC submitted",IF(L5&lt;&gt;"","6 Registration completed",IF(K5&lt;&gt;"","5b Registration started",IF(H5&lt;&gt;"","5a Information sent",IF(G5&lt;&gt;"","5 Interested","—"))))))))))))</f>
        <v/>
      </c>
      <c r="AC5" s="10">
        <f>IF(A5="","",(COUNT(G5,H5,K5,L5,M5,N5,O5,Q5,R5)+(I5="Y")+(P5="Y")+(S5="Y"))/12)</f>
        <v/>
      </c>
      <c r="AD5">
        <f>IF(OR(A5="",COUNT(G5:X5)=0),"",TODAY()-MAX(G5,H5,K5,L5,M5,N5,O5,Q5,R5,W5,X5))</f>
        <v/>
      </c>
      <c r="AE5">
        <f>IF(A5="","",IF(AND(Z5&lt;&gt;"YES",AD5&lt;&gt;"",AD5&gt;THRESHOLDS!$B$12),"STUCK — act today",""))</f>
        <v/>
      </c>
      <c r="AF5">
        <f>IF(A5="","",IF(J5="Active (verified)","",IF(J5="","Ask GST status (readiness R2)","Escalate to founder: orders need verified GSTIN in current code — no tax advice")))</f>
        <v/>
      </c>
      <c r="AG5">
        <f>IF(AND(G5&lt;&gt;"",L5&lt;&gt;""),L5-G5,"")</f>
        <v/>
      </c>
      <c r="AH5">
        <f>IF(AND(L5&lt;&gt;"",N5&lt;&gt;""),N5-L5,"")</f>
        <v/>
      </c>
      <c r="AI5">
        <f>IF(AND(N5&lt;&gt;"",AA5&lt;&gt;""),AA5-N5,"")</f>
        <v/>
      </c>
      <c r="AJ5">
        <f>IF(AND(L5&lt;&gt;"",N5&lt;&gt;"",Q5&lt;&gt;""),"Qualifies (if FP-QUAL adopted)","")</f>
        <v/>
      </c>
    </row>
    <row r="6">
      <c r="G6" s="9" t="n"/>
      <c r="H6" s="9" t="n"/>
      <c r="K6" s="9" t="n"/>
      <c r="L6" s="9" t="n"/>
      <c r="M6" s="9" t="n"/>
      <c r="N6" s="9" t="n"/>
      <c r="O6" s="9" t="n"/>
      <c r="Q6" s="9" t="n"/>
      <c r="R6" s="9" t="n"/>
      <c r="W6" s="9" t="n"/>
      <c r="X6" s="9" t="n"/>
      <c r="Z6">
        <f>IF(A6="","",IF(AND(N6&lt;&gt;"",O6&lt;&gt;"",Q6&lt;&gt;"",R6&lt;&gt;"",S6="Y"),"YES","no"))</f>
        <v/>
      </c>
      <c r="AA6" s="9">
        <f>IF(Z6="YES",MAX(N6,O6,Q6,R6),"")</f>
        <v/>
      </c>
      <c r="AB6">
        <f>IF(A6="","",IF(X6&lt;&gt;"","13 Repeat activity",IF(W6&lt;&gt;"","12 First enquiry/order/booking",IF(Z6="YES","11 ACTIVATED",IF(Q6&lt;&gt;"","10 First listing live",IF(O6&lt;&gt;"","9 Profile completed",IF(N6&lt;&gt;"","8 Approved",IF(M6&lt;&gt;"","7 KYC submitted",IF(L6&lt;&gt;"","6 Registration completed",IF(K6&lt;&gt;"","5b Registration started",IF(H6&lt;&gt;"","5a Information sent",IF(G6&lt;&gt;"","5 Interested","—"))))))))))))</f>
        <v/>
      </c>
      <c r="AC6" s="10">
        <f>IF(A6="","",(COUNT(G6,H6,K6,L6,M6,N6,O6,Q6,R6)+(I6="Y")+(P6="Y")+(S6="Y"))/12)</f>
        <v/>
      </c>
      <c r="AD6">
        <f>IF(OR(A6="",COUNT(G6:X6)=0),"",TODAY()-MAX(G6,H6,K6,L6,M6,N6,O6,Q6,R6,W6,X6))</f>
        <v/>
      </c>
      <c r="AE6">
        <f>IF(A6="","",IF(AND(Z6&lt;&gt;"YES",AD6&lt;&gt;"",AD6&gt;THRESHOLDS!$B$12),"STUCK — act today",""))</f>
        <v/>
      </c>
      <c r="AF6">
        <f>IF(A6="","",IF(J6="Active (verified)","",IF(J6="","Ask GST status (readiness R2)","Escalate to founder: orders need verified GSTIN in current code — no tax advice")))</f>
        <v/>
      </c>
      <c r="AG6">
        <f>IF(AND(G6&lt;&gt;"",L6&lt;&gt;""),L6-G6,"")</f>
        <v/>
      </c>
      <c r="AH6">
        <f>IF(AND(L6&lt;&gt;"",N6&lt;&gt;""),N6-L6,"")</f>
        <v/>
      </c>
      <c r="AI6">
        <f>IF(AND(N6&lt;&gt;"",AA6&lt;&gt;""),AA6-N6,"")</f>
        <v/>
      </c>
      <c r="AJ6">
        <f>IF(AND(L6&lt;&gt;"",N6&lt;&gt;"",Q6&lt;&gt;""),"Qualifies (if FP-QUAL adopted)","")</f>
        <v/>
      </c>
    </row>
    <row r="7">
      <c r="G7" s="9" t="n"/>
      <c r="H7" s="9" t="n"/>
      <c r="K7" s="9" t="n"/>
      <c r="L7" s="9" t="n"/>
      <c r="M7" s="9" t="n"/>
      <c r="N7" s="9" t="n"/>
      <c r="O7" s="9" t="n"/>
      <c r="Q7" s="9" t="n"/>
      <c r="R7" s="9" t="n"/>
      <c r="W7" s="9" t="n"/>
      <c r="X7" s="9" t="n"/>
      <c r="Z7">
        <f>IF(A7="","",IF(AND(N7&lt;&gt;"",O7&lt;&gt;"",Q7&lt;&gt;"",R7&lt;&gt;"",S7="Y"),"YES","no"))</f>
        <v/>
      </c>
      <c r="AA7" s="9">
        <f>IF(Z7="YES",MAX(N7,O7,Q7,R7),"")</f>
        <v/>
      </c>
      <c r="AB7">
        <f>IF(A7="","",IF(X7&lt;&gt;"","13 Repeat activity",IF(W7&lt;&gt;"","12 First enquiry/order/booking",IF(Z7="YES","11 ACTIVATED",IF(Q7&lt;&gt;"","10 First listing live",IF(O7&lt;&gt;"","9 Profile completed",IF(N7&lt;&gt;"","8 Approved",IF(M7&lt;&gt;"","7 KYC submitted",IF(L7&lt;&gt;"","6 Registration completed",IF(K7&lt;&gt;"","5b Registration started",IF(H7&lt;&gt;"","5a Information sent",IF(G7&lt;&gt;"","5 Interested","—"))))))))))))</f>
        <v/>
      </c>
      <c r="AC7" s="10">
        <f>IF(A7="","",(COUNT(G7,H7,K7,L7,M7,N7,O7,Q7,R7)+(I7="Y")+(P7="Y")+(S7="Y"))/12)</f>
        <v/>
      </c>
      <c r="AD7">
        <f>IF(OR(A7="",COUNT(G7:X7)=0),"",TODAY()-MAX(G7,H7,K7,L7,M7,N7,O7,Q7,R7,W7,X7))</f>
        <v/>
      </c>
      <c r="AE7">
        <f>IF(A7="","",IF(AND(Z7&lt;&gt;"YES",AD7&lt;&gt;"",AD7&gt;THRESHOLDS!$B$12),"STUCK — act today",""))</f>
        <v/>
      </c>
      <c r="AF7">
        <f>IF(A7="","",IF(J7="Active (verified)","",IF(J7="","Ask GST status (readiness R2)","Escalate to founder: orders need verified GSTIN in current code — no tax advice")))</f>
        <v/>
      </c>
      <c r="AG7">
        <f>IF(AND(G7&lt;&gt;"",L7&lt;&gt;""),L7-G7,"")</f>
        <v/>
      </c>
      <c r="AH7">
        <f>IF(AND(L7&lt;&gt;"",N7&lt;&gt;""),N7-L7,"")</f>
        <v/>
      </c>
      <c r="AI7">
        <f>IF(AND(N7&lt;&gt;"",AA7&lt;&gt;""),AA7-N7,"")</f>
        <v/>
      </c>
      <c r="AJ7">
        <f>IF(AND(L7&lt;&gt;"",N7&lt;&gt;"",Q7&lt;&gt;""),"Qualifies (if FP-QUAL adopted)","")</f>
        <v/>
      </c>
    </row>
    <row r="8">
      <c r="G8" s="9" t="n"/>
      <c r="H8" s="9" t="n"/>
      <c r="K8" s="9" t="n"/>
      <c r="L8" s="9" t="n"/>
      <c r="M8" s="9" t="n"/>
      <c r="N8" s="9" t="n"/>
      <c r="O8" s="9" t="n"/>
      <c r="Q8" s="9" t="n"/>
      <c r="R8" s="9" t="n"/>
      <c r="W8" s="9" t="n"/>
      <c r="X8" s="9" t="n"/>
      <c r="Z8">
        <f>IF(A8="","",IF(AND(N8&lt;&gt;"",O8&lt;&gt;"",Q8&lt;&gt;"",R8&lt;&gt;"",S8="Y"),"YES","no"))</f>
        <v/>
      </c>
      <c r="AA8" s="9">
        <f>IF(Z8="YES",MAX(N8,O8,Q8,R8),"")</f>
        <v/>
      </c>
      <c r="AB8">
        <f>IF(A8="","",IF(X8&lt;&gt;"","13 Repeat activity",IF(W8&lt;&gt;"","12 First enquiry/order/booking",IF(Z8="YES","11 ACTIVATED",IF(Q8&lt;&gt;"","10 First listing live",IF(O8&lt;&gt;"","9 Profile completed",IF(N8&lt;&gt;"","8 Approved",IF(M8&lt;&gt;"","7 KYC submitted",IF(L8&lt;&gt;"","6 Registration completed",IF(K8&lt;&gt;"","5b Registration started",IF(H8&lt;&gt;"","5a Information sent",IF(G8&lt;&gt;"","5 Interested","—"))))))))))))</f>
        <v/>
      </c>
      <c r="AC8" s="10">
        <f>IF(A8="","",(COUNT(G8,H8,K8,L8,M8,N8,O8,Q8,R8)+(I8="Y")+(P8="Y")+(S8="Y"))/12)</f>
        <v/>
      </c>
      <c r="AD8">
        <f>IF(OR(A8="",COUNT(G8:X8)=0),"",TODAY()-MAX(G8,H8,K8,L8,M8,N8,O8,Q8,R8,W8,X8))</f>
        <v/>
      </c>
      <c r="AE8">
        <f>IF(A8="","",IF(AND(Z8&lt;&gt;"YES",AD8&lt;&gt;"",AD8&gt;THRESHOLDS!$B$12),"STUCK — act today",""))</f>
        <v/>
      </c>
      <c r="AF8">
        <f>IF(A8="","",IF(J8="Active (verified)","",IF(J8="","Ask GST status (readiness R2)","Escalate to founder: orders need verified GSTIN in current code — no tax advice")))</f>
        <v/>
      </c>
      <c r="AG8">
        <f>IF(AND(G8&lt;&gt;"",L8&lt;&gt;""),L8-G8,"")</f>
        <v/>
      </c>
      <c r="AH8">
        <f>IF(AND(L8&lt;&gt;"",N8&lt;&gt;""),N8-L8,"")</f>
        <v/>
      </c>
      <c r="AI8">
        <f>IF(AND(N8&lt;&gt;"",AA8&lt;&gt;""),AA8-N8,"")</f>
        <v/>
      </c>
      <c r="AJ8">
        <f>IF(AND(L8&lt;&gt;"",N8&lt;&gt;"",Q8&lt;&gt;""),"Qualifies (if FP-QUAL adopted)","")</f>
        <v/>
      </c>
    </row>
    <row r="9">
      <c r="G9" s="9" t="n"/>
      <c r="H9" s="9" t="n"/>
      <c r="K9" s="9" t="n"/>
      <c r="L9" s="9" t="n"/>
      <c r="M9" s="9" t="n"/>
      <c r="N9" s="9" t="n"/>
      <c r="O9" s="9" t="n"/>
      <c r="Q9" s="9" t="n"/>
      <c r="R9" s="9" t="n"/>
      <c r="W9" s="9" t="n"/>
      <c r="X9" s="9" t="n"/>
      <c r="Z9">
        <f>IF(A9="","",IF(AND(N9&lt;&gt;"",O9&lt;&gt;"",Q9&lt;&gt;"",R9&lt;&gt;"",S9="Y"),"YES","no"))</f>
        <v/>
      </c>
      <c r="AA9" s="9">
        <f>IF(Z9="YES",MAX(N9,O9,Q9,R9),"")</f>
        <v/>
      </c>
      <c r="AB9">
        <f>IF(A9="","",IF(X9&lt;&gt;"","13 Repeat activity",IF(W9&lt;&gt;"","12 First enquiry/order/booking",IF(Z9="YES","11 ACTIVATED",IF(Q9&lt;&gt;"","10 First listing live",IF(O9&lt;&gt;"","9 Profile completed",IF(N9&lt;&gt;"","8 Approved",IF(M9&lt;&gt;"","7 KYC submitted",IF(L9&lt;&gt;"","6 Registration completed",IF(K9&lt;&gt;"","5b Registration started",IF(H9&lt;&gt;"","5a Information sent",IF(G9&lt;&gt;"","5 Interested","—"))))))))))))</f>
        <v/>
      </c>
      <c r="AC9" s="10">
        <f>IF(A9="","",(COUNT(G9,H9,K9,L9,M9,N9,O9,Q9,R9)+(I9="Y")+(P9="Y")+(S9="Y"))/12)</f>
        <v/>
      </c>
      <c r="AD9">
        <f>IF(OR(A9="",COUNT(G9:X9)=0),"",TODAY()-MAX(G9,H9,K9,L9,M9,N9,O9,Q9,R9,W9,X9))</f>
        <v/>
      </c>
      <c r="AE9">
        <f>IF(A9="","",IF(AND(Z9&lt;&gt;"YES",AD9&lt;&gt;"",AD9&gt;THRESHOLDS!$B$12),"STUCK — act today",""))</f>
        <v/>
      </c>
      <c r="AF9">
        <f>IF(A9="","",IF(J9="Active (verified)","",IF(J9="","Ask GST status (readiness R2)","Escalate to founder: orders need verified GSTIN in current code — no tax advice")))</f>
        <v/>
      </c>
      <c r="AG9">
        <f>IF(AND(G9&lt;&gt;"",L9&lt;&gt;""),L9-G9,"")</f>
        <v/>
      </c>
      <c r="AH9">
        <f>IF(AND(L9&lt;&gt;"",N9&lt;&gt;""),N9-L9,"")</f>
        <v/>
      </c>
      <c r="AI9">
        <f>IF(AND(N9&lt;&gt;"",AA9&lt;&gt;""),AA9-N9,"")</f>
        <v/>
      </c>
      <c r="AJ9">
        <f>IF(AND(L9&lt;&gt;"",N9&lt;&gt;"",Q9&lt;&gt;""),"Qualifies (if FP-QUAL adopted)","")</f>
        <v/>
      </c>
    </row>
    <row r="10">
      <c r="G10" s="9" t="n"/>
      <c r="H10" s="9" t="n"/>
      <c r="K10" s="9" t="n"/>
      <c r="L10" s="9" t="n"/>
      <c r="M10" s="9" t="n"/>
      <c r="N10" s="9" t="n"/>
      <c r="O10" s="9" t="n"/>
      <c r="Q10" s="9" t="n"/>
      <c r="R10" s="9" t="n"/>
      <c r="W10" s="9" t="n"/>
      <c r="X10" s="9" t="n"/>
      <c r="Z10">
        <f>IF(A10="","",IF(AND(N10&lt;&gt;"",O10&lt;&gt;"",Q10&lt;&gt;"",R10&lt;&gt;"",S10="Y"),"YES","no"))</f>
        <v/>
      </c>
      <c r="AA10" s="9">
        <f>IF(Z10="YES",MAX(N10,O10,Q10,R10),"")</f>
        <v/>
      </c>
      <c r="AB10">
        <f>IF(A10="","",IF(X10&lt;&gt;"","13 Repeat activity",IF(W10&lt;&gt;"","12 First enquiry/order/booking",IF(Z10="YES","11 ACTIVATED",IF(Q10&lt;&gt;"","10 First listing live",IF(O10&lt;&gt;"","9 Profile completed",IF(N10&lt;&gt;"","8 Approved",IF(M10&lt;&gt;"","7 KYC submitted",IF(L10&lt;&gt;"","6 Registration completed",IF(K10&lt;&gt;"","5b Registration started",IF(H10&lt;&gt;"","5a Information sent",IF(G10&lt;&gt;"","5 Interested","—"))))))))))))</f>
        <v/>
      </c>
      <c r="AC10" s="10">
        <f>IF(A10="","",(COUNT(G10,H10,K10,L10,M10,N10,O10,Q10,R10)+(I10="Y")+(P10="Y")+(S10="Y"))/12)</f>
        <v/>
      </c>
      <c r="AD10">
        <f>IF(OR(A10="",COUNT(G10:X10)=0),"",TODAY()-MAX(G10,H10,K10,L10,M10,N10,O10,Q10,R10,W10,X10))</f>
        <v/>
      </c>
      <c r="AE10">
        <f>IF(A10="","",IF(AND(Z10&lt;&gt;"YES",AD10&lt;&gt;"",AD10&gt;THRESHOLDS!$B$12),"STUCK — act today",""))</f>
        <v/>
      </c>
      <c r="AF10">
        <f>IF(A10="","",IF(J10="Active (verified)","",IF(J10="","Ask GST status (readiness R2)","Escalate to founder: orders need verified GSTIN in current code — no tax advice")))</f>
        <v/>
      </c>
      <c r="AG10">
        <f>IF(AND(G10&lt;&gt;"",L10&lt;&gt;""),L10-G10,"")</f>
        <v/>
      </c>
      <c r="AH10">
        <f>IF(AND(L10&lt;&gt;"",N10&lt;&gt;""),N10-L10,"")</f>
        <v/>
      </c>
      <c r="AI10">
        <f>IF(AND(N10&lt;&gt;"",AA10&lt;&gt;""),AA10-N10,"")</f>
        <v/>
      </c>
      <c r="AJ10">
        <f>IF(AND(L10&lt;&gt;"",N10&lt;&gt;"",Q10&lt;&gt;""),"Qualifies (if FP-QUAL adopted)","")</f>
        <v/>
      </c>
    </row>
    <row r="11">
      <c r="G11" s="9" t="n"/>
      <c r="H11" s="9" t="n"/>
      <c r="K11" s="9" t="n"/>
      <c r="L11" s="9" t="n"/>
      <c r="M11" s="9" t="n"/>
      <c r="N11" s="9" t="n"/>
      <c r="O11" s="9" t="n"/>
      <c r="Q11" s="9" t="n"/>
      <c r="R11" s="9" t="n"/>
      <c r="W11" s="9" t="n"/>
      <c r="X11" s="9" t="n"/>
      <c r="Z11">
        <f>IF(A11="","",IF(AND(N11&lt;&gt;"",O11&lt;&gt;"",Q11&lt;&gt;"",R11&lt;&gt;"",S11="Y"),"YES","no"))</f>
        <v/>
      </c>
      <c r="AA11" s="9">
        <f>IF(Z11="YES",MAX(N11,O11,Q11,R11),"")</f>
        <v/>
      </c>
      <c r="AB11">
        <f>IF(A11="","",IF(X11&lt;&gt;"","13 Repeat activity",IF(W11&lt;&gt;"","12 First enquiry/order/booking",IF(Z11="YES","11 ACTIVATED",IF(Q11&lt;&gt;"","10 First listing live",IF(O11&lt;&gt;"","9 Profile completed",IF(N11&lt;&gt;"","8 Approved",IF(M11&lt;&gt;"","7 KYC submitted",IF(L11&lt;&gt;"","6 Registration completed",IF(K11&lt;&gt;"","5b Registration started",IF(H11&lt;&gt;"","5a Information sent",IF(G11&lt;&gt;"","5 Interested","—"))))))))))))</f>
        <v/>
      </c>
      <c r="AC11" s="10">
        <f>IF(A11="","",(COUNT(G11,H11,K11,L11,M11,N11,O11,Q11,R11)+(I11="Y")+(P11="Y")+(S11="Y"))/12)</f>
        <v/>
      </c>
      <c r="AD11">
        <f>IF(OR(A11="",COUNT(G11:X11)=0),"",TODAY()-MAX(G11,H11,K11,L11,M11,N11,O11,Q11,R11,W11,X11))</f>
        <v/>
      </c>
      <c r="AE11">
        <f>IF(A11="","",IF(AND(Z11&lt;&gt;"YES",AD11&lt;&gt;"",AD11&gt;THRESHOLDS!$B$12),"STUCK — act today",""))</f>
        <v/>
      </c>
      <c r="AF11">
        <f>IF(A11="","",IF(J11="Active (verified)","",IF(J11="","Ask GST status (readiness R2)","Escalate to founder: orders need verified GSTIN in current code — no tax advice")))</f>
        <v/>
      </c>
      <c r="AG11">
        <f>IF(AND(G11&lt;&gt;"",L11&lt;&gt;""),L11-G11,"")</f>
        <v/>
      </c>
      <c r="AH11">
        <f>IF(AND(L11&lt;&gt;"",N11&lt;&gt;""),N11-L11,"")</f>
        <v/>
      </c>
      <c r="AI11">
        <f>IF(AND(N11&lt;&gt;"",AA11&lt;&gt;""),AA11-N11,"")</f>
        <v/>
      </c>
      <c r="AJ11">
        <f>IF(AND(L11&lt;&gt;"",N11&lt;&gt;"",Q11&lt;&gt;""),"Qualifies (if FP-QUAL adopted)","")</f>
        <v/>
      </c>
    </row>
    <row r="12">
      <c r="G12" s="9" t="n"/>
      <c r="H12" s="9" t="n"/>
      <c r="K12" s="9" t="n"/>
      <c r="L12" s="9" t="n"/>
      <c r="M12" s="9" t="n"/>
      <c r="N12" s="9" t="n"/>
      <c r="O12" s="9" t="n"/>
      <c r="Q12" s="9" t="n"/>
      <c r="R12" s="9" t="n"/>
      <c r="W12" s="9" t="n"/>
      <c r="X12" s="9" t="n"/>
      <c r="Z12">
        <f>IF(A12="","",IF(AND(N12&lt;&gt;"",O12&lt;&gt;"",Q12&lt;&gt;"",R12&lt;&gt;"",S12="Y"),"YES","no"))</f>
        <v/>
      </c>
      <c r="AA12" s="9">
        <f>IF(Z12="YES",MAX(N12,O12,Q12,R12),"")</f>
        <v/>
      </c>
      <c r="AB12">
        <f>IF(A12="","",IF(X12&lt;&gt;"","13 Repeat activity",IF(W12&lt;&gt;"","12 First enquiry/order/booking",IF(Z12="YES","11 ACTIVATED",IF(Q12&lt;&gt;"","10 First listing live",IF(O12&lt;&gt;"","9 Profile completed",IF(N12&lt;&gt;"","8 Approved",IF(M12&lt;&gt;"","7 KYC submitted",IF(L12&lt;&gt;"","6 Registration completed",IF(K12&lt;&gt;"","5b Registration started",IF(H12&lt;&gt;"","5a Information sent",IF(G12&lt;&gt;"","5 Interested","—"))))))))))))</f>
        <v/>
      </c>
      <c r="AC12" s="10">
        <f>IF(A12="","",(COUNT(G12,H12,K12,L12,M12,N12,O12,Q12,R12)+(I12="Y")+(P12="Y")+(S12="Y"))/12)</f>
        <v/>
      </c>
      <c r="AD12">
        <f>IF(OR(A12="",COUNT(G12:X12)=0),"",TODAY()-MAX(G12,H12,K12,L12,M12,N12,O12,Q12,R12,W12,X12))</f>
        <v/>
      </c>
      <c r="AE12">
        <f>IF(A12="","",IF(AND(Z12&lt;&gt;"YES",AD12&lt;&gt;"",AD12&gt;THRESHOLDS!$B$12),"STUCK — act today",""))</f>
        <v/>
      </c>
      <c r="AF12">
        <f>IF(A12="","",IF(J12="Active (verified)","",IF(J12="","Ask GST status (readiness R2)","Escalate to founder: orders need verified GSTIN in current code — no tax advice")))</f>
        <v/>
      </c>
      <c r="AG12">
        <f>IF(AND(G12&lt;&gt;"",L12&lt;&gt;""),L12-G12,"")</f>
        <v/>
      </c>
      <c r="AH12">
        <f>IF(AND(L12&lt;&gt;"",N12&lt;&gt;""),N12-L12,"")</f>
        <v/>
      </c>
      <c r="AI12">
        <f>IF(AND(N12&lt;&gt;"",AA12&lt;&gt;""),AA12-N12,"")</f>
        <v/>
      </c>
      <c r="AJ12">
        <f>IF(AND(L12&lt;&gt;"",N12&lt;&gt;"",Q12&lt;&gt;""),"Qualifies (if FP-QUAL adopted)","")</f>
        <v/>
      </c>
    </row>
    <row r="13">
      <c r="G13" s="9" t="n"/>
      <c r="H13" s="9" t="n"/>
      <c r="K13" s="9" t="n"/>
      <c r="L13" s="9" t="n"/>
      <c r="M13" s="9" t="n"/>
      <c r="N13" s="9" t="n"/>
      <c r="O13" s="9" t="n"/>
      <c r="Q13" s="9" t="n"/>
      <c r="R13" s="9" t="n"/>
      <c r="W13" s="9" t="n"/>
      <c r="X13" s="9" t="n"/>
      <c r="Z13">
        <f>IF(A13="","",IF(AND(N13&lt;&gt;"",O13&lt;&gt;"",Q13&lt;&gt;"",R13&lt;&gt;"",S13="Y"),"YES","no"))</f>
        <v/>
      </c>
      <c r="AA13" s="9">
        <f>IF(Z13="YES",MAX(N13,O13,Q13,R13),"")</f>
        <v/>
      </c>
      <c r="AB13">
        <f>IF(A13="","",IF(X13&lt;&gt;"","13 Repeat activity",IF(W13&lt;&gt;"","12 First enquiry/order/booking",IF(Z13="YES","11 ACTIVATED",IF(Q13&lt;&gt;"","10 First listing live",IF(O13&lt;&gt;"","9 Profile completed",IF(N13&lt;&gt;"","8 Approved",IF(M13&lt;&gt;"","7 KYC submitted",IF(L13&lt;&gt;"","6 Registration completed",IF(K13&lt;&gt;"","5b Registration started",IF(H13&lt;&gt;"","5a Information sent",IF(G13&lt;&gt;"","5 Interested","—"))))))))))))</f>
        <v/>
      </c>
      <c r="AC13" s="10">
        <f>IF(A13="","",(COUNT(G13,H13,K13,L13,M13,N13,O13,Q13,R13)+(I13="Y")+(P13="Y")+(S13="Y"))/12)</f>
        <v/>
      </c>
      <c r="AD13">
        <f>IF(OR(A13="",COUNT(G13:X13)=0),"",TODAY()-MAX(G13,H13,K13,L13,M13,N13,O13,Q13,R13,W13,X13))</f>
        <v/>
      </c>
      <c r="AE13">
        <f>IF(A13="","",IF(AND(Z13&lt;&gt;"YES",AD13&lt;&gt;"",AD13&gt;THRESHOLDS!$B$12),"STUCK — act today",""))</f>
        <v/>
      </c>
      <c r="AF13">
        <f>IF(A13="","",IF(J13="Active (verified)","",IF(J13="","Ask GST status (readiness R2)","Escalate to founder: orders need verified GSTIN in current code — no tax advice")))</f>
        <v/>
      </c>
      <c r="AG13">
        <f>IF(AND(G13&lt;&gt;"",L13&lt;&gt;""),L13-G13,"")</f>
        <v/>
      </c>
      <c r="AH13">
        <f>IF(AND(L13&lt;&gt;"",N13&lt;&gt;""),N13-L13,"")</f>
        <v/>
      </c>
      <c r="AI13">
        <f>IF(AND(N13&lt;&gt;"",AA13&lt;&gt;""),AA13-N13,"")</f>
        <v/>
      </c>
      <c r="AJ13">
        <f>IF(AND(L13&lt;&gt;"",N13&lt;&gt;"",Q13&lt;&gt;""),"Qualifies (if FP-QUAL adopted)","")</f>
        <v/>
      </c>
    </row>
    <row r="14">
      <c r="G14" s="9" t="n"/>
      <c r="H14" s="9" t="n"/>
      <c r="K14" s="9" t="n"/>
      <c r="L14" s="9" t="n"/>
      <c r="M14" s="9" t="n"/>
      <c r="N14" s="9" t="n"/>
      <c r="O14" s="9" t="n"/>
      <c r="Q14" s="9" t="n"/>
      <c r="R14" s="9" t="n"/>
      <c r="W14" s="9" t="n"/>
      <c r="X14" s="9" t="n"/>
      <c r="Z14">
        <f>IF(A14="","",IF(AND(N14&lt;&gt;"",O14&lt;&gt;"",Q14&lt;&gt;"",R14&lt;&gt;"",S14="Y"),"YES","no"))</f>
        <v/>
      </c>
      <c r="AA14" s="9">
        <f>IF(Z14="YES",MAX(N14,O14,Q14,R14),"")</f>
        <v/>
      </c>
      <c r="AB14">
        <f>IF(A14="","",IF(X14&lt;&gt;"","13 Repeat activity",IF(W14&lt;&gt;"","12 First enquiry/order/booking",IF(Z14="YES","11 ACTIVATED",IF(Q14&lt;&gt;"","10 First listing live",IF(O14&lt;&gt;"","9 Profile completed",IF(N14&lt;&gt;"","8 Approved",IF(M14&lt;&gt;"","7 KYC submitted",IF(L14&lt;&gt;"","6 Registration completed",IF(K14&lt;&gt;"","5b Registration started",IF(H14&lt;&gt;"","5a Information sent",IF(G14&lt;&gt;"","5 Interested","—"))))))))))))</f>
        <v/>
      </c>
      <c r="AC14" s="10">
        <f>IF(A14="","",(COUNT(G14,H14,K14,L14,M14,N14,O14,Q14,R14)+(I14="Y")+(P14="Y")+(S14="Y"))/12)</f>
        <v/>
      </c>
      <c r="AD14">
        <f>IF(OR(A14="",COUNT(G14:X14)=0),"",TODAY()-MAX(G14,H14,K14,L14,M14,N14,O14,Q14,R14,W14,X14))</f>
        <v/>
      </c>
      <c r="AE14">
        <f>IF(A14="","",IF(AND(Z14&lt;&gt;"YES",AD14&lt;&gt;"",AD14&gt;THRESHOLDS!$B$12),"STUCK — act today",""))</f>
        <v/>
      </c>
      <c r="AF14">
        <f>IF(A14="","",IF(J14="Active (verified)","",IF(J14="","Ask GST status (readiness R2)","Escalate to founder: orders need verified GSTIN in current code — no tax advice")))</f>
        <v/>
      </c>
      <c r="AG14">
        <f>IF(AND(G14&lt;&gt;"",L14&lt;&gt;""),L14-G14,"")</f>
        <v/>
      </c>
      <c r="AH14">
        <f>IF(AND(L14&lt;&gt;"",N14&lt;&gt;""),N14-L14,"")</f>
        <v/>
      </c>
      <c r="AI14">
        <f>IF(AND(N14&lt;&gt;"",AA14&lt;&gt;""),AA14-N14,"")</f>
        <v/>
      </c>
      <c r="AJ14">
        <f>IF(AND(L14&lt;&gt;"",N14&lt;&gt;"",Q14&lt;&gt;""),"Qualifies (if FP-QUAL adopted)","")</f>
        <v/>
      </c>
    </row>
    <row r="15">
      <c r="G15" s="9" t="n"/>
      <c r="H15" s="9" t="n"/>
      <c r="K15" s="9" t="n"/>
      <c r="L15" s="9" t="n"/>
      <c r="M15" s="9" t="n"/>
      <c r="N15" s="9" t="n"/>
      <c r="O15" s="9" t="n"/>
      <c r="Q15" s="9" t="n"/>
      <c r="R15" s="9" t="n"/>
      <c r="W15" s="9" t="n"/>
      <c r="X15" s="9" t="n"/>
      <c r="Z15">
        <f>IF(A15="","",IF(AND(N15&lt;&gt;"",O15&lt;&gt;"",Q15&lt;&gt;"",R15&lt;&gt;"",S15="Y"),"YES","no"))</f>
        <v/>
      </c>
      <c r="AA15" s="9">
        <f>IF(Z15="YES",MAX(N15,O15,Q15,R15),"")</f>
        <v/>
      </c>
      <c r="AB15">
        <f>IF(A15="","",IF(X15&lt;&gt;"","13 Repeat activity",IF(W15&lt;&gt;"","12 First enquiry/order/booking",IF(Z15="YES","11 ACTIVATED",IF(Q15&lt;&gt;"","10 First listing live",IF(O15&lt;&gt;"","9 Profile completed",IF(N15&lt;&gt;"","8 Approved",IF(M15&lt;&gt;"","7 KYC submitted",IF(L15&lt;&gt;"","6 Registration completed",IF(K15&lt;&gt;"","5b Registration started",IF(H15&lt;&gt;"","5a Information sent",IF(G15&lt;&gt;"","5 Interested","—"))))))))))))</f>
        <v/>
      </c>
      <c r="AC15" s="10">
        <f>IF(A15="","",(COUNT(G15,H15,K15,L15,M15,N15,O15,Q15,R15)+(I15="Y")+(P15="Y")+(S15="Y"))/12)</f>
        <v/>
      </c>
      <c r="AD15">
        <f>IF(OR(A15="",COUNT(G15:X15)=0),"",TODAY()-MAX(G15,H15,K15,L15,M15,N15,O15,Q15,R15,W15,X15))</f>
        <v/>
      </c>
      <c r="AE15">
        <f>IF(A15="","",IF(AND(Z15&lt;&gt;"YES",AD15&lt;&gt;"",AD15&gt;THRESHOLDS!$B$12),"STUCK — act today",""))</f>
        <v/>
      </c>
      <c r="AF15">
        <f>IF(A15="","",IF(J15="Active (verified)","",IF(J15="","Ask GST status (readiness R2)","Escalate to founder: orders need verified GSTIN in current code — no tax advice")))</f>
        <v/>
      </c>
      <c r="AG15">
        <f>IF(AND(G15&lt;&gt;"",L15&lt;&gt;""),L15-G15,"")</f>
        <v/>
      </c>
      <c r="AH15">
        <f>IF(AND(L15&lt;&gt;"",N15&lt;&gt;""),N15-L15,"")</f>
        <v/>
      </c>
      <c r="AI15">
        <f>IF(AND(N15&lt;&gt;"",AA15&lt;&gt;""),AA15-N15,"")</f>
        <v/>
      </c>
      <c r="AJ15">
        <f>IF(AND(L15&lt;&gt;"",N15&lt;&gt;"",Q15&lt;&gt;""),"Qualifies (if FP-QUAL adopted)","")</f>
        <v/>
      </c>
    </row>
    <row r="16">
      <c r="G16" s="9" t="n"/>
      <c r="H16" s="9" t="n"/>
      <c r="K16" s="9" t="n"/>
      <c r="L16" s="9" t="n"/>
      <c r="M16" s="9" t="n"/>
      <c r="N16" s="9" t="n"/>
      <c r="O16" s="9" t="n"/>
      <c r="Q16" s="9" t="n"/>
      <c r="R16" s="9" t="n"/>
      <c r="W16" s="9" t="n"/>
      <c r="X16" s="9" t="n"/>
      <c r="Z16">
        <f>IF(A16="","",IF(AND(N16&lt;&gt;"",O16&lt;&gt;"",Q16&lt;&gt;"",R16&lt;&gt;"",S16="Y"),"YES","no"))</f>
        <v/>
      </c>
      <c r="AA16" s="9">
        <f>IF(Z16="YES",MAX(N16,O16,Q16,R16),"")</f>
        <v/>
      </c>
      <c r="AB16">
        <f>IF(A16="","",IF(X16&lt;&gt;"","13 Repeat activity",IF(W16&lt;&gt;"","12 First enquiry/order/booking",IF(Z16="YES","11 ACTIVATED",IF(Q16&lt;&gt;"","10 First listing live",IF(O16&lt;&gt;"","9 Profile completed",IF(N16&lt;&gt;"","8 Approved",IF(M16&lt;&gt;"","7 KYC submitted",IF(L16&lt;&gt;"","6 Registration completed",IF(K16&lt;&gt;"","5b Registration started",IF(H16&lt;&gt;"","5a Information sent",IF(G16&lt;&gt;"","5 Interested","—"))))))))))))</f>
        <v/>
      </c>
      <c r="AC16" s="10">
        <f>IF(A16="","",(COUNT(G16,H16,K16,L16,M16,N16,O16,Q16,R16)+(I16="Y")+(P16="Y")+(S16="Y"))/12)</f>
        <v/>
      </c>
      <c r="AD16">
        <f>IF(OR(A16="",COUNT(G16:X16)=0),"",TODAY()-MAX(G16,H16,K16,L16,M16,N16,O16,Q16,R16,W16,X16))</f>
        <v/>
      </c>
      <c r="AE16">
        <f>IF(A16="","",IF(AND(Z16&lt;&gt;"YES",AD16&lt;&gt;"",AD16&gt;THRESHOLDS!$B$12),"STUCK — act today",""))</f>
        <v/>
      </c>
      <c r="AF16">
        <f>IF(A16="","",IF(J16="Active (verified)","",IF(J16="","Ask GST status (readiness R2)","Escalate to founder: orders need verified GSTIN in current code — no tax advice")))</f>
        <v/>
      </c>
      <c r="AG16">
        <f>IF(AND(G16&lt;&gt;"",L16&lt;&gt;""),L16-G16,"")</f>
        <v/>
      </c>
      <c r="AH16">
        <f>IF(AND(L16&lt;&gt;"",N16&lt;&gt;""),N16-L16,"")</f>
        <v/>
      </c>
      <c r="AI16">
        <f>IF(AND(N16&lt;&gt;"",AA16&lt;&gt;""),AA16-N16,"")</f>
        <v/>
      </c>
      <c r="AJ16">
        <f>IF(AND(L16&lt;&gt;"",N16&lt;&gt;"",Q16&lt;&gt;""),"Qualifies (if FP-QUAL adopted)","")</f>
        <v/>
      </c>
    </row>
    <row r="17">
      <c r="G17" s="9" t="n"/>
      <c r="H17" s="9" t="n"/>
      <c r="K17" s="9" t="n"/>
      <c r="L17" s="9" t="n"/>
      <c r="M17" s="9" t="n"/>
      <c r="N17" s="9" t="n"/>
      <c r="O17" s="9" t="n"/>
      <c r="Q17" s="9" t="n"/>
      <c r="R17" s="9" t="n"/>
      <c r="W17" s="9" t="n"/>
      <c r="X17" s="9" t="n"/>
      <c r="Z17">
        <f>IF(A17="","",IF(AND(N17&lt;&gt;"",O17&lt;&gt;"",Q17&lt;&gt;"",R17&lt;&gt;"",S17="Y"),"YES","no"))</f>
        <v/>
      </c>
      <c r="AA17" s="9">
        <f>IF(Z17="YES",MAX(N17,O17,Q17,R17),"")</f>
        <v/>
      </c>
      <c r="AB17">
        <f>IF(A17="","",IF(X17&lt;&gt;"","13 Repeat activity",IF(W17&lt;&gt;"","12 First enquiry/order/booking",IF(Z17="YES","11 ACTIVATED",IF(Q17&lt;&gt;"","10 First listing live",IF(O17&lt;&gt;"","9 Profile completed",IF(N17&lt;&gt;"","8 Approved",IF(M17&lt;&gt;"","7 KYC submitted",IF(L17&lt;&gt;"","6 Registration completed",IF(K17&lt;&gt;"","5b Registration started",IF(H17&lt;&gt;"","5a Information sent",IF(G17&lt;&gt;"","5 Interested","—"))))))))))))</f>
        <v/>
      </c>
      <c r="AC17" s="10">
        <f>IF(A17="","",(COUNT(G17,H17,K17,L17,M17,N17,O17,Q17,R17)+(I17="Y")+(P17="Y")+(S17="Y"))/12)</f>
        <v/>
      </c>
      <c r="AD17">
        <f>IF(OR(A17="",COUNT(G17:X17)=0),"",TODAY()-MAX(G17,H17,K17,L17,M17,N17,O17,Q17,R17,W17,X17))</f>
        <v/>
      </c>
      <c r="AE17">
        <f>IF(A17="","",IF(AND(Z17&lt;&gt;"YES",AD17&lt;&gt;"",AD17&gt;THRESHOLDS!$B$12),"STUCK — act today",""))</f>
        <v/>
      </c>
      <c r="AF17">
        <f>IF(A17="","",IF(J17="Active (verified)","",IF(J17="","Ask GST status (readiness R2)","Escalate to founder: orders need verified GSTIN in current code — no tax advice")))</f>
        <v/>
      </c>
      <c r="AG17">
        <f>IF(AND(G17&lt;&gt;"",L17&lt;&gt;""),L17-G17,"")</f>
        <v/>
      </c>
      <c r="AH17">
        <f>IF(AND(L17&lt;&gt;"",N17&lt;&gt;""),N17-L17,"")</f>
        <v/>
      </c>
      <c r="AI17">
        <f>IF(AND(N17&lt;&gt;"",AA17&lt;&gt;""),AA17-N17,"")</f>
        <v/>
      </c>
      <c r="AJ17">
        <f>IF(AND(L17&lt;&gt;"",N17&lt;&gt;"",Q17&lt;&gt;""),"Qualifies (if FP-QUAL adopted)","")</f>
        <v/>
      </c>
    </row>
    <row r="18">
      <c r="G18" s="9" t="n"/>
      <c r="H18" s="9" t="n"/>
      <c r="K18" s="9" t="n"/>
      <c r="L18" s="9" t="n"/>
      <c r="M18" s="9" t="n"/>
      <c r="N18" s="9" t="n"/>
      <c r="O18" s="9" t="n"/>
      <c r="Q18" s="9" t="n"/>
      <c r="R18" s="9" t="n"/>
      <c r="W18" s="9" t="n"/>
      <c r="X18" s="9" t="n"/>
      <c r="Z18">
        <f>IF(A18="","",IF(AND(N18&lt;&gt;"",O18&lt;&gt;"",Q18&lt;&gt;"",R18&lt;&gt;"",S18="Y"),"YES","no"))</f>
        <v/>
      </c>
      <c r="AA18" s="9">
        <f>IF(Z18="YES",MAX(N18,O18,Q18,R18),"")</f>
        <v/>
      </c>
      <c r="AB18">
        <f>IF(A18="","",IF(X18&lt;&gt;"","13 Repeat activity",IF(W18&lt;&gt;"","12 First enquiry/order/booking",IF(Z18="YES","11 ACTIVATED",IF(Q18&lt;&gt;"","10 First listing live",IF(O18&lt;&gt;"","9 Profile completed",IF(N18&lt;&gt;"","8 Approved",IF(M18&lt;&gt;"","7 KYC submitted",IF(L18&lt;&gt;"","6 Registration completed",IF(K18&lt;&gt;"","5b Registration started",IF(H18&lt;&gt;"","5a Information sent",IF(G18&lt;&gt;"","5 Interested","—"))))))))))))</f>
        <v/>
      </c>
      <c r="AC18" s="10">
        <f>IF(A18="","",(COUNT(G18,H18,K18,L18,M18,N18,O18,Q18,R18)+(I18="Y")+(P18="Y")+(S18="Y"))/12)</f>
        <v/>
      </c>
      <c r="AD18">
        <f>IF(OR(A18="",COUNT(G18:X18)=0),"",TODAY()-MAX(G18,H18,K18,L18,M18,N18,O18,Q18,R18,W18,X18))</f>
        <v/>
      </c>
      <c r="AE18">
        <f>IF(A18="","",IF(AND(Z18&lt;&gt;"YES",AD18&lt;&gt;"",AD18&gt;THRESHOLDS!$B$12),"STUCK — act today",""))</f>
        <v/>
      </c>
      <c r="AF18">
        <f>IF(A18="","",IF(J18="Active (verified)","",IF(J18="","Ask GST status (readiness R2)","Escalate to founder: orders need verified GSTIN in current code — no tax advice")))</f>
        <v/>
      </c>
      <c r="AG18">
        <f>IF(AND(G18&lt;&gt;"",L18&lt;&gt;""),L18-G18,"")</f>
        <v/>
      </c>
      <c r="AH18">
        <f>IF(AND(L18&lt;&gt;"",N18&lt;&gt;""),N18-L18,"")</f>
        <v/>
      </c>
      <c r="AI18">
        <f>IF(AND(N18&lt;&gt;"",AA18&lt;&gt;""),AA18-N18,"")</f>
        <v/>
      </c>
      <c r="AJ18">
        <f>IF(AND(L18&lt;&gt;"",N18&lt;&gt;"",Q18&lt;&gt;""),"Qualifies (if FP-QUAL adopted)","")</f>
        <v/>
      </c>
    </row>
    <row r="19">
      <c r="G19" s="9" t="n"/>
      <c r="H19" s="9" t="n"/>
      <c r="K19" s="9" t="n"/>
      <c r="L19" s="9" t="n"/>
      <c r="M19" s="9" t="n"/>
      <c r="N19" s="9" t="n"/>
      <c r="O19" s="9" t="n"/>
      <c r="Q19" s="9" t="n"/>
      <c r="R19" s="9" t="n"/>
      <c r="W19" s="9" t="n"/>
      <c r="X19" s="9" t="n"/>
      <c r="Z19">
        <f>IF(A19="","",IF(AND(N19&lt;&gt;"",O19&lt;&gt;"",Q19&lt;&gt;"",R19&lt;&gt;"",S19="Y"),"YES","no"))</f>
        <v/>
      </c>
      <c r="AA19" s="9">
        <f>IF(Z19="YES",MAX(N19,O19,Q19,R19),"")</f>
        <v/>
      </c>
      <c r="AB19">
        <f>IF(A19="","",IF(X19&lt;&gt;"","13 Repeat activity",IF(W19&lt;&gt;"","12 First enquiry/order/booking",IF(Z19="YES","11 ACTIVATED",IF(Q19&lt;&gt;"","10 First listing live",IF(O19&lt;&gt;"","9 Profile completed",IF(N19&lt;&gt;"","8 Approved",IF(M19&lt;&gt;"","7 KYC submitted",IF(L19&lt;&gt;"","6 Registration completed",IF(K19&lt;&gt;"","5b Registration started",IF(H19&lt;&gt;"","5a Information sent",IF(G19&lt;&gt;"","5 Interested","—"))))))))))))</f>
        <v/>
      </c>
      <c r="AC19" s="10">
        <f>IF(A19="","",(COUNT(G19,H19,K19,L19,M19,N19,O19,Q19,R19)+(I19="Y")+(P19="Y")+(S19="Y"))/12)</f>
        <v/>
      </c>
      <c r="AD19">
        <f>IF(OR(A19="",COUNT(G19:X19)=0),"",TODAY()-MAX(G19,H19,K19,L19,M19,N19,O19,Q19,R19,W19,X19))</f>
        <v/>
      </c>
      <c r="AE19">
        <f>IF(A19="","",IF(AND(Z19&lt;&gt;"YES",AD19&lt;&gt;"",AD19&gt;THRESHOLDS!$B$12),"STUCK — act today",""))</f>
        <v/>
      </c>
      <c r="AF19">
        <f>IF(A19="","",IF(J19="Active (verified)","",IF(J19="","Ask GST status (readiness R2)","Escalate to founder: orders need verified GSTIN in current code — no tax advice")))</f>
        <v/>
      </c>
      <c r="AG19">
        <f>IF(AND(G19&lt;&gt;"",L19&lt;&gt;""),L19-G19,"")</f>
        <v/>
      </c>
      <c r="AH19">
        <f>IF(AND(L19&lt;&gt;"",N19&lt;&gt;""),N19-L19,"")</f>
        <v/>
      </c>
      <c r="AI19">
        <f>IF(AND(N19&lt;&gt;"",AA19&lt;&gt;""),AA19-N19,"")</f>
        <v/>
      </c>
      <c r="AJ19">
        <f>IF(AND(L19&lt;&gt;"",N19&lt;&gt;"",Q19&lt;&gt;""),"Qualifies (if FP-QUAL adopted)","")</f>
        <v/>
      </c>
    </row>
    <row r="20">
      <c r="G20" s="9" t="n"/>
      <c r="H20" s="9" t="n"/>
      <c r="K20" s="9" t="n"/>
      <c r="L20" s="9" t="n"/>
      <c r="M20" s="9" t="n"/>
      <c r="N20" s="9" t="n"/>
      <c r="O20" s="9" t="n"/>
      <c r="Q20" s="9" t="n"/>
      <c r="R20" s="9" t="n"/>
      <c r="W20" s="9" t="n"/>
      <c r="X20" s="9" t="n"/>
      <c r="Z20">
        <f>IF(A20="","",IF(AND(N20&lt;&gt;"",O20&lt;&gt;"",Q20&lt;&gt;"",R20&lt;&gt;"",S20="Y"),"YES","no"))</f>
        <v/>
      </c>
      <c r="AA20" s="9">
        <f>IF(Z20="YES",MAX(N20,O20,Q20,R20),"")</f>
        <v/>
      </c>
      <c r="AB20">
        <f>IF(A20="","",IF(X20&lt;&gt;"","13 Repeat activity",IF(W20&lt;&gt;"","12 First enquiry/order/booking",IF(Z20="YES","11 ACTIVATED",IF(Q20&lt;&gt;"","10 First listing live",IF(O20&lt;&gt;"","9 Profile completed",IF(N20&lt;&gt;"","8 Approved",IF(M20&lt;&gt;"","7 KYC submitted",IF(L20&lt;&gt;"","6 Registration completed",IF(K20&lt;&gt;"","5b Registration started",IF(H20&lt;&gt;"","5a Information sent",IF(G20&lt;&gt;"","5 Interested","—"))))))))))))</f>
        <v/>
      </c>
      <c r="AC20" s="10">
        <f>IF(A20="","",(COUNT(G20,H20,K20,L20,M20,N20,O20,Q20,R20)+(I20="Y")+(P20="Y")+(S20="Y"))/12)</f>
        <v/>
      </c>
      <c r="AD20">
        <f>IF(OR(A20="",COUNT(G20:X20)=0),"",TODAY()-MAX(G20,H20,K20,L20,M20,N20,O20,Q20,R20,W20,X20))</f>
        <v/>
      </c>
      <c r="AE20">
        <f>IF(A20="","",IF(AND(Z20&lt;&gt;"YES",AD20&lt;&gt;"",AD20&gt;THRESHOLDS!$B$12),"STUCK — act today",""))</f>
        <v/>
      </c>
      <c r="AF20">
        <f>IF(A20="","",IF(J20="Active (verified)","",IF(J20="","Ask GST status (readiness R2)","Escalate to founder: orders need verified GSTIN in current code — no tax advice")))</f>
        <v/>
      </c>
      <c r="AG20">
        <f>IF(AND(G20&lt;&gt;"",L20&lt;&gt;""),L20-G20,"")</f>
        <v/>
      </c>
      <c r="AH20">
        <f>IF(AND(L20&lt;&gt;"",N20&lt;&gt;""),N20-L20,"")</f>
        <v/>
      </c>
      <c r="AI20">
        <f>IF(AND(N20&lt;&gt;"",AA20&lt;&gt;""),AA20-N20,"")</f>
        <v/>
      </c>
      <c r="AJ20">
        <f>IF(AND(L20&lt;&gt;"",N20&lt;&gt;"",Q20&lt;&gt;""),"Qualifies (if FP-QUAL adopted)","")</f>
        <v/>
      </c>
    </row>
    <row r="21">
      <c r="G21" s="9" t="n"/>
      <c r="H21" s="9" t="n"/>
      <c r="K21" s="9" t="n"/>
      <c r="L21" s="9" t="n"/>
      <c r="M21" s="9" t="n"/>
      <c r="N21" s="9" t="n"/>
      <c r="O21" s="9" t="n"/>
      <c r="Q21" s="9" t="n"/>
      <c r="R21" s="9" t="n"/>
      <c r="W21" s="9" t="n"/>
      <c r="X21" s="9" t="n"/>
      <c r="Z21">
        <f>IF(A21="","",IF(AND(N21&lt;&gt;"",O21&lt;&gt;"",Q21&lt;&gt;"",R21&lt;&gt;"",S21="Y"),"YES","no"))</f>
        <v/>
      </c>
      <c r="AA21" s="9">
        <f>IF(Z21="YES",MAX(N21,O21,Q21,R21),"")</f>
        <v/>
      </c>
      <c r="AB21">
        <f>IF(A21="","",IF(X21&lt;&gt;"","13 Repeat activity",IF(W21&lt;&gt;"","12 First enquiry/order/booking",IF(Z21="YES","11 ACTIVATED",IF(Q21&lt;&gt;"","10 First listing live",IF(O21&lt;&gt;"","9 Profile completed",IF(N21&lt;&gt;"","8 Approved",IF(M21&lt;&gt;"","7 KYC submitted",IF(L21&lt;&gt;"","6 Registration completed",IF(K21&lt;&gt;"","5b Registration started",IF(H21&lt;&gt;"","5a Information sent",IF(G21&lt;&gt;"","5 Interested","—"))))))))))))</f>
        <v/>
      </c>
      <c r="AC21" s="10">
        <f>IF(A21="","",(COUNT(G21,H21,K21,L21,M21,N21,O21,Q21,R21)+(I21="Y")+(P21="Y")+(S21="Y"))/12)</f>
        <v/>
      </c>
      <c r="AD21">
        <f>IF(OR(A21="",COUNT(G21:X21)=0),"",TODAY()-MAX(G21,H21,K21,L21,M21,N21,O21,Q21,R21,W21,X21))</f>
        <v/>
      </c>
      <c r="AE21">
        <f>IF(A21="","",IF(AND(Z21&lt;&gt;"YES",AD21&lt;&gt;"",AD21&gt;THRESHOLDS!$B$12),"STUCK — act today",""))</f>
        <v/>
      </c>
      <c r="AF21">
        <f>IF(A21="","",IF(J21="Active (verified)","",IF(J21="","Ask GST status (readiness R2)","Escalate to founder: orders need verified GSTIN in current code — no tax advice")))</f>
        <v/>
      </c>
      <c r="AG21">
        <f>IF(AND(G21&lt;&gt;"",L21&lt;&gt;""),L21-G21,"")</f>
        <v/>
      </c>
      <c r="AH21">
        <f>IF(AND(L21&lt;&gt;"",N21&lt;&gt;""),N21-L21,"")</f>
        <v/>
      </c>
      <c r="AI21">
        <f>IF(AND(N21&lt;&gt;"",AA21&lt;&gt;""),AA21-N21,"")</f>
        <v/>
      </c>
      <c r="AJ21">
        <f>IF(AND(L21&lt;&gt;"",N21&lt;&gt;"",Q21&lt;&gt;""),"Qualifies (if FP-QUAL adopted)","")</f>
        <v/>
      </c>
    </row>
    <row r="22">
      <c r="G22" s="9" t="n"/>
      <c r="H22" s="9" t="n"/>
      <c r="K22" s="9" t="n"/>
      <c r="L22" s="9" t="n"/>
      <c r="M22" s="9" t="n"/>
      <c r="N22" s="9" t="n"/>
      <c r="O22" s="9" t="n"/>
      <c r="Q22" s="9" t="n"/>
      <c r="R22" s="9" t="n"/>
      <c r="W22" s="9" t="n"/>
      <c r="X22" s="9" t="n"/>
      <c r="Z22">
        <f>IF(A22="","",IF(AND(N22&lt;&gt;"",O22&lt;&gt;"",Q22&lt;&gt;"",R22&lt;&gt;"",S22="Y"),"YES","no"))</f>
        <v/>
      </c>
      <c r="AA22" s="9">
        <f>IF(Z22="YES",MAX(N22,O22,Q22,R22),"")</f>
        <v/>
      </c>
      <c r="AB22">
        <f>IF(A22="","",IF(X22&lt;&gt;"","13 Repeat activity",IF(W22&lt;&gt;"","12 First enquiry/order/booking",IF(Z22="YES","11 ACTIVATED",IF(Q22&lt;&gt;"","10 First listing live",IF(O22&lt;&gt;"","9 Profile completed",IF(N22&lt;&gt;"","8 Approved",IF(M22&lt;&gt;"","7 KYC submitted",IF(L22&lt;&gt;"","6 Registration completed",IF(K22&lt;&gt;"","5b Registration started",IF(H22&lt;&gt;"","5a Information sent",IF(G22&lt;&gt;"","5 Interested","—"))))))))))))</f>
        <v/>
      </c>
      <c r="AC22" s="10">
        <f>IF(A22="","",(COUNT(G22,H22,K22,L22,M22,N22,O22,Q22,R22)+(I22="Y")+(P22="Y")+(S22="Y"))/12)</f>
        <v/>
      </c>
      <c r="AD22">
        <f>IF(OR(A22="",COUNT(G22:X22)=0),"",TODAY()-MAX(G22,H22,K22,L22,M22,N22,O22,Q22,R22,W22,X22))</f>
        <v/>
      </c>
      <c r="AE22">
        <f>IF(A22="","",IF(AND(Z22&lt;&gt;"YES",AD22&lt;&gt;"",AD22&gt;THRESHOLDS!$B$12),"STUCK — act today",""))</f>
        <v/>
      </c>
      <c r="AF22">
        <f>IF(A22="","",IF(J22="Active (verified)","",IF(J22="","Ask GST status (readiness R2)","Escalate to founder: orders need verified GSTIN in current code — no tax advice")))</f>
        <v/>
      </c>
      <c r="AG22">
        <f>IF(AND(G22&lt;&gt;"",L22&lt;&gt;""),L22-G22,"")</f>
        <v/>
      </c>
      <c r="AH22">
        <f>IF(AND(L22&lt;&gt;"",N22&lt;&gt;""),N22-L22,"")</f>
        <v/>
      </c>
      <c r="AI22">
        <f>IF(AND(N22&lt;&gt;"",AA22&lt;&gt;""),AA22-N22,"")</f>
        <v/>
      </c>
      <c r="AJ22">
        <f>IF(AND(L22&lt;&gt;"",N22&lt;&gt;"",Q22&lt;&gt;""),"Qualifies (if FP-QUAL adopted)","")</f>
        <v/>
      </c>
    </row>
    <row r="23">
      <c r="G23" s="9" t="n"/>
      <c r="H23" s="9" t="n"/>
      <c r="K23" s="9" t="n"/>
      <c r="L23" s="9" t="n"/>
      <c r="M23" s="9" t="n"/>
      <c r="N23" s="9" t="n"/>
      <c r="O23" s="9" t="n"/>
      <c r="Q23" s="9" t="n"/>
      <c r="R23" s="9" t="n"/>
      <c r="W23" s="9" t="n"/>
      <c r="X23" s="9" t="n"/>
      <c r="Z23">
        <f>IF(A23="","",IF(AND(N23&lt;&gt;"",O23&lt;&gt;"",Q23&lt;&gt;"",R23&lt;&gt;"",S23="Y"),"YES","no"))</f>
        <v/>
      </c>
      <c r="AA23" s="9">
        <f>IF(Z23="YES",MAX(N23,O23,Q23,R23),"")</f>
        <v/>
      </c>
      <c r="AB23">
        <f>IF(A23="","",IF(X23&lt;&gt;"","13 Repeat activity",IF(W23&lt;&gt;"","12 First enquiry/order/booking",IF(Z23="YES","11 ACTIVATED",IF(Q23&lt;&gt;"","10 First listing live",IF(O23&lt;&gt;"","9 Profile completed",IF(N23&lt;&gt;"","8 Approved",IF(M23&lt;&gt;"","7 KYC submitted",IF(L23&lt;&gt;"","6 Registration completed",IF(K23&lt;&gt;"","5b Registration started",IF(H23&lt;&gt;"","5a Information sent",IF(G23&lt;&gt;"","5 Interested","—"))))))))))))</f>
        <v/>
      </c>
      <c r="AC23" s="10">
        <f>IF(A23="","",(COUNT(G23,H23,K23,L23,M23,N23,O23,Q23,R23)+(I23="Y")+(P23="Y")+(S23="Y"))/12)</f>
        <v/>
      </c>
      <c r="AD23">
        <f>IF(OR(A23="",COUNT(G23:X23)=0),"",TODAY()-MAX(G23,H23,K23,L23,M23,N23,O23,Q23,R23,W23,X23))</f>
        <v/>
      </c>
      <c r="AE23">
        <f>IF(A23="","",IF(AND(Z23&lt;&gt;"YES",AD23&lt;&gt;"",AD23&gt;THRESHOLDS!$B$12),"STUCK — act today",""))</f>
        <v/>
      </c>
      <c r="AF23">
        <f>IF(A23="","",IF(J23="Active (verified)","",IF(J23="","Ask GST status (readiness R2)","Escalate to founder: orders need verified GSTIN in current code — no tax advice")))</f>
        <v/>
      </c>
      <c r="AG23">
        <f>IF(AND(G23&lt;&gt;"",L23&lt;&gt;""),L23-G23,"")</f>
        <v/>
      </c>
      <c r="AH23">
        <f>IF(AND(L23&lt;&gt;"",N23&lt;&gt;""),N23-L23,"")</f>
        <v/>
      </c>
      <c r="AI23">
        <f>IF(AND(N23&lt;&gt;"",AA23&lt;&gt;""),AA23-N23,"")</f>
        <v/>
      </c>
      <c r="AJ23">
        <f>IF(AND(L23&lt;&gt;"",N23&lt;&gt;"",Q23&lt;&gt;""),"Qualifies (if FP-QUAL adopted)","")</f>
        <v/>
      </c>
    </row>
    <row r="24">
      <c r="G24" s="9" t="n"/>
      <c r="H24" s="9" t="n"/>
      <c r="K24" s="9" t="n"/>
      <c r="L24" s="9" t="n"/>
      <c r="M24" s="9" t="n"/>
      <c r="N24" s="9" t="n"/>
      <c r="O24" s="9" t="n"/>
      <c r="Q24" s="9" t="n"/>
      <c r="R24" s="9" t="n"/>
      <c r="W24" s="9" t="n"/>
      <c r="X24" s="9" t="n"/>
      <c r="Z24">
        <f>IF(A24="","",IF(AND(N24&lt;&gt;"",O24&lt;&gt;"",Q24&lt;&gt;"",R24&lt;&gt;"",S24="Y"),"YES","no"))</f>
        <v/>
      </c>
      <c r="AA24" s="9">
        <f>IF(Z24="YES",MAX(N24,O24,Q24,R24),"")</f>
        <v/>
      </c>
      <c r="AB24">
        <f>IF(A24="","",IF(X24&lt;&gt;"","13 Repeat activity",IF(W24&lt;&gt;"","12 First enquiry/order/booking",IF(Z24="YES","11 ACTIVATED",IF(Q24&lt;&gt;"","10 First listing live",IF(O24&lt;&gt;"","9 Profile completed",IF(N24&lt;&gt;"","8 Approved",IF(M24&lt;&gt;"","7 KYC submitted",IF(L24&lt;&gt;"","6 Registration completed",IF(K24&lt;&gt;"","5b Registration started",IF(H24&lt;&gt;"","5a Information sent",IF(G24&lt;&gt;"","5 Interested","—"))))))))))))</f>
        <v/>
      </c>
      <c r="AC24" s="10">
        <f>IF(A24="","",(COUNT(G24,H24,K24,L24,M24,N24,O24,Q24,R24)+(I24="Y")+(P24="Y")+(S24="Y"))/12)</f>
        <v/>
      </c>
      <c r="AD24">
        <f>IF(OR(A24="",COUNT(G24:X24)=0),"",TODAY()-MAX(G24,H24,K24,L24,M24,N24,O24,Q24,R24,W24,X24))</f>
        <v/>
      </c>
      <c r="AE24">
        <f>IF(A24="","",IF(AND(Z24&lt;&gt;"YES",AD24&lt;&gt;"",AD24&gt;THRESHOLDS!$B$12),"STUCK — act today",""))</f>
        <v/>
      </c>
      <c r="AF24">
        <f>IF(A24="","",IF(J24="Active (verified)","",IF(J24="","Ask GST status (readiness R2)","Escalate to founder: orders need verified GSTIN in current code — no tax advice")))</f>
        <v/>
      </c>
      <c r="AG24">
        <f>IF(AND(G24&lt;&gt;"",L24&lt;&gt;""),L24-G24,"")</f>
        <v/>
      </c>
      <c r="AH24">
        <f>IF(AND(L24&lt;&gt;"",N24&lt;&gt;""),N24-L24,"")</f>
        <v/>
      </c>
      <c r="AI24">
        <f>IF(AND(N24&lt;&gt;"",AA24&lt;&gt;""),AA24-N24,"")</f>
        <v/>
      </c>
      <c r="AJ24">
        <f>IF(AND(L24&lt;&gt;"",N24&lt;&gt;"",Q24&lt;&gt;""),"Qualifies (if FP-QUAL adopted)","")</f>
        <v/>
      </c>
    </row>
    <row r="25">
      <c r="G25" s="9" t="n"/>
      <c r="H25" s="9" t="n"/>
      <c r="K25" s="9" t="n"/>
      <c r="L25" s="9" t="n"/>
      <c r="M25" s="9" t="n"/>
      <c r="N25" s="9" t="n"/>
      <c r="O25" s="9" t="n"/>
      <c r="Q25" s="9" t="n"/>
      <c r="R25" s="9" t="n"/>
      <c r="W25" s="9" t="n"/>
      <c r="X25" s="9" t="n"/>
      <c r="Z25">
        <f>IF(A25="","",IF(AND(N25&lt;&gt;"",O25&lt;&gt;"",Q25&lt;&gt;"",R25&lt;&gt;"",S25="Y"),"YES","no"))</f>
        <v/>
      </c>
      <c r="AA25" s="9">
        <f>IF(Z25="YES",MAX(N25,O25,Q25,R25),"")</f>
        <v/>
      </c>
      <c r="AB25">
        <f>IF(A25="","",IF(X25&lt;&gt;"","13 Repeat activity",IF(W25&lt;&gt;"","12 First enquiry/order/booking",IF(Z25="YES","11 ACTIVATED",IF(Q25&lt;&gt;"","10 First listing live",IF(O25&lt;&gt;"","9 Profile completed",IF(N25&lt;&gt;"","8 Approved",IF(M25&lt;&gt;"","7 KYC submitted",IF(L25&lt;&gt;"","6 Registration completed",IF(K25&lt;&gt;"","5b Registration started",IF(H25&lt;&gt;"","5a Information sent",IF(G25&lt;&gt;"","5 Interested","—"))))))))))))</f>
        <v/>
      </c>
      <c r="AC25" s="10">
        <f>IF(A25="","",(COUNT(G25,H25,K25,L25,M25,N25,O25,Q25,R25)+(I25="Y")+(P25="Y")+(S25="Y"))/12)</f>
        <v/>
      </c>
      <c r="AD25">
        <f>IF(OR(A25="",COUNT(G25:X25)=0),"",TODAY()-MAX(G25,H25,K25,L25,M25,N25,O25,Q25,R25,W25,X25))</f>
        <v/>
      </c>
      <c r="AE25">
        <f>IF(A25="","",IF(AND(Z25&lt;&gt;"YES",AD25&lt;&gt;"",AD25&gt;THRESHOLDS!$B$12),"STUCK — act today",""))</f>
        <v/>
      </c>
      <c r="AF25">
        <f>IF(A25="","",IF(J25="Active (verified)","",IF(J25="","Ask GST status (readiness R2)","Escalate to founder: orders need verified GSTIN in current code — no tax advice")))</f>
        <v/>
      </c>
      <c r="AG25">
        <f>IF(AND(G25&lt;&gt;"",L25&lt;&gt;""),L25-G25,"")</f>
        <v/>
      </c>
      <c r="AH25">
        <f>IF(AND(L25&lt;&gt;"",N25&lt;&gt;""),N25-L25,"")</f>
        <v/>
      </c>
      <c r="AI25">
        <f>IF(AND(N25&lt;&gt;"",AA25&lt;&gt;""),AA25-N25,"")</f>
        <v/>
      </c>
      <c r="AJ25">
        <f>IF(AND(L25&lt;&gt;"",N25&lt;&gt;"",Q25&lt;&gt;""),"Qualifies (if FP-QUAL adopted)","")</f>
        <v/>
      </c>
    </row>
    <row r="26">
      <c r="G26" s="9" t="n"/>
      <c r="H26" s="9" t="n"/>
      <c r="K26" s="9" t="n"/>
      <c r="L26" s="9" t="n"/>
      <c r="M26" s="9" t="n"/>
      <c r="N26" s="9" t="n"/>
      <c r="O26" s="9" t="n"/>
      <c r="Q26" s="9" t="n"/>
      <c r="R26" s="9" t="n"/>
      <c r="W26" s="9" t="n"/>
      <c r="X26" s="9" t="n"/>
      <c r="Z26">
        <f>IF(A26="","",IF(AND(N26&lt;&gt;"",O26&lt;&gt;"",Q26&lt;&gt;"",R26&lt;&gt;"",S26="Y"),"YES","no"))</f>
        <v/>
      </c>
      <c r="AA26" s="9">
        <f>IF(Z26="YES",MAX(N26,O26,Q26,R26),"")</f>
        <v/>
      </c>
      <c r="AB26">
        <f>IF(A26="","",IF(X26&lt;&gt;"","13 Repeat activity",IF(W26&lt;&gt;"","12 First enquiry/order/booking",IF(Z26="YES","11 ACTIVATED",IF(Q26&lt;&gt;"","10 First listing live",IF(O26&lt;&gt;"","9 Profile completed",IF(N26&lt;&gt;"","8 Approved",IF(M26&lt;&gt;"","7 KYC submitted",IF(L26&lt;&gt;"","6 Registration completed",IF(K26&lt;&gt;"","5b Registration started",IF(H26&lt;&gt;"","5a Information sent",IF(G26&lt;&gt;"","5 Interested","—"))))))))))))</f>
        <v/>
      </c>
      <c r="AC26" s="10">
        <f>IF(A26="","",(COUNT(G26,H26,K26,L26,M26,N26,O26,Q26,R26)+(I26="Y")+(P26="Y")+(S26="Y"))/12)</f>
        <v/>
      </c>
      <c r="AD26">
        <f>IF(OR(A26="",COUNT(G26:X26)=0),"",TODAY()-MAX(G26,H26,K26,L26,M26,N26,O26,Q26,R26,W26,X26))</f>
        <v/>
      </c>
      <c r="AE26">
        <f>IF(A26="","",IF(AND(Z26&lt;&gt;"YES",AD26&lt;&gt;"",AD26&gt;THRESHOLDS!$B$12),"STUCK — act today",""))</f>
        <v/>
      </c>
      <c r="AF26">
        <f>IF(A26="","",IF(J26="Active (verified)","",IF(J26="","Ask GST status (readiness R2)","Escalate to founder: orders need verified GSTIN in current code — no tax advice")))</f>
        <v/>
      </c>
      <c r="AG26">
        <f>IF(AND(G26&lt;&gt;"",L26&lt;&gt;""),L26-G26,"")</f>
        <v/>
      </c>
      <c r="AH26">
        <f>IF(AND(L26&lt;&gt;"",N26&lt;&gt;""),N26-L26,"")</f>
        <v/>
      </c>
      <c r="AI26">
        <f>IF(AND(N26&lt;&gt;"",AA26&lt;&gt;""),AA26-N26,"")</f>
        <v/>
      </c>
      <c r="AJ26">
        <f>IF(AND(L26&lt;&gt;"",N26&lt;&gt;"",Q26&lt;&gt;""),"Qualifies (if FP-QUAL adopted)","")</f>
        <v/>
      </c>
    </row>
    <row r="27">
      <c r="G27" s="9" t="n"/>
      <c r="H27" s="9" t="n"/>
      <c r="K27" s="9" t="n"/>
      <c r="L27" s="9" t="n"/>
      <c r="M27" s="9" t="n"/>
      <c r="N27" s="9" t="n"/>
      <c r="O27" s="9" t="n"/>
      <c r="Q27" s="9" t="n"/>
      <c r="R27" s="9" t="n"/>
      <c r="W27" s="9" t="n"/>
      <c r="X27" s="9" t="n"/>
      <c r="Z27">
        <f>IF(A27="","",IF(AND(N27&lt;&gt;"",O27&lt;&gt;"",Q27&lt;&gt;"",R27&lt;&gt;"",S27="Y"),"YES","no"))</f>
        <v/>
      </c>
      <c r="AA27" s="9">
        <f>IF(Z27="YES",MAX(N27,O27,Q27,R27),"")</f>
        <v/>
      </c>
      <c r="AB27">
        <f>IF(A27="","",IF(X27&lt;&gt;"","13 Repeat activity",IF(W27&lt;&gt;"","12 First enquiry/order/booking",IF(Z27="YES","11 ACTIVATED",IF(Q27&lt;&gt;"","10 First listing live",IF(O27&lt;&gt;"","9 Profile completed",IF(N27&lt;&gt;"","8 Approved",IF(M27&lt;&gt;"","7 KYC submitted",IF(L27&lt;&gt;"","6 Registration completed",IF(K27&lt;&gt;"","5b Registration started",IF(H27&lt;&gt;"","5a Information sent",IF(G27&lt;&gt;"","5 Interested","—"))))))))))))</f>
        <v/>
      </c>
      <c r="AC27" s="10">
        <f>IF(A27="","",(COUNT(G27,H27,K27,L27,M27,N27,O27,Q27,R27)+(I27="Y")+(P27="Y")+(S27="Y"))/12)</f>
        <v/>
      </c>
      <c r="AD27">
        <f>IF(OR(A27="",COUNT(G27:X27)=0),"",TODAY()-MAX(G27,H27,K27,L27,M27,N27,O27,Q27,R27,W27,X27))</f>
        <v/>
      </c>
      <c r="AE27">
        <f>IF(A27="","",IF(AND(Z27&lt;&gt;"YES",AD27&lt;&gt;"",AD27&gt;THRESHOLDS!$B$12),"STUCK — act today",""))</f>
        <v/>
      </c>
      <c r="AF27">
        <f>IF(A27="","",IF(J27="Active (verified)","",IF(J27="","Ask GST status (readiness R2)","Escalate to founder: orders need verified GSTIN in current code — no tax advice")))</f>
        <v/>
      </c>
      <c r="AG27">
        <f>IF(AND(G27&lt;&gt;"",L27&lt;&gt;""),L27-G27,"")</f>
        <v/>
      </c>
      <c r="AH27">
        <f>IF(AND(L27&lt;&gt;"",N27&lt;&gt;""),N27-L27,"")</f>
        <v/>
      </c>
      <c r="AI27">
        <f>IF(AND(N27&lt;&gt;"",AA27&lt;&gt;""),AA27-N27,"")</f>
        <v/>
      </c>
      <c r="AJ27">
        <f>IF(AND(L27&lt;&gt;"",N27&lt;&gt;"",Q27&lt;&gt;""),"Qualifies (if FP-QUAL adopted)","")</f>
        <v/>
      </c>
    </row>
    <row r="28">
      <c r="G28" s="9" t="n"/>
      <c r="H28" s="9" t="n"/>
      <c r="K28" s="9" t="n"/>
      <c r="L28" s="9" t="n"/>
      <c r="M28" s="9" t="n"/>
      <c r="N28" s="9" t="n"/>
      <c r="O28" s="9" t="n"/>
      <c r="Q28" s="9" t="n"/>
      <c r="R28" s="9" t="n"/>
      <c r="W28" s="9" t="n"/>
      <c r="X28" s="9" t="n"/>
      <c r="Z28">
        <f>IF(A28="","",IF(AND(N28&lt;&gt;"",O28&lt;&gt;"",Q28&lt;&gt;"",R28&lt;&gt;"",S28="Y"),"YES","no"))</f>
        <v/>
      </c>
      <c r="AA28" s="9">
        <f>IF(Z28="YES",MAX(N28,O28,Q28,R28),"")</f>
        <v/>
      </c>
      <c r="AB28">
        <f>IF(A28="","",IF(X28&lt;&gt;"","13 Repeat activity",IF(W28&lt;&gt;"","12 First enquiry/order/booking",IF(Z28="YES","11 ACTIVATED",IF(Q28&lt;&gt;"","10 First listing live",IF(O28&lt;&gt;"","9 Profile completed",IF(N28&lt;&gt;"","8 Approved",IF(M28&lt;&gt;"","7 KYC submitted",IF(L28&lt;&gt;"","6 Registration completed",IF(K28&lt;&gt;"","5b Registration started",IF(H28&lt;&gt;"","5a Information sent",IF(G28&lt;&gt;"","5 Interested","—"))))))))))))</f>
        <v/>
      </c>
      <c r="AC28" s="10">
        <f>IF(A28="","",(COUNT(G28,H28,K28,L28,M28,N28,O28,Q28,R28)+(I28="Y")+(P28="Y")+(S28="Y"))/12)</f>
        <v/>
      </c>
      <c r="AD28">
        <f>IF(OR(A28="",COUNT(G28:X28)=0),"",TODAY()-MAX(G28,H28,K28,L28,M28,N28,O28,Q28,R28,W28,X28))</f>
        <v/>
      </c>
      <c r="AE28">
        <f>IF(A28="","",IF(AND(Z28&lt;&gt;"YES",AD28&lt;&gt;"",AD28&gt;THRESHOLDS!$B$12),"STUCK — act today",""))</f>
        <v/>
      </c>
      <c r="AF28">
        <f>IF(A28="","",IF(J28="Active (verified)","",IF(J28="","Ask GST status (readiness R2)","Escalate to founder: orders need verified GSTIN in current code — no tax advice")))</f>
        <v/>
      </c>
      <c r="AG28">
        <f>IF(AND(G28&lt;&gt;"",L28&lt;&gt;""),L28-G28,"")</f>
        <v/>
      </c>
      <c r="AH28">
        <f>IF(AND(L28&lt;&gt;"",N28&lt;&gt;""),N28-L28,"")</f>
        <v/>
      </c>
      <c r="AI28">
        <f>IF(AND(N28&lt;&gt;"",AA28&lt;&gt;""),AA28-N28,"")</f>
        <v/>
      </c>
      <c r="AJ28">
        <f>IF(AND(L28&lt;&gt;"",N28&lt;&gt;"",Q28&lt;&gt;""),"Qualifies (if FP-QUAL adopted)","")</f>
        <v/>
      </c>
    </row>
    <row r="29">
      <c r="G29" s="9" t="n"/>
      <c r="H29" s="9" t="n"/>
      <c r="K29" s="9" t="n"/>
      <c r="L29" s="9" t="n"/>
      <c r="M29" s="9" t="n"/>
      <c r="N29" s="9" t="n"/>
      <c r="O29" s="9" t="n"/>
      <c r="Q29" s="9" t="n"/>
      <c r="R29" s="9" t="n"/>
      <c r="W29" s="9" t="n"/>
      <c r="X29" s="9" t="n"/>
      <c r="Z29">
        <f>IF(A29="","",IF(AND(N29&lt;&gt;"",O29&lt;&gt;"",Q29&lt;&gt;"",R29&lt;&gt;"",S29="Y"),"YES","no"))</f>
        <v/>
      </c>
      <c r="AA29" s="9">
        <f>IF(Z29="YES",MAX(N29,O29,Q29,R29),"")</f>
        <v/>
      </c>
      <c r="AB29">
        <f>IF(A29="","",IF(X29&lt;&gt;"","13 Repeat activity",IF(W29&lt;&gt;"","12 First enquiry/order/booking",IF(Z29="YES","11 ACTIVATED",IF(Q29&lt;&gt;"","10 First listing live",IF(O29&lt;&gt;"","9 Profile completed",IF(N29&lt;&gt;"","8 Approved",IF(M29&lt;&gt;"","7 KYC submitted",IF(L29&lt;&gt;"","6 Registration completed",IF(K29&lt;&gt;"","5b Registration started",IF(H29&lt;&gt;"","5a Information sent",IF(G29&lt;&gt;"","5 Interested","—"))))))))))))</f>
        <v/>
      </c>
      <c r="AC29" s="10">
        <f>IF(A29="","",(COUNT(G29,H29,K29,L29,M29,N29,O29,Q29,R29)+(I29="Y")+(P29="Y")+(S29="Y"))/12)</f>
        <v/>
      </c>
      <c r="AD29">
        <f>IF(OR(A29="",COUNT(G29:X29)=0),"",TODAY()-MAX(G29,H29,K29,L29,M29,N29,O29,Q29,R29,W29,X29))</f>
        <v/>
      </c>
      <c r="AE29">
        <f>IF(A29="","",IF(AND(Z29&lt;&gt;"YES",AD29&lt;&gt;"",AD29&gt;THRESHOLDS!$B$12),"STUCK — act today",""))</f>
        <v/>
      </c>
      <c r="AF29">
        <f>IF(A29="","",IF(J29="Active (verified)","",IF(J29="","Ask GST status (readiness R2)","Escalate to founder: orders need verified GSTIN in current code — no tax advice")))</f>
        <v/>
      </c>
      <c r="AG29">
        <f>IF(AND(G29&lt;&gt;"",L29&lt;&gt;""),L29-G29,"")</f>
        <v/>
      </c>
      <c r="AH29">
        <f>IF(AND(L29&lt;&gt;"",N29&lt;&gt;""),N29-L29,"")</f>
        <v/>
      </c>
      <c r="AI29">
        <f>IF(AND(N29&lt;&gt;"",AA29&lt;&gt;""),AA29-N29,"")</f>
        <v/>
      </c>
      <c r="AJ29">
        <f>IF(AND(L29&lt;&gt;"",N29&lt;&gt;"",Q29&lt;&gt;""),"Qualifies (if FP-QUAL adopted)","")</f>
        <v/>
      </c>
    </row>
    <row r="30">
      <c r="G30" s="9" t="n"/>
      <c r="H30" s="9" t="n"/>
      <c r="K30" s="9" t="n"/>
      <c r="L30" s="9" t="n"/>
      <c r="M30" s="9" t="n"/>
      <c r="N30" s="9" t="n"/>
      <c r="O30" s="9" t="n"/>
      <c r="Q30" s="9" t="n"/>
      <c r="R30" s="9" t="n"/>
      <c r="W30" s="9" t="n"/>
      <c r="X30" s="9" t="n"/>
      <c r="Z30">
        <f>IF(A30="","",IF(AND(N30&lt;&gt;"",O30&lt;&gt;"",Q30&lt;&gt;"",R30&lt;&gt;"",S30="Y"),"YES","no"))</f>
        <v/>
      </c>
      <c r="AA30" s="9">
        <f>IF(Z30="YES",MAX(N30,O30,Q30,R30),"")</f>
        <v/>
      </c>
      <c r="AB30">
        <f>IF(A30="","",IF(X30&lt;&gt;"","13 Repeat activity",IF(W30&lt;&gt;"","12 First enquiry/order/booking",IF(Z30="YES","11 ACTIVATED",IF(Q30&lt;&gt;"","10 First listing live",IF(O30&lt;&gt;"","9 Profile completed",IF(N30&lt;&gt;"","8 Approved",IF(M30&lt;&gt;"","7 KYC submitted",IF(L30&lt;&gt;"","6 Registration completed",IF(K30&lt;&gt;"","5b Registration started",IF(H30&lt;&gt;"","5a Information sent",IF(G30&lt;&gt;"","5 Interested","—"))))))))))))</f>
        <v/>
      </c>
      <c r="AC30" s="10">
        <f>IF(A30="","",(COUNT(G30,H30,K30,L30,M30,N30,O30,Q30,R30)+(I30="Y")+(P30="Y")+(S30="Y"))/12)</f>
        <v/>
      </c>
      <c r="AD30">
        <f>IF(OR(A30="",COUNT(G30:X30)=0),"",TODAY()-MAX(G30,H30,K30,L30,M30,N30,O30,Q30,R30,W30,X30))</f>
        <v/>
      </c>
      <c r="AE30">
        <f>IF(A30="","",IF(AND(Z30&lt;&gt;"YES",AD30&lt;&gt;"",AD30&gt;THRESHOLDS!$B$12),"STUCK — act today",""))</f>
        <v/>
      </c>
      <c r="AF30">
        <f>IF(A30="","",IF(J30="Active (verified)","",IF(J30="","Ask GST status (readiness R2)","Escalate to founder: orders need verified GSTIN in current code — no tax advice")))</f>
        <v/>
      </c>
      <c r="AG30">
        <f>IF(AND(G30&lt;&gt;"",L30&lt;&gt;""),L30-G30,"")</f>
        <v/>
      </c>
      <c r="AH30">
        <f>IF(AND(L30&lt;&gt;"",N30&lt;&gt;""),N30-L30,"")</f>
        <v/>
      </c>
      <c r="AI30">
        <f>IF(AND(N30&lt;&gt;"",AA30&lt;&gt;""),AA30-N30,"")</f>
        <v/>
      </c>
      <c r="AJ30">
        <f>IF(AND(L30&lt;&gt;"",N30&lt;&gt;"",Q30&lt;&gt;""),"Qualifies (if FP-QUAL adopted)","")</f>
        <v/>
      </c>
    </row>
    <row r="31">
      <c r="G31" s="9" t="n"/>
      <c r="H31" s="9" t="n"/>
      <c r="K31" s="9" t="n"/>
      <c r="L31" s="9" t="n"/>
      <c r="M31" s="9" t="n"/>
      <c r="N31" s="9" t="n"/>
      <c r="O31" s="9" t="n"/>
      <c r="Q31" s="9" t="n"/>
      <c r="R31" s="9" t="n"/>
      <c r="W31" s="9" t="n"/>
      <c r="X31" s="9" t="n"/>
      <c r="Z31">
        <f>IF(A31="","",IF(AND(N31&lt;&gt;"",O31&lt;&gt;"",Q31&lt;&gt;"",R31&lt;&gt;"",S31="Y"),"YES","no"))</f>
        <v/>
      </c>
      <c r="AA31" s="9">
        <f>IF(Z31="YES",MAX(N31,O31,Q31,R31),"")</f>
        <v/>
      </c>
      <c r="AB31">
        <f>IF(A31="","",IF(X31&lt;&gt;"","13 Repeat activity",IF(W31&lt;&gt;"","12 First enquiry/order/booking",IF(Z31="YES","11 ACTIVATED",IF(Q31&lt;&gt;"","10 First listing live",IF(O31&lt;&gt;"","9 Profile completed",IF(N31&lt;&gt;"","8 Approved",IF(M31&lt;&gt;"","7 KYC submitted",IF(L31&lt;&gt;"","6 Registration completed",IF(K31&lt;&gt;"","5b Registration started",IF(H31&lt;&gt;"","5a Information sent",IF(G31&lt;&gt;"","5 Interested","—"))))))))))))</f>
        <v/>
      </c>
      <c r="AC31" s="10">
        <f>IF(A31="","",(COUNT(G31,H31,K31,L31,M31,N31,O31,Q31,R31)+(I31="Y")+(P31="Y")+(S31="Y"))/12)</f>
        <v/>
      </c>
      <c r="AD31">
        <f>IF(OR(A31="",COUNT(G31:X31)=0),"",TODAY()-MAX(G31,H31,K31,L31,M31,N31,O31,Q31,R31,W31,X31))</f>
        <v/>
      </c>
      <c r="AE31">
        <f>IF(A31="","",IF(AND(Z31&lt;&gt;"YES",AD31&lt;&gt;"",AD31&gt;THRESHOLDS!$B$12),"STUCK — act today",""))</f>
        <v/>
      </c>
      <c r="AF31">
        <f>IF(A31="","",IF(J31="Active (verified)","",IF(J31="","Ask GST status (readiness R2)","Escalate to founder: orders need verified GSTIN in current code — no tax advice")))</f>
        <v/>
      </c>
      <c r="AG31">
        <f>IF(AND(G31&lt;&gt;"",L31&lt;&gt;""),L31-G31,"")</f>
        <v/>
      </c>
      <c r="AH31">
        <f>IF(AND(L31&lt;&gt;"",N31&lt;&gt;""),N31-L31,"")</f>
        <v/>
      </c>
      <c r="AI31">
        <f>IF(AND(N31&lt;&gt;"",AA31&lt;&gt;""),AA31-N31,"")</f>
        <v/>
      </c>
      <c r="AJ31">
        <f>IF(AND(L31&lt;&gt;"",N31&lt;&gt;"",Q31&lt;&gt;""),"Qualifies (if FP-QUAL adopted)","")</f>
        <v/>
      </c>
    </row>
    <row r="32">
      <c r="G32" s="9" t="n"/>
      <c r="H32" s="9" t="n"/>
      <c r="K32" s="9" t="n"/>
      <c r="L32" s="9" t="n"/>
      <c r="M32" s="9" t="n"/>
      <c r="N32" s="9" t="n"/>
      <c r="O32" s="9" t="n"/>
      <c r="Q32" s="9" t="n"/>
      <c r="R32" s="9" t="n"/>
      <c r="W32" s="9" t="n"/>
      <c r="X32" s="9" t="n"/>
      <c r="Z32">
        <f>IF(A32="","",IF(AND(N32&lt;&gt;"",O32&lt;&gt;"",Q32&lt;&gt;"",R32&lt;&gt;"",S32="Y"),"YES","no"))</f>
        <v/>
      </c>
      <c r="AA32" s="9">
        <f>IF(Z32="YES",MAX(N32,O32,Q32,R32),"")</f>
        <v/>
      </c>
      <c r="AB32">
        <f>IF(A32="","",IF(X32&lt;&gt;"","13 Repeat activity",IF(W32&lt;&gt;"","12 First enquiry/order/booking",IF(Z32="YES","11 ACTIVATED",IF(Q32&lt;&gt;"","10 First listing live",IF(O32&lt;&gt;"","9 Profile completed",IF(N32&lt;&gt;"","8 Approved",IF(M32&lt;&gt;"","7 KYC submitted",IF(L32&lt;&gt;"","6 Registration completed",IF(K32&lt;&gt;"","5b Registration started",IF(H32&lt;&gt;"","5a Information sent",IF(G32&lt;&gt;"","5 Interested","—"))))))))))))</f>
        <v/>
      </c>
      <c r="AC32" s="10">
        <f>IF(A32="","",(COUNT(G32,H32,K32,L32,M32,N32,O32,Q32,R32)+(I32="Y")+(P32="Y")+(S32="Y"))/12)</f>
        <v/>
      </c>
      <c r="AD32">
        <f>IF(OR(A32="",COUNT(G32:X32)=0),"",TODAY()-MAX(G32,H32,K32,L32,M32,N32,O32,Q32,R32,W32,X32))</f>
        <v/>
      </c>
      <c r="AE32">
        <f>IF(A32="","",IF(AND(Z32&lt;&gt;"YES",AD32&lt;&gt;"",AD32&gt;THRESHOLDS!$B$12),"STUCK — act today",""))</f>
        <v/>
      </c>
      <c r="AF32">
        <f>IF(A32="","",IF(J32="Active (verified)","",IF(J32="","Ask GST status (readiness R2)","Escalate to founder: orders need verified GSTIN in current code — no tax advice")))</f>
        <v/>
      </c>
      <c r="AG32">
        <f>IF(AND(G32&lt;&gt;"",L32&lt;&gt;""),L32-G32,"")</f>
        <v/>
      </c>
      <c r="AH32">
        <f>IF(AND(L32&lt;&gt;"",N32&lt;&gt;""),N32-L32,"")</f>
        <v/>
      </c>
      <c r="AI32">
        <f>IF(AND(N32&lt;&gt;"",AA32&lt;&gt;""),AA32-N32,"")</f>
        <v/>
      </c>
      <c r="AJ32">
        <f>IF(AND(L32&lt;&gt;"",N32&lt;&gt;"",Q32&lt;&gt;""),"Qualifies (if FP-QUAL adopted)","")</f>
        <v/>
      </c>
    </row>
    <row r="33">
      <c r="G33" s="9" t="n"/>
      <c r="H33" s="9" t="n"/>
      <c r="K33" s="9" t="n"/>
      <c r="L33" s="9" t="n"/>
      <c r="M33" s="9" t="n"/>
      <c r="N33" s="9" t="n"/>
      <c r="O33" s="9" t="n"/>
      <c r="Q33" s="9" t="n"/>
      <c r="R33" s="9" t="n"/>
      <c r="W33" s="9" t="n"/>
      <c r="X33" s="9" t="n"/>
      <c r="Z33">
        <f>IF(A33="","",IF(AND(N33&lt;&gt;"",O33&lt;&gt;"",Q33&lt;&gt;"",R33&lt;&gt;"",S33="Y"),"YES","no"))</f>
        <v/>
      </c>
      <c r="AA33" s="9">
        <f>IF(Z33="YES",MAX(N33,O33,Q33,R33),"")</f>
        <v/>
      </c>
      <c r="AB33">
        <f>IF(A33="","",IF(X33&lt;&gt;"","13 Repeat activity",IF(W33&lt;&gt;"","12 First enquiry/order/booking",IF(Z33="YES","11 ACTIVATED",IF(Q33&lt;&gt;"","10 First listing live",IF(O33&lt;&gt;"","9 Profile completed",IF(N33&lt;&gt;"","8 Approved",IF(M33&lt;&gt;"","7 KYC submitted",IF(L33&lt;&gt;"","6 Registration completed",IF(K33&lt;&gt;"","5b Registration started",IF(H33&lt;&gt;"","5a Information sent",IF(G33&lt;&gt;"","5 Interested","—"))))))))))))</f>
        <v/>
      </c>
      <c r="AC33" s="10">
        <f>IF(A33="","",(COUNT(G33,H33,K33,L33,M33,N33,O33,Q33,R33)+(I33="Y")+(P33="Y")+(S33="Y"))/12)</f>
        <v/>
      </c>
      <c r="AD33">
        <f>IF(OR(A33="",COUNT(G33:X33)=0),"",TODAY()-MAX(G33,H33,K33,L33,M33,N33,O33,Q33,R33,W33,X33))</f>
        <v/>
      </c>
      <c r="AE33">
        <f>IF(A33="","",IF(AND(Z33&lt;&gt;"YES",AD33&lt;&gt;"",AD33&gt;THRESHOLDS!$B$12),"STUCK — act today",""))</f>
        <v/>
      </c>
      <c r="AF33">
        <f>IF(A33="","",IF(J33="Active (verified)","",IF(J33="","Ask GST status (readiness R2)","Escalate to founder: orders need verified GSTIN in current code — no tax advice")))</f>
        <v/>
      </c>
      <c r="AG33">
        <f>IF(AND(G33&lt;&gt;"",L33&lt;&gt;""),L33-G33,"")</f>
        <v/>
      </c>
      <c r="AH33">
        <f>IF(AND(L33&lt;&gt;"",N33&lt;&gt;""),N33-L33,"")</f>
        <v/>
      </c>
      <c r="AI33">
        <f>IF(AND(N33&lt;&gt;"",AA33&lt;&gt;""),AA33-N33,"")</f>
        <v/>
      </c>
      <c r="AJ33">
        <f>IF(AND(L33&lt;&gt;"",N33&lt;&gt;"",Q33&lt;&gt;""),"Qualifies (if FP-QUAL adopted)","")</f>
        <v/>
      </c>
    </row>
    <row r="34">
      <c r="G34" s="9" t="n"/>
      <c r="H34" s="9" t="n"/>
      <c r="K34" s="9" t="n"/>
      <c r="L34" s="9" t="n"/>
      <c r="M34" s="9" t="n"/>
      <c r="N34" s="9" t="n"/>
      <c r="O34" s="9" t="n"/>
      <c r="Q34" s="9" t="n"/>
      <c r="R34" s="9" t="n"/>
      <c r="W34" s="9" t="n"/>
      <c r="X34" s="9" t="n"/>
      <c r="Z34">
        <f>IF(A34="","",IF(AND(N34&lt;&gt;"",O34&lt;&gt;"",Q34&lt;&gt;"",R34&lt;&gt;"",S34="Y"),"YES","no"))</f>
        <v/>
      </c>
      <c r="AA34" s="9">
        <f>IF(Z34="YES",MAX(N34,O34,Q34,R34),"")</f>
        <v/>
      </c>
      <c r="AB34">
        <f>IF(A34="","",IF(X34&lt;&gt;"","13 Repeat activity",IF(W34&lt;&gt;"","12 First enquiry/order/booking",IF(Z34="YES","11 ACTIVATED",IF(Q34&lt;&gt;"","10 First listing live",IF(O34&lt;&gt;"","9 Profile completed",IF(N34&lt;&gt;"","8 Approved",IF(M34&lt;&gt;"","7 KYC submitted",IF(L34&lt;&gt;"","6 Registration completed",IF(K34&lt;&gt;"","5b Registration started",IF(H34&lt;&gt;"","5a Information sent",IF(G34&lt;&gt;"","5 Interested","—"))))))))))))</f>
        <v/>
      </c>
      <c r="AC34" s="10">
        <f>IF(A34="","",(COUNT(G34,H34,K34,L34,M34,N34,O34,Q34,R34)+(I34="Y")+(P34="Y")+(S34="Y"))/12)</f>
        <v/>
      </c>
      <c r="AD34">
        <f>IF(OR(A34="",COUNT(G34:X34)=0),"",TODAY()-MAX(G34,H34,K34,L34,M34,N34,O34,Q34,R34,W34,X34))</f>
        <v/>
      </c>
      <c r="AE34">
        <f>IF(A34="","",IF(AND(Z34&lt;&gt;"YES",AD34&lt;&gt;"",AD34&gt;THRESHOLDS!$B$12),"STUCK — act today",""))</f>
        <v/>
      </c>
      <c r="AF34">
        <f>IF(A34="","",IF(J34="Active (verified)","",IF(J34="","Ask GST status (readiness R2)","Escalate to founder: orders need verified GSTIN in current code — no tax advice")))</f>
        <v/>
      </c>
      <c r="AG34">
        <f>IF(AND(G34&lt;&gt;"",L34&lt;&gt;""),L34-G34,"")</f>
        <v/>
      </c>
      <c r="AH34">
        <f>IF(AND(L34&lt;&gt;"",N34&lt;&gt;""),N34-L34,"")</f>
        <v/>
      </c>
      <c r="AI34">
        <f>IF(AND(N34&lt;&gt;"",AA34&lt;&gt;""),AA34-N34,"")</f>
        <v/>
      </c>
      <c r="AJ34">
        <f>IF(AND(L34&lt;&gt;"",N34&lt;&gt;"",Q34&lt;&gt;""),"Qualifies (if FP-QUAL adopted)","")</f>
        <v/>
      </c>
    </row>
    <row r="35">
      <c r="G35" s="9" t="n"/>
      <c r="H35" s="9" t="n"/>
      <c r="K35" s="9" t="n"/>
      <c r="L35" s="9" t="n"/>
      <c r="M35" s="9" t="n"/>
      <c r="N35" s="9" t="n"/>
      <c r="O35" s="9" t="n"/>
      <c r="Q35" s="9" t="n"/>
      <c r="R35" s="9" t="n"/>
      <c r="W35" s="9" t="n"/>
      <c r="X35" s="9" t="n"/>
      <c r="Z35">
        <f>IF(A35="","",IF(AND(N35&lt;&gt;"",O35&lt;&gt;"",Q35&lt;&gt;"",R35&lt;&gt;"",S35="Y"),"YES","no"))</f>
        <v/>
      </c>
      <c r="AA35" s="9">
        <f>IF(Z35="YES",MAX(N35,O35,Q35,R35),"")</f>
        <v/>
      </c>
      <c r="AB35">
        <f>IF(A35="","",IF(X35&lt;&gt;"","13 Repeat activity",IF(W35&lt;&gt;"","12 First enquiry/order/booking",IF(Z35="YES","11 ACTIVATED",IF(Q35&lt;&gt;"","10 First listing live",IF(O35&lt;&gt;"","9 Profile completed",IF(N35&lt;&gt;"","8 Approved",IF(M35&lt;&gt;"","7 KYC submitted",IF(L35&lt;&gt;"","6 Registration completed",IF(K35&lt;&gt;"","5b Registration started",IF(H35&lt;&gt;"","5a Information sent",IF(G35&lt;&gt;"","5 Interested","—"))))))))))))</f>
        <v/>
      </c>
      <c r="AC35" s="10">
        <f>IF(A35="","",(COUNT(G35,H35,K35,L35,M35,N35,O35,Q35,R35)+(I35="Y")+(P35="Y")+(S35="Y"))/12)</f>
        <v/>
      </c>
      <c r="AD35">
        <f>IF(OR(A35="",COUNT(G35:X35)=0),"",TODAY()-MAX(G35,H35,K35,L35,M35,N35,O35,Q35,R35,W35,X35))</f>
        <v/>
      </c>
      <c r="AE35">
        <f>IF(A35="","",IF(AND(Z35&lt;&gt;"YES",AD35&lt;&gt;"",AD35&gt;THRESHOLDS!$B$12),"STUCK — act today",""))</f>
        <v/>
      </c>
      <c r="AF35">
        <f>IF(A35="","",IF(J35="Active (verified)","",IF(J35="","Ask GST status (readiness R2)","Escalate to founder: orders need verified GSTIN in current code — no tax advice")))</f>
        <v/>
      </c>
      <c r="AG35">
        <f>IF(AND(G35&lt;&gt;"",L35&lt;&gt;""),L35-G35,"")</f>
        <v/>
      </c>
      <c r="AH35">
        <f>IF(AND(L35&lt;&gt;"",N35&lt;&gt;""),N35-L35,"")</f>
        <v/>
      </c>
      <c r="AI35">
        <f>IF(AND(N35&lt;&gt;"",AA35&lt;&gt;""),AA35-N35,"")</f>
        <v/>
      </c>
      <c r="AJ35">
        <f>IF(AND(L35&lt;&gt;"",N35&lt;&gt;"",Q35&lt;&gt;""),"Qualifies (if FP-QUAL adopted)","")</f>
        <v/>
      </c>
    </row>
    <row r="36">
      <c r="G36" s="9" t="n"/>
      <c r="H36" s="9" t="n"/>
      <c r="K36" s="9" t="n"/>
      <c r="L36" s="9" t="n"/>
      <c r="M36" s="9" t="n"/>
      <c r="N36" s="9" t="n"/>
      <c r="O36" s="9" t="n"/>
      <c r="Q36" s="9" t="n"/>
      <c r="R36" s="9" t="n"/>
      <c r="W36" s="9" t="n"/>
      <c r="X36" s="9" t="n"/>
      <c r="Z36">
        <f>IF(A36="","",IF(AND(N36&lt;&gt;"",O36&lt;&gt;"",Q36&lt;&gt;"",R36&lt;&gt;"",S36="Y"),"YES","no"))</f>
        <v/>
      </c>
      <c r="AA36" s="9">
        <f>IF(Z36="YES",MAX(N36,O36,Q36,R36),"")</f>
        <v/>
      </c>
      <c r="AB36">
        <f>IF(A36="","",IF(X36&lt;&gt;"","13 Repeat activity",IF(W36&lt;&gt;"","12 First enquiry/order/booking",IF(Z36="YES","11 ACTIVATED",IF(Q36&lt;&gt;"","10 First listing live",IF(O36&lt;&gt;"","9 Profile completed",IF(N36&lt;&gt;"","8 Approved",IF(M36&lt;&gt;"","7 KYC submitted",IF(L36&lt;&gt;"","6 Registration completed",IF(K36&lt;&gt;"","5b Registration started",IF(H36&lt;&gt;"","5a Information sent",IF(G36&lt;&gt;"","5 Interested","—"))))))))))))</f>
        <v/>
      </c>
      <c r="AC36" s="10">
        <f>IF(A36="","",(COUNT(G36,H36,K36,L36,M36,N36,O36,Q36,R36)+(I36="Y")+(P36="Y")+(S36="Y"))/12)</f>
        <v/>
      </c>
      <c r="AD36">
        <f>IF(OR(A36="",COUNT(G36:X36)=0),"",TODAY()-MAX(G36,H36,K36,L36,M36,N36,O36,Q36,R36,W36,X36))</f>
        <v/>
      </c>
      <c r="AE36">
        <f>IF(A36="","",IF(AND(Z36&lt;&gt;"YES",AD36&lt;&gt;"",AD36&gt;THRESHOLDS!$B$12),"STUCK — act today",""))</f>
        <v/>
      </c>
      <c r="AF36">
        <f>IF(A36="","",IF(J36="Active (verified)","",IF(J36="","Ask GST status (readiness R2)","Escalate to founder: orders need verified GSTIN in current code — no tax advice")))</f>
        <v/>
      </c>
      <c r="AG36">
        <f>IF(AND(G36&lt;&gt;"",L36&lt;&gt;""),L36-G36,"")</f>
        <v/>
      </c>
      <c r="AH36">
        <f>IF(AND(L36&lt;&gt;"",N36&lt;&gt;""),N36-L36,"")</f>
        <v/>
      </c>
      <c r="AI36">
        <f>IF(AND(N36&lt;&gt;"",AA36&lt;&gt;""),AA36-N36,"")</f>
        <v/>
      </c>
      <c r="AJ36">
        <f>IF(AND(L36&lt;&gt;"",N36&lt;&gt;"",Q36&lt;&gt;""),"Qualifies (if FP-QUAL adopted)","")</f>
        <v/>
      </c>
    </row>
    <row r="37">
      <c r="G37" s="9" t="n"/>
      <c r="H37" s="9" t="n"/>
      <c r="K37" s="9" t="n"/>
      <c r="L37" s="9" t="n"/>
      <c r="M37" s="9" t="n"/>
      <c r="N37" s="9" t="n"/>
      <c r="O37" s="9" t="n"/>
      <c r="Q37" s="9" t="n"/>
      <c r="R37" s="9" t="n"/>
      <c r="W37" s="9" t="n"/>
      <c r="X37" s="9" t="n"/>
      <c r="Z37">
        <f>IF(A37="","",IF(AND(N37&lt;&gt;"",O37&lt;&gt;"",Q37&lt;&gt;"",R37&lt;&gt;"",S37="Y"),"YES","no"))</f>
        <v/>
      </c>
      <c r="AA37" s="9">
        <f>IF(Z37="YES",MAX(N37,O37,Q37,R37),"")</f>
        <v/>
      </c>
      <c r="AB37">
        <f>IF(A37="","",IF(X37&lt;&gt;"","13 Repeat activity",IF(W37&lt;&gt;"","12 First enquiry/order/booking",IF(Z37="YES","11 ACTIVATED",IF(Q37&lt;&gt;"","10 First listing live",IF(O37&lt;&gt;"","9 Profile completed",IF(N37&lt;&gt;"","8 Approved",IF(M37&lt;&gt;"","7 KYC submitted",IF(L37&lt;&gt;"","6 Registration completed",IF(K37&lt;&gt;"","5b Registration started",IF(H37&lt;&gt;"","5a Information sent",IF(G37&lt;&gt;"","5 Interested","—"))))))))))))</f>
        <v/>
      </c>
      <c r="AC37" s="10">
        <f>IF(A37="","",(COUNT(G37,H37,K37,L37,M37,N37,O37,Q37,R37)+(I37="Y")+(P37="Y")+(S37="Y"))/12)</f>
        <v/>
      </c>
      <c r="AD37">
        <f>IF(OR(A37="",COUNT(G37:X37)=0),"",TODAY()-MAX(G37,H37,K37,L37,M37,N37,O37,Q37,R37,W37,X37))</f>
        <v/>
      </c>
      <c r="AE37">
        <f>IF(A37="","",IF(AND(Z37&lt;&gt;"YES",AD37&lt;&gt;"",AD37&gt;THRESHOLDS!$B$12),"STUCK — act today",""))</f>
        <v/>
      </c>
      <c r="AF37">
        <f>IF(A37="","",IF(J37="Active (verified)","",IF(J37="","Ask GST status (readiness R2)","Escalate to founder: orders need verified GSTIN in current code — no tax advice")))</f>
        <v/>
      </c>
      <c r="AG37">
        <f>IF(AND(G37&lt;&gt;"",L37&lt;&gt;""),L37-G37,"")</f>
        <v/>
      </c>
      <c r="AH37">
        <f>IF(AND(L37&lt;&gt;"",N37&lt;&gt;""),N37-L37,"")</f>
        <v/>
      </c>
      <c r="AI37">
        <f>IF(AND(N37&lt;&gt;"",AA37&lt;&gt;""),AA37-N37,"")</f>
        <v/>
      </c>
      <c r="AJ37">
        <f>IF(AND(L37&lt;&gt;"",N37&lt;&gt;"",Q37&lt;&gt;""),"Qualifies (if FP-QUAL adopted)","")</f>
        <v/>
      </c>
    </row>
    <row r="38">
      <c r="G38" s="9" t="n"/>
      <c r="H38" s="9" t="n"/>
      <c r="K38" s="9" t="n"/>
      <c r="L38" s="9" t="n"/>
      <c r="M38" s="9" t="n"/>
      <c r="N38" s="9" t="n"/>
      <c r="O38" s="9" t="n"/>
      <c r="Q38" s="9" t="n"/>
      <c r="R38" s="9" t="n"/>
      <c r="W38" s="9" t="n"/>
      <c r="X38" s="9" t="n"/>
      <c r="Z38">
        <f>IF(A38="","",IF(AND(N38&lt;&gt;"",O38&lt;&gt;"",Q38&lt;&gt;"",R38&lt;&gt;"",S38="Y"),"YES","no"))</f>
        <v/>
      </c>
      <c r="AA38" s="9">
        <f>IF(Z38="YES",MAX(N38,O38,Q38,R38),"")</f>
        <v/>
      </c>
      <c r="AB38">
        <f>IF(A38="","",IF(X38&lt;&gt;"","13 Repeat activity",IF(W38&lt;&gt;"","12 First enquiry/order/booking",IF(Z38="YES","11 ACTIVATED",IF(Q38&lt;&gt;"","10 First listing live",IF(O38&lt;&gt;"","9 Profile completed",IF(N38&lt;&gt;"","8 Approved",IF(M38&lt;&gt;"","7 KYC submitted",IF(L38&lt;&gt;"","6 Registration completed",IF(K38&lt;&gt;"","5b Registration started",IF(H38&lt;&gt;"","5a Information sent",IF(G38&lt;&gt;"","5 Interested","—"))))))))))))</f>
        <v/>
      </c>
      <c r="AC38" s="10">
        <f>IF(A38="","",(COUNT(G38,H38,K38,L38,M38,N38,O38,Q38,R38)+(I38="Y")+(P38="Y")+(S38="Y"))/12)</f>
        <v/>
      </c>
      <c r="AD38">
        <f>IF(OR(A38="",COUNT(G38:X38)=0),"",TODAY()-MAX(G38,H38,K38,L38,M38,N38,O38,Q38,R38,W38,X38))</f>
        <v/>
      </c>
      <c r="AE38">
        <f>IF(A38="","",IF(AND(Z38&lt;&gt;"YES",AD38&lt;&gt;"",AD38&gt;THRESHOLDS!$B$12),"STUCK — act today",""))</f>
        <v/>
      </c>
      <c r="AF38">
        <f>IF(A38="","",IF(J38="Active (verified)","",IF(J38="","Ask GST status (readiness R2)","Escalate to founder: orders need verified GSTIN in current code — no tax advice")))</f>
        <v/>
      </c>
      <c r="AG38">
        <f>IF(AND(G38&lt;&gt;"",L38&lt;&gt;""),L38-G38,"")</f>
        <v/>
      </c>
      <c r="AH38">
        <f>IF(AND(L38&lt;&gt;"",N38&lt;&gt;""),N38-L38,"")</f>
        <v/>
      </c>
      <c r="AI38">
        <f>IF(AND(N38&lt;&gt;"",AA38&lt;&gt;""),AA38-N38,"")</f>
        <v/>
      </c>
      <c r="AJ38">
        <f>IF(AND(L38&lt;&gt;"",N38&lt;&gt;"",Q38&lt;&gt;""),"Qualifies (if FP-QUAL adopted)","")</f>
        <v/>
      </c>
    </row>
    <row r="39">
      <c r="G39" s="9" t="n"/>
      <c r="H39" s="9" t="n"/>
      <c r="K39" s="9" t="n"/>
      <c r="L39" s="9" t="n"/>
      <c r="M39" s="9" t="n"/>
      <c r="N39" s="9" t="n"/>
      <c r="O39" s="9" t="n"/>
      <c r="Q39" s="9" t="n"/>
      <c r="R39" s="9" t="n"/>
      <c r="W39" s="9" t="n"/>
      <c r="X39" s="9" t="n"/>
      <c r="Z39">
        <f>IF(A39="","",IF(AND(N39&lt;&gt;"",O39&lt;&gt;"",Q39&lt;&gt;"",R39&lt;&gt;"",S39="Y"),"YES","no"))</f>
        <v/>
      </c>
      <c r="AA39" s="9">
        <f>IF(Z39="YES",MAX(N39,O39,Q39,R39),"")</f>
        <v/>
      </c>
      <c r="AB39">
        <f>IF(A39="","",IF(X39&lt;&gt;"","13 Repeat activity",IF(W39&lt;&gt;"","12 First enquiry/order/booking",IF(Z39="YES","11 ACTIVATED",IF(Q39&lt;&gt;"","10 First listing live",IF(O39&lt;&gt;"","9 Profile completed",IF(N39&lt;&gt;"","8 Approved",IF(M39&lt;&gt;"","7 KYC submitted",IF(L39&lt;&gt;"","6 Registration completed",IF(K39&lt;&gt;"","5b Registration started",IF(H39&lt;&gt;"","5a Information sent",IF(G39&lt;&gt;"","5 Interested","—"))))))))))))</f>
        <v/>
      </c>
      <c r="AC39" s="10">
        <f>IF(A39="","",(COUNT(G39,H39,K39,L39,M39,N39,O39,Q39,R39)+(I39="Y")+(P39="Y")+(S39="Y"))/12)</f>
        <v/>
      </c>
      <c r="AD39">
        <f>IF(OR(A39="",COUNT(G39:X39)=0),"",TODAY()-MAX(G39,H39,K39,L39,M39,N39,O39,Q39,R39,W39,X39))</f>
        <v/>
      </c>
      <c r="AE39">
        <f>IF(A39="","",IF(AND(Z39&lt;&gt;"YES",AD39&lt;&gt;"",AD39&gt;THRESHOLDS!$B$12),"STUCK — act today",""))</f>
        <v/>
      </c>
      <c r="AF39">
        <f>IF(A39="","",IF(J39="Active (verified)","",IF(J39="","Ask GST status (readiness R2)","Escalate to founder: orders need verified GSTIN in current code — no tax advice")))</f>
        <v/>
      </c>
      <c r="AG39">
        <f>IF(AND(G39&lt;&gt;"",L39&lt;&gt;""),L39-G39,"")</f>
        <v/>
      </c>
      <c r="AH39">
        <f>IF(AND(L39&lt;&gt;"",N39&lt;&gt;""),N39-L39,"")</f>
        <v/>
      </c>
      <c r="AI39">
        <f>IF(AND(N39&lt;&gt;"",AA39&lt;&gt;""),AA39-N39,"")</f>
        <v/>
      </c>
      <c r="AJ39">
        <f>IF(AND(L39&lt;&gt;"",N39&lt;&gt;"",Q39&lt;&gt;""),"Qualifies (if FP-QUAL adopted)","")</f>
        <v/>
      </c>
    </row>
    <row r="40">
      <c r="G40" s="9" t="n"/>
      <c r="H40" s="9" t="n"/>
      <c r="K40" s="9" t="n"/>
      <c r="L40" s="9" t="n"/>
      <c r="M40" s="9" t="n"/>
      <c r="N40" s="9" t="n"/>
      <c r="O40" s="9" t="n"/>
      <c r="Q40" s="9" t="n"/>
      <c r="R40" s="9" t="n"/>
      <c r="W40" s="9" t="n"/>
      <c r="X40" s="9" t="n"/>
      <c r="Z40">
        <f>IF(A40="","",IF(AND(N40&lt;&gt;"",O40&lt;&gt;"",Q40&lt;&gt;"",R40&lt;&gt;"",S40="Y"),"YES","no"))</f>
        <v/>
      </c>
      <c r="AA40" s="9">
        <f>IF(Z40="YES",MAX(N40,O40,Q40,R40),"")</f>
        <v/>
      </c>
      <c r="AB40">
        <f>IF(A40="","",IF(X40&lt;&gt;"","13 Repeat activity",IF(W40&lt;&gt;"","12 First enquiry/order/booking",IF(Z40="YES","11 ACTIVATED",IF(Q40&lt;&gt;"","10 First listing live",IF(O40&lt;&gt;"","9 Profile completed",IF(N40&lt;&gt;"","8 Approved",IF(M40&lt;&gt;"","7 KYC submitted",IF(L40&lt;&gt;"","6 Registration completed",IF(K40&lt;&gt;"","5b Registration started",IF(H40&lt;&gt;"","5a Information sent",IF(G40&lt;&gt;"","5 Interested","—"))))))))))))</f>
        <v/>
      </c>
      <c r="AC40" s="10">
        <f>IF(A40="","",(COUNT(G40,H40,K40,L40,M40,N40,O40,Q40,R40)+(I40="Y")+(P40="Y")+(S40="Y"))/12)</f>
        <v/>
      </c>
      <c r="AD40">
        <f>IF(OR(A40="",COUNT(G40:X40)=0),"",TODAY()-MAX(G40,H40,K40,L40,M40,N40,O40,Q40,R40,W40,X40))</f>
        <v/>
      </c>
      <c r="AE40">
        <f>IF(A40="","",IF(AND(Z40&lt;&gt;"YES",AD40&lt;&gt;"",AD40&gt;THRESHOLDS!$B$12),"STUCK — act today",""))</f>
        <v/>
      </c>
      <c r="AF40">
        <f>IF(A40="","",IF(J40="Active (verified)","",IF(J40="","Ask GST status (readiness R2)","Escalate to founder: orders need verified GSTIN in current code — no tax advice")))</f>
        <v/>
      </c>
      <c r="AG40">
        <f>IF(AND(G40&lt;&gt;"",L40&lt;&gt;""),L40-G40,"")</f>
        <v/>
      </c>
      <c r="AH40">
        <f>IF(AND(L40&lt;&gt;"",N40&lt;&gt;""),N40-L40,"")</f>
        <v/>
      </c>
      <c r="AI40">
        <f>IF(AND(N40&lt;&gt;"",AA40&lt;&gt;""),AA40-N40,"")</f>
        <v/>
      </c>
      <c r="AJ40">
        <f>IF(AND(L40&lt;&gt;"",N40&lt;&gt;"",Q40&lt;&gt;""),"Qualifies (if FP-QUAL adopted)","")</f>
        <v/>
      </c>
    </row>
    <row r="41">
      <c r="G41" s="9" t="n"/>
      <c r="H41" s="9" t="n"/>
      <c r="K41" s="9" t="n"/>
      <c r="L41" s="9" t="n"/>
      <c r="M41" s="9" t="n"/>
      <c r="N41" s="9" t="n"/>
      <c r="O41" s="9" t="n"/>
      <c r="Q41" s="9" t="n"/>
      <c r="R41" s="9" t="n"/>
      <c r="W41" s="9" t="n"/>
      <c r="X41" s="9" t="n"/>
      <c r="Z41">
        <f>IF(A41="","",IF(AND(N41&lt;&gt;"",O41&lt;&gt;"",Q41&lt;&gt;"",R41&lt;&gt;"",S41="Y"),"YES","no"))</f>
        <v/>
      </c>
      <c r="AA41" s="9">
        <f>IF(Z41="YES",MAX(N41,O41,Q41,R41),"")</f>
        <v/>
      </c>
      <c r="AB41">
        <f>IF(A41="","",IF(X41&lt;&gt;"","13 Repeat activity",IF(W41&lt;&gt;"","12 First enquiry/order/booking",IF(Z41="YES","11 ACTIVATED",IF(Q41&lt;&gt;"","10 First listing live",IF(O41&lt;&gt;"","9 Profile completed",IF(N41&lt;&gt;"","8 Approved",IF(M41&lt;&gt;"","7 KYC submitted",IF(L41&lt;&gt;"","6 Registration completed",IF(K41&lt;&gt;"","5b Registration started",IF(H41&lt;&gt;"","5a Information sent",IF(G41&lt;&gt;"","5 Interested","—"))))))))))))</f>
        <v/>
      </c>
      <c r="AC41" s="10">
        <f>IF(A41="","",(COUNT(G41,H41,K41,L41,M41,N41,O41,Q41,R41)+(I41="Y")+(P41="Y")+(S41="Y"))/12)</f>
        <v/>
      </c>
      <c r="AD41">
        <f>IF(OR(A41="",COUNT(G41:X41)=0),"",TODAY()-MAX(G41,H41,K41,L41,M41,N41,O41,Q41,R41,W41,X41))</f>
        <v/>
      </c>
      <c r="AE41">
        <f>IF(A41="","",IF(AND(Z41&lt;&gt;"YES",AD41&lt;&gt;"",AD41&gt;THRESHOLDS!$B$12),"STUCK — act today",""))</f>
        <v/>
      </c>
      <c r="AF41">
        <f>IF(A41="","",IF(J41="Active (verified)","",IF(J41="","Ask GST status (readiness R2)","Escalate to founder: orders need verified GSTIN in current code — no tax advice")))</f>
        <v/>
      </c>
      <c r="AG41">
        <f>IF(AND(G41&lt;&gt;"",L41&lt;&gt;""),L41-G41,"")</f>
        <v/>
      </c>
      <c r="AH41">
        <f>IF(AND(L41&lt;&gt;"",N41&lt;&gt;""),N41-L41,"")</f>
        <v/>
      </c>
      <c r="AI41">
        <f>IF(AND(N41&lt;&gt;"",AA41&lt;&gt;""),AA41-N41,"")</f>
        <v/>
      </c>
      <c r="AJ41">
        <f>IF(AND(L41&lt;&gt;"",N41&lt;&gt;"",Q41&lt;&gt;""),"Qualifies (if FP-QUAL adopted)","")</f>
        <v/>
      </c>
    </row>
    <row r="42">
      <c r="G42" s="9" t="n"/>
      <c r="H42" s="9" t="n"/>
      <c r="K42" s="9" t="n"/>
      <c r="L42" s="9" t="n"/>
      <c r="M42" s="9" t="n"/>
      <c r="N42" s="9" t="n"/>
      <c r="O42" s="9" t="n"/>
      <c r="Q42" s="9" t="n"/>
      <c r="R42" s="9" t="n"/>
      <c r="W42" s="9" t="n"/>
      <c r="X42" s="9" t="n"/>
      <c r="Z42">
        <f>IF(A42="","",IF(AND(N42&lt;&gt;"",O42&lt;&gt;"",Q42&lt;&gt;"",R42&lt;&gt;"",S42="Y"),"YES","no"))</f>
        <v/>
      </c>
      <c r="AA42" s="9">
        <f>IF(Z42="YES",MAX(N42,O42,Q42,R42),"")</f>
        <v/>
      </c>
      <c r="AB42">
        <f>IF(A42="","",IF(X42&lt;&gt;"","13 Repeat activity",IF(W42&lt;&gt;"","12 First enquiry/order/booking",IF(Z42="YES","11 ACTIVATED",IF(Q42&lt;&gt;"","10 First listing live",IF(O42&lt;&gt;"","9 Profile completed",IF(N42&lt;&gt;"","8 Approved",IF(M42&lt;&gt;"","7 KYC submitted",IF(L42&lt;&gt;"","6 Registration completed",IF(K42&lt;&gt;"","5b Registration started",IF(H42&lt;&gt;"","5a Information sent",IF(G42&lt;&gt;"","5 Interested","—"))))))))))))</f>
        <v/>
      </c>
      <c r="AC42" s="10">
        <f>IF(A42="","",(COUNT(G42,H42,K42,L42,M42,N42,O42,Q42,R42)+(I42="Y")+(P42="Y")+(S42="Y"))/12)</f>
        <v/>
      </c>
      <c r="AD42">
        <f>IF(OR(A42="",COUNT(G42:X42)=0),"",TODAY()-MAX(G42,H42,K42,L42,M42,N42,O42,Q42,R42,W42,X42))</f>
        <v/>
      </c>
      <c r="AE42">
        <f>IF(A42="","",IF(AND(Z42&lt;&gt;"YES",AD42&lt;&gt;"",AD42&gt;THRESHOLDS!$B$12),"STUCK — act today",""))</f>
        <v/>
      </c>
      <c r="AF42">
        <f>IF(A42="","",IF(J42="Active (verified)","",IF(J42="","Ask GST status (readiness R2)","Escalate to founder: orders need verified GSTIN in current code — no tax advice")))</f>
        <v/>
      </c>
      <c r="AG42">
        <f>IF(AND(G42&lt;&gt;"",L42&lt;&gt;""),L42-G42,"")</f>
        <v/>
      </c>
      <c r="AH42">
        <f>IF(AND(L42&lt;&gt;"",N42&lt;&gt;""),N42-L42,"")</f>
        <v/>
      </c>
      <c r="AI42">
        <f>IF(AND(N42&lt;&gt;"",AA42&lt;&gt;""),AA42-N42,"")</f>
        <v/>
      </c>
      <c r="AJ42">
        <f>IF(AND(L42&lt;&gt;"",N42&lt;&gt;"",Q42&lt;&gt;""),"Qualifies (if FP-QUAL adopted)","")</f>
        <v/>
      </c>
    </row>
    <row r="43">
      <c r="G43" s="9" t="n"/>
      <c r="H43" s="9" t="n"/>
      <c r="K43" s="9" t="n"/>
      <c r="L43" s="9" t="n"/>
      <c r="M43" s="9" t="n"/>
      <c r="N43" s="9" t="n"/>
      <c r="O43" s="9" t="n"/>
      <c r="Q43" s="9" t="n"/>
      <c r="R43" s="9" t="n"/>
      <c r="W43" s="9" t="n"/>
      <c r="X43" s="9" t="n"/>
      <c r="Z43">
        <f>IF(A43="","",IF(AND(N43&lt;&gt;"",O43&lt;&gt;"",Q43&lt;&gt;"",R43&lt;&gt;"",S43="Y"),"YES","no"))</f>
        <v/>
      </c>
      <c r="AA43" s="9">
        <f>IF(Z43="YES",MAX(N43,O43,Q43,R43),"")</f>
        <v/>
      </c>
      <c r="AB43">
        <f>IF(A43="","",IF(X43&lt;&gt;"","13 Repeat activity",IF(W43&lt;&gt;"","12 First enquiry/order/booking",IF(Z43="YES","11 ACTIVATED",IF(Q43&lt;&gt;"","10 First listing live",IF(O43&lt;&gt;"","9 Profile completed",IF(N43&lt;&gt;"","8 Approved",IF(M43&lt;&gt;"","7 KYC submitted",IF(L43&lt;&gt;"","6 Registration completed",IF(K43&lt;&gt;"","5b Registration started",IF(H43&lt;&gt;"","5a Information sent",IF(G43&lt;&gt;"","5 Interested","—"))))))))))))</f>
        <v/>
      </c>
      <c r="AC43" s="10">
        <f>IF(A43="","",(COUNT(G43,H43,K43,L43,M43,N43,O43,Q43,R43)+(I43="Y")+(P43="Y")+(S43="Y"))/12)</f>
        <v/>
      </c>
      <c r="AD43">
        <f>IF(OR(A43="",COUNT(G43:X43)=0),"",TODAY()-MAX(G43,H43,K43,L43,M43,N43,O43,Q43,R43,W43,X43))</f>
        <v/>
      </c>
      <c r="AE43">
        <f>IF(A43="","",IF(AND(Z43&lt;&gt;"YES",AD43&lt;&gt;"",AD43&gt;THRESHOLDS!$B$12),"STUCK — act today",""))</f>
        <v/>
      </c>
      <c r="AF43">
        <f>IF(A43="","",IF(J43="Active (verified)","",IF(J43="","Ask GST status (readiness R2)","Escalate to founder: orders need verified GSTIN in current code — no tax advice")))</f>
        <v/>
      </c>
      <c r="AG43">
        <f>IF(AND(G43&lt;&gt;"",L43&lt;&gt;""),L43-G43,"")</f>
        <v/>
      </c>
      <c r="AH43">
        <f>IF(AND(L43&lt;&gt;"",N43&lt;&gt;""),N43-L43,"")</f>
        <v/>
      </c>
      <c r="AI43">
        <f>IF(AND(N43&lt;&gt;"",AA43&lt;&gt;""),AA43-N43,"")</f>
        <v/>
      </c>
      <c r="AJ43">
        <f>IF(AND(L43&lt;&gt;"",N43&lt;&gt;"",Q43&lt;&gt;""),"Qualifies (if FP-QUAL adopted)","")</f>
        <v/>
      </c>
    </row>
    <row r="44">
      <c r="G44" s="9" t="n"/>
      <c r="H44" s="9" t="n"/>
      <c r="K44" s="9" t="n"/>
      <c r="L44" s="9" t="n"/>
      <c r="M44" s="9" t="n"/>
      <c r="N44" s="9" t="n"/>
      <c r="O44" s="9" t="n"/>
      <c r="Q44" s="9" t="n"/>
      <c r="R44" s="9" t="n"/>
      <c r="W44" s="9" t="n"/>
      <c r="X44" s="9" t="n"/>
      <c r="Z44">
        <f>IF(A44="","",IF(AND(N44&lt;&gt;"",O44&lt;&gt;"",Q44&lt;&gt;"",R44&lt;&gt;"",S44="Y"),"YES","no"))</f>
        <v/>
      </c>
      <c r="AA44" s="9">
        <f>IF(Z44="YES",MAX(N44,O44,Q44,R44),"")</f>
        <v/>
      </c>
      <c r="AB44">
        <f>IF(A44="","",IF(X44&lt;&gt;"","13 Repeat activity",IF(W44&lt;&gt;"","12 First enquiry/order/booking",IF(Z44="YES","11 ACTIVATED",IF(Q44&lt;&gt;"","10 First listing live",IF(O44&lt;&gt;"","9 Profile completed",IF(N44&lt;&gt;"","8 Approved",IF(M44&lt;&gt;"","7 KYC submitted",IF(L44&lt;&gt;"","6 Registration completed",IF(K44&lt;&gt;"","5b Registration started",IF(H44&lt;&gt;"","5a Information sent",IF(G44&lt;&gt;"","5 Interested","—"))))))))))))</f>
        <v/>
      </c>
      <c r="AC44" s="10">
        <f>IF(A44="","",(COUNT(G44,H44,K44,L44,M44,N44,O44,Q44,R44)+(I44="Y")+(P44="Y")+(S44="Y"))/12)</f>
        <v/>
      </c>
      <c r="AD44">
        <f>IF(OR(A44="",COUNT(G44:X44)=0),"",TODAY()-MAX(G44,H44,K44,L44,M44,N44,O44,Q44,R44,W44,X44))</f>
        <v/>
      </c>
      <c r="AE44">
        <f>IF(A44="","",IF(AND(Z44&lt;&gt;"YES",AD44&lt;&gt;"",AD44&gt;THRESHOLDS!$B$12),"STUCK — act today",""))</f>
        <v/>
      </c>
      <c r="AF44">
        <f>IF(A44="","",IF(J44="Active (verified)","",IF(J44="","Ask GST status (readiness R2)","Escalate to founder: orders need verified GSTIN in current code — no tax advice")))</f>
        <v/>
      </c>
      <c r="AG44">
        <f>IF(AND(G44&lt;&gt;"",L44&lt;&gt;""),L44-G44,"")</f>
        <v/>
      </c>
      <c r="AH44">
        <f>IF(AND(L44&lt;&gt;"",N44&lt;&gt;""),N44-L44,"")</f>
        <v/>
      </c>
      <c r="AI44">
        <f>IF(AND(N44&lt;&gt;"",AA44&lt;&gt;""),AA44-N44,"")</f>
        <v/>
      </c>
      <c r="AJ44">
        <f>IF(AND(L44&lt;&gt;"",N44&lt;&gt;"",Q44&lt;&gt;""),"Qualifies (if FP-QUAL adopted)","")</f>
        <v/>
      </c>
    </row>
    <row r="45">
      <c r="G45" s="9" t="n"/>
      <c r="H45" s="9" t="n"/>
      <c r="K45" s="9" t="n"/>
      <c r="L45" s="9" t="n"/>
      <c r="M45" s="9" t="n"/>
      <c r="N45" s="9" t="n"/>
      <c r="O45" s="9" t="n"/>
      <c r="Q45" s="9" t="n"/>
      <c r="R45" s="9" t="n"/>
      <c r="W45" s="9" t="n"/>
      <c r="X45" s="9" t="n"/>
      <c r="Z45">
        <f>IF(A45="","",IF(AND(N45&lt;&gt;"",O45&lt;&gt;"",Q45&lt;&gt;"",R45&lt;&gt;"",S45="Y"),"YES","no"))</f>
        <v/>
      </c>
      <c r="AA45" s="9">
        <f>IF(Z45="YES",MAX(N45,O45,Q45,R45),"")</f>
        <v/>
      </c>
      <c r="AB45">
        <f>IF(A45="","",IF(X45&lt;&gt;"","13 Repeat activity",IF(W45&lt;&gt;"","12 First enquiry/order/booking",IF(Z45="YES","11 ACTIVATED",IF(Q45&lt;&gt;"","10 First listing live",IF(O45&lt;&gt;"","9 Profile completed",IF(N45&lt;&gt;"","8 Approved",IF(M45&lt;&gt;"","7 KYC submitted",IF(L45&lt;&gt;"","6 Registration completed",IF(K45&lt;&gt;"","5b Registration started",IF(H45&lt;&gt;"","5a Information sent",IF(G45&lt;&gt;"","5 Interested","—"))))))))))))</f>
        <v/>
      </c>
      <c r="AC45" s="10">
        <f>IF(A45="","",(COUNT(G45,H45,K45,L45,M45,N45,O45,Q45,R45)+(I45="Y")+(P45="Y")+(S45="Y"))/12)</f>
        <v/>
      </c>
      <c r="AD45">
        <f>IF(OR(A45="",COUNT(G45:X45)=0),"",TODAY()-MAX(G45,H45,K45,L45,M45,N45,O45,Q45,R45,W45,X45))</f>
        <v/>
      </c>
      <c r="AE45">
        <f>IF(A45="","",IF(AND(Z45&lt;&gt;"YES",AD45&lt;&gt;"",AD45&gt;THRESHOLDS!$B$12),"STUCK — act today",""))</f>
        <v/>
      </c>
      <c r="AF45">
        <f>IF(A45="","",IF(J45="Active (verified)","",IF(J45="","Ask GST status (readiness R2)","Escalate to founder: orders need verified GSTIN in current code — no tax advice")))</f>
        <v/>
      </c>
      <c r="AG45">
        <f>IF(AND(G45&lt;&gt;"",L45&lt;&gt;""),L45-G45,"")</f>
        <v/>
      </c>
      <c r="AH45">
        <f>IF(AND(L45&lt;&gt;"",N45&lt;&gt;""),N45-L45,"")</f>
        <v/>
      </c>
      <c r="AI45">
        <f>IF(AND(N45&lt;&gt;"",AA45&lt;&gt;""),AA45-N45,"")</f>
        <v/>
      </c>
      <c r="AJ45">
        <f>IF(AND(L45&lt;&gt;"",N45&lt;&gt;"",Q45&lt;&gt;""),"Qualifies (if FP-QUAL adopted)","")</f>
        <v/>
      </c>
    </row>
    <row r="46">
      <c r="G46" s="9" t="n"/>
      <c r="H46" s="9" t="n"/>
      <c r="K46" s="9" t="n"/>
      <c r="L46" s="9" t="n"/>
      <c r="M46" s="9" t="n"/>
      <c r="N46" s="9" t="n"/>
      <c r="O46" s="9" t="n"/>
      <c r="Q46" s="9" t="n"/>
      <c r="R46" s="9" t="n"/>
      <c r="W46" s="9" t="n"/>
      <c r="X46" s="9" t="n"/>
      <c r="Z46">
        <f>IF(A46="","",IF(AND(N46&lt;&gt;"",O46&lt;&gt;"",Q46&lt;&gt;"",R46&lt;&gt;"",S46="Y"),"YES","no"))</f>
        <v/>
      </c>
      <c r="AA46" s="9">
        <f>IF(Z46="YES",MAX(N46,O46,Q46,R46),"")</f>
        <v/>
      </c>
      <c r="AB46">
        <f>IF(A46="","",IF(X46&lt;&gt;"","13 Repeat activity",IF(W46&lt;&gt;"","12 First enquiry/order/booking",IF(Z46="YES","11 ACTIVATED",IF(Q46&lt;&gt;"","10 First listing live",IF(O46&lt;&gt;"","9 Profile completed",IF(N46&lt;&gt;"","8 Approved",IF(M46&lt;&gt;"","7 KYC submitted",IF(L46&lt;&gt;"","6 Registration completed",IF(K46&lt;&gt;"","5b Registration started",IF(H46&lt;&gt;"","5a Information sent",IF(G46&lt;&gt;"","5 Interested","—"))))))))))))</f>
        <v/>
      </c>
      <c r="AC46" s="10">
        <f>IF(A46="","",(COUNT(G46,H46,K46,L46,M46,N46,O46,Q46,R46)+(I46="Y")+(P46="Y")+(S46="Y"))/12)</f>
        <v/>
      </c>
      <c r="AD46">
        <f>IF(OR(A46="",COUNT(G46:X46)=0),"",TODAY()-MAX(G46,H46,K46,L46,M46,N46,O46,Q46,R46,W46,X46))</f>
        <v/>
      </c>
      <c r="AE46">
        <f>IF(A46="","",IF(AND(Z46&lt;&gt;"YES",AD46&lt;&gt;"",AD46&gt;THRESHOLDS!$B$12),"STUCK — act today",""))</f>
        <v/>
      </c>
      <c r="AF46">
        <f>IF(A46="","",IF(J46="Active (verified)","",IF(J46="","Ask GST status (readiness R2)","Escalate to founder: orders need verified GSTIN in current code — no tax advice")))</f>
        <v/>
      </c>
      <c r="AG46">
        <f>IF(AND(G46&lt;&gt;"",L46&lt;&gt;""),L46-G46,"")</f>
        <v/>
      </c>
      <c r="AH46">
        <f>IF(AND(L46&lt;&gt;"",N46&lt;&gt;""),N46-L46,"")</f>
        <v/>
      </c>
      <c r="AI46">
        <f>IF(AND(N46&lt;&gt;"",AA46&lt;&gt;""),AA46-N46,"")</f>
        <v/>
      </c>
      <c r="AJ46">
        <f>IF(AND(L46&lt;&gt;"",N46&lt;&gt;"",Q46&lt;&gt;""),"Qualifies (if FP-QUAL adopted)","")</f>
        <v/>
      </c>
    </row>
    <row r="47">
      <c r="G47" s="9" t="n"/>
      <c r="H47" s="9" t="n"/>
      <c r="K47" s="9" t="n"/>
      <c r="L47" s="9" t="n"/>
      <c r="M47" s="9" t="n"/>
      <c r="N47" s="9" t="n"/>
      <c r="O47" s="9" t="n"/>
      <c r="Q47" s="9" t="n"/>
      <c r="R47" s="9" t="n"/>
      <c r="W47" s="9" t="n"/>
      <c r="X47" s="9" t="n"/>
      <c r="Z47">
        <f>IF(A47="","",IF(AND(N47&lt;&gt;"",O47&lt;&gt;"",Q47&lt;&gt;"",R47&lt;&gt;"",S47="Y"),"YES","no"))</f>
        <v/>
      </c>
      <c r="AA47" s="9">
        <f>IF(Z47="YES",MAX(N47,O47,Q47,R47),"")</f>
        <v/>
      </c>
      <c r="AB47">
        <f>IF(A47="","",IF(X47&lt;&gt;"","13 Repeat activity",IF(W47&lt;&gt;"","12 First enquiry/order/booking",IF(Z47="YES","11 ACTIVATED",IF(Q47&lt;&gt;"","10 First listing live",IF(O47&lt;&gt;"","9 Profile completed",IF(N47&lt;&gt;"","8 Approved",IF(M47&lt;&gt;"","7 KYC submitted",IF(L47&lt;&gt;"","6 Registration completed",IF(K47&lt;&gt;"","5b Registration started",IF(H47&lt;&gt;"","5a Information sent",IF(G47&lt;&gt;"","5 Interested","—"))))))))))))</f>
        <v/>
      </c>
      <c r="AC47" s="10">
        <f>IF(A47="","",(COUNT(G47,H47,K47,L47,M47,N47,O47,Q47,R47)+(I47="Y")+(P47="Y")+(S47="Y"))/12)</f>
        <v/>
      </c>
      <c r="AD47">
        <f>IF(OR(A47="",COUNT(G47:X47)=0),"",TODAY()-MAX(G47,H47,K47,L47,M47,N47,O47,Q47,R47,W47,X47))</f>
        <v/>
      </c>
      <c r="AE47">
        <f>IF(A47="","",IF(AND(Z47&lt;&gt;"YES",AD47&lt;&gt;"",AD47&gt;THRESHOLDS!$B$12),"STUCK — act today",""))</f>
        <v/>
      </c>
      <c r="AF47">
        <f>IF(A47="","",IF(J47="Active (verified)","",IF(J47="","Ask GST status (readiness R2)","Escalate to founder: orders need verified GSTIN in current code — no tax advice")))</f>
        <v/>
      </c>
      <c r="AG47">
        <f>IF(AND(G47&lt;&gt;"",L47&lt;&gt;""),L47-G47,"")</f>
        <v/>
      </c>
      <c r="AH47">
        <f>IF(AND(L47&lt;&gt;"",N47&lt;&gt;""),N47-L47,"")</f>
        <v/>
      </c>
      <c r="AI47">
        <f>IF(AND(N47&lt;&gt;"",AA47&lt;&gt;""),AA47-N47,"")</f>
        <v/>
      </c>
      <c r="AJ47">
        <f>IF(AND(L47&lt;&gt;"",N47&lt;&gt;"",Q47&lt;&gt;""),"Qualifies (if FP-QUAL adopted)","")</f>
        <v/>
      </c>
    </row>
    <row r="48">
      <c r="G48" s="9" t="n"/>
      <c r="H48" s="9" t="n"/>
      <c r="K48" s="9" t="n"/>
      <c r="L48" s="9" t="n"/>
      <c r="M48" s="9" t="n"/>
      <c r="N48" s="9" t="n"/>
      <c r="O48" s="9" t="n"/>
      <c r="Q48" s="9" t="n"/>
      <c r="R48" s="9" t="n"/>
      <c r="W48" s="9" t="n"/>
      <c r="X48" s="9" t="n"/>
      <c r="Z48">
        <f>IF(A48="","",IF(AND(N48&lt;&gt;"",O48&lt;&gt;"",Q48&lt;&gt;"",R48&lt;&gt;"",S48="Y"),"YES","no"))</f>
        <v/>
      </c>
      <c r="AA48" s="9">
        <f>IF(Z48="YES",MAX(N48,O48,Q48,R48),"")</f>
        <v/>
      </c>
      <c r="AB48">
        <f>IF(A48="","",IF(X48&lt;&gt;"","13 Repeat activity",IF(W48&lt;&gt;"","12 First enquiry/order/booking",IF(Z48="YES","11 ACTIVATED",IF(Q48&lt;&gt;"","10 First listing live",IF(O48&lt;&gt;"","9 Profile completed",IF(N48&lt;&gt;"","8 Approved",IF(M48&lt;&gt;"","7 KYC submitted",IF(L48&lt;&gt;"","6 Registration completed",IF(K48&lt;&gt;"","5b Registration started",IF(H48&lt;&gt;"","5a Information sent",IF(G48&lt;&gt;"","5 Interested","—"))))))))))))</f>
        <v/>
      </c>
      <c r="AC48" s="10">
        <f>IF(A48="","",(COUNT(G48,H48,K48,L48,M48,N48,O48,Q48,R48)+(I48="Y")+(P48="Y")+(S48="Y"))/12)</f>
        <v/>
      </c>
      <c r="AD48">
        <f>IF(OR(A48="",COUNT(G48:X48)=0),"",TODAY()-MAX(G48,H48,K48,L48,M48,N48,O48,Q48,R48,W48,X48))</f>
        <v/>
      </c>
      <c r="AE48">
        <f>IF(A48="","",IF(AND(Z48&lt;&gt;"YES",AD48&lt;&gt;"",AD48&gt;THRESHOLDS!$B$12),"STUCK — act today",""))</f>
        <v/>
      </c>
      <c r="AF48">
        <f>IF(A48="","",IF(J48="Active (verified)","",IF(J48="","Ask GST status (readiness R2)","Escalate to founder: orders need verified GSTIN in current code — no tax advice")))</f>
        <v/>
      </c>
      <c r="AG48">
        <f>IF(AND(G48&lt;&gt;"",L48&lt;&gt;""),L48-G48,"")</f>
        <v/>
      </c>
      <c r="AH48">
        <f>IF(AND(L48&lt;&gt;"",N48&lt;&gt;""),N48-L48,"")</f>
        <v/>
      </c>
      <c r="AI48">
        <f>IF(AND(N48&lt;&gt;"",AA48&lt;&gt;""),AA48-N48,"")</f>
        <v/>
      </c>
      <c r="AJ48">
        <f>IF(AND(L48&lt;&gt;"",N48&lt;&gt;"",Q48&lt;&gt;""),"Qualifies (if FP-QUAL adopted)","")</f>
        <v/>
      </c>
    </row>
    <row r="49">
      <c r="G49" s="9" t="n"/>
      <c r="H49" s="9" t="n"/>
      <c r="K49" s="9" t="n"/>
      <c r="L49" s="9" t="n"/>
      <c r="M49" s="9" t="n"/>
      <c r="N49" s="9" t="n"/>
      <c r="O49" s="9" t="n"/>
      <c r="Q49" s="9" t="n"/>
      <c r="R49" s="9" t="n"/>
      <c r="W49" s="9" t="n"/>
      <c r="X49" s="9" t="n"/>
      <c r="Z49">
        <f>IF(A49="","",IF(AND(N49&lt;&gt;"",O49&lt;&gt;"",Q49&lt;&gt;"",R49&lt;&gt;"",S49="Y"),"YES","no"))</f>
        <v/>
      </c>
      <c r="AA49" s="9">
        <f>IF(Z49="YES",MAX(N49,O49,Q49,R49),"")</f>
        <v/>
      </c>
      <c r="AB49">
        <f>IF(A49="","",IF(X49&lt;&gt;"","13 Repeat activity",IF(W49&lt;&gt;"","12 First enquiry/order/booking",IF(Z49="YES","11 ACTIVATED",IF(Q49&lt;&gt;"","10 First listing live",IF(O49&lt;&gt;"","9 Profile completed",IF(N49&lt;&gt;"","8 Approved",IF(M49&lt;&gt;"","7 KYC submitted",IF(L49&lt;&gt;"","6 Registration completed",IF(K49&lt;&gt;"","5b Registration started",IF(H49&lt;&gt;"","5a Information sent",IF(G49&lt;&gt;"","5 Interested","—"))))))))))))</f>
        <v/>
      </c>
      <c r="AC49" s="10">
        <f>IF(A49="","",(COUNT(G49,H49,K49,L49,M49,N49,O49,Q49,R49)+(I49="Y")+(P49="Y")+(S49="Y"))/12)</f>
        <v/>
      </c>
      <c r="AD49">
        <f>IF(OR(A49="",COUNT(G49:X49)=0),"",TODAY()-MAX(G49,H49,K49,L49,M49,N49,O49,Q49,R49,W49,X49))</f>
        <v/>
      </c>
      <c r="AE49">
        <f>IF(A49="","",IF(AND(Z49&lt;&gt;"YES",AD49&lt;&gt;"",AD49&gt;THRESHOLDS!$B$12),"STUCK — act today",""))</f>
        <v/>
      </c>
      <c r="AF49">
        <f>IF(A49="","",IF(J49="Active (verified)","",IF(J49="","Ask GST status (readiness R2)","Escalate to founder: orders need verified GSTIN in current code — no tax advice")))</f>
        <v/>
      </c>
      <c r="AG49">
        <f>IF(AND(G49&lt;&gt;"",L49&lt;&gt;""),L49-G49,"")</f>
        <v/>
      </c>
      <c r="AH49">
        <f>IF(AND(L49&lt;&gt;"",N49&lt;&gt;""),N49-L49,"")</f>
        <v/>
      </c>
      <c r="AI49">
        <f>IF(AND(N49&lt;&gt;"",AA49&lt;&gt;""),AA49-N49,"")</f>
        <v/>
      </c>
      <c r="AJ49">
        <f>IF(AND(L49&lt;&gt;"",N49&lt;&gt;"",Q49&lt;&gt;""),"Qualifies (if FP-QUAL adopted)","")</f>
        <v/>
      </c>
    </row>
    <row r="50">
      <c r="G50" s="9" t="n"/>
      <c r="H50" s="9" t="n"/>
      <c r="K50" s="9" t="n"/>
      <c r="L50" s="9" t="n"/>
      <c r="M50" s="9" t="n"/>
      <c r="N50" s="9" t="n"/>
      <c r="O50" s="9" t="n"/>
      <c r="Q50" s="9" t="n"/>
      <c r="R50" s="9" t="n"/>
      <c r="W50" s="9" t="n"/>
      <c r="X50" s="9" t="n"/>
      <c r="Z50">
        <f>IF(A50="","",IF(AND(N50&lt;&gt;"",O50&lt;&gt;"",Q50&lt;&gt;"",R50&lt;&gt;"",S50="Y"),"YES","no"))</f>
        <v/>
      </c>
      <c r="AA50" s="9">
        <f>IF(Z50="YES",MAX(N50,O50,Q50,R50),"")</f>
        <v/>
      </c>
      <c r="AB50">
        <f>IF(A50="","",IF(X50&lt;&gt;"","13 Repeat activity",IF(W50&lt;&gt;"","12 First enquiry/order/booking",IF(Z50="YES","11 ACTIVATED",IF(Q50&lt;&gt;"","10 First listing live",IF(O50&lt;&gt;"","9 Profile completed",IF(N50&lt;&gt;"","8 Approved",IF(M50&lt;&gt;"","7 KYC submitted",IF(L50&lt;&gt;"","6 Registration completed",IF(K50&lt;&gt;"","5b Registration started",IF(H50&lt;&gt;"","5a Information sent",IF(G50&lt;&gt;"","5 Interested","—"))))))))))))</f>
        <v/>
      </c>
      <c r="AC50" s="10">
        <f>IF(A50="","",(COUNT(G50,H50,K50,L50,M50,N50,O50,Q50,R50)+(I50="Y")+(P50="Y")+(S50="Y"))/12)</f>
        <v/>
      </c>
      <c r="AD50">
        <f>IF(OR(A50="",COUNT(G50:X50)=0),"",TODAY()-MAX(G50,H50,K50,L50,M50,N50,O50,Q50,R50,W50,X50))</f>
        <v/>
      </c>
      <c r="AE50">
        <f>IF(A50="","",IF(AND(Z50&lt;&gt;"YES",AD50&lt;&gt;"",AD50&gt;THRESHOLDS!$B$12),"STUCK — act today",""))</f>
        <v/>
      </c>
      <c r="AF50">
        <f>IF(A50="","",IF(J50="Active (verified)","",IF(J50="","Ask GST status (readiness R2)","Escalate to founder: orders need verified GSTIN in current code — no tax advice")))</f>
        <v/>
      </c>
      <c r="AG50">
        <f>IF(AND(G50&lt;&gt;"",L50&lt;&gt;""),L50-G50,"")</f>
        <v/>
      </c>
      <c r="AH50">
        <f>IF(AND(L50&lt;&gt;"",N50&lt;&gt;""),N50-L50,"")</f>
        <v/>
      </c>
      <c r="AI50">
        <f>IF(AND(N50&lt;&gt;"",AA50&lt;&gt;""),AA50-N50,"")</f>
        <v/>
      </c>
      <c r="AJ50">
        <f>IF(AND(L50&lt;&gt;"",N50&lt;&gt;"",Q50&lt;&gt;""),"Qualifies (if FP-QUAL adopted)","")</f>
        <v/>
      </c>
    </row>
    <row r="51">
      <c r="G51" s="9" t="n"/>
      <c r="H51" s="9" t="n"/>
      <c r="K51" s="9" t="n"/>
      <c r="L51" s="9" t="n"/>
      <c r="M51" s="9" t="n"/>
      <c r="N51" s="9" t="n"/>
      <c r="O51" s="9" t="n"/>
      <c r="Q51" s="9" t="n"/>
      <c r="R51" s="9" t="n"/>
      <c r="W51" s="9" t="n"/>
      <c r="X51" s="9" t="n"/>
      <c r="Z51">
        <f>IF(A51="","",IF(AND(N51&lt;&gt;"",O51&lt;&gt;"",Q51&lt;&gt;"",R51&lt;&gt;"",S51="Y"),"YES","no"))</f>
        <v/>
      </c>
      <c r="AA51" s="9">
        <f>IF(Z51="YES",MAX(N51,O51,Q51,R51),"")</f>
        <v/>
      </c>
      <c r="AB51">
        <f>IF(A51="","",IF(X51&lt;&gt;"","13 Repeat activity",IF(W51&lt;&gt;"","12 First enquiry/order/booking",IF(Z51="YES","11 ACTIVATED",IF(Q51&lt;&gt;"","10 First listing live",IF(O51&lt;&gt;"","9 Profile completed",IF(N51&lt;&gt;"","8 Approved",IF(M51&lt;&gt;"","7 KYC submitted",IF(L51&lt;&gt;"","6 Registration completed",IF(K51&lt;&gt;"","5b Registration started",IF(H51&lt;&gt;"","5a Information sent",IF(G51&lt;&gt;"","5 Interested","—"))))))))))))</f>
        <v/>
      </c>
      <c r="AC51" s="10">
        <f>IF(A51="","",(COUNT(G51,H51,K51,L51,M51,N51,O51,Q51,R51)+(I51="Y")+(P51="Y")+(S51="Y"))/12)</f>
        <v/>
      </c>
      <c r="AD51">
        <f>IF(OR(A51="",COUNT(G51:X51)=0),"",TODAY()-MAX(G51,H51,K51,L51,M51,N51,O51,Q51,R51,W51,X51))</f>
        <v/>
      </c>
      <c r="AE51">
        <f>IF(A51="","",IF(AND(Z51&lt;&gt;"YES",AD51&lt;&gt;"",AD51&gt;THRESHOLDS!$B$12),"STUCK — act today",""))</f>
        <v/>
      </c>
      <c r="AF51">
        <f>IF(A51="","",IF(J51="Active (verified)","",IF(J51="","Ask GST status (readiness R2)","Escalate to founder: orders need verified GSTIN in current code — no tax advice")))</f>
        <v/>
      </c>
      <c r="AG51">
        <f>IF(AND(G51&lt;&gt;"",L51&lt;&gt;""),L51-G51,"")</f>
        <v/>
      </c>
      <c r="AH51">
        <f>IF(AND(L51&lt;&gt;"",N51&lt;&gt;""),N51-L51,"")</f>
        <v/>
      </c>
      <c r="AI51">
        <f>IF(AND(N51&lt;&gt;"",AA51&lt;&gt;""),AA51-N51,"")</f>
        <v/>
      </c>
      <c r="AJ51">
        <f>IF(AND(L51&lt;&gt;"",N51&lt;&gt;"",Q51&lt;&gt;""),"Qualifies (if FP-QUAL adopted)","")</f>
        <v/>
      </c>
    </row>
    <row r="52">
      <c r="G52" s="9" t="n"/>
      <c r="H52" s="9" t="n"/>
      <c r="K52" s="9" t="n"/>
      <c r="L52" s="9" t="n"/>
      <c r="M52" s="9" t="n"/>
      <c r="N52" s="9" t="n"/>
      <c r="O52" s="9" t="n"/>
      <c r="Q52" s="9" t="n"/>
      <c r="R52" s="9" t="n"/>
      <c r="W52" s="9" t="n"/>
      <c r="X52" s="9" t="n"/>
      <c r="Z52">
        <f>IF(A52="","",IF(AND(N52&lt;&gt;"",O52&lt;&gt;"",Q52&lt;&gt;"",R52&lt;&gt;"",S52="Y"),"YES","no"))</f>
        <v/>
      </c>
      <c r="AA52" s="9">
        <f>IF(Z52="YES",MAX(N52,O52,Q52,R52),"")</f>
        <v/>
      </c>
      <c r="AB52">
        <f>IF(A52="","",IF(X52&lt;&gt;"","13 Repeat activity",IF(W52&lt;&gt;"","12 First enquiry/order/booking",IF(Z52="YES","11 ACTIVATED",IF(Q52&lt;&gt;"","10 First listing live",IF(O52&lt;&gt;"","9 Profile completed",IF(N52&lt;&gt;"","8 Approved",IF(M52&lt;&gt;"","7 KYC submitted",IF(L52&lt;&gt;"","6 Registration completed",IF(K52&lt;&gt;"","5b Registration started",IF(H52&lt;&gt;"","5a Information sent",IF(G52&lt;&gt;"","5 Interested","—"))))))))))))</f>
        <v/>
      </c>
      <c r="AC52" s="10">
        <f>IF(A52="","",(COUNT(G52,H52,K52,L52,M52,N52,O52,Q52,R52)+(I52="Y")+(P52="Y")+(S52="Y"))/12)</f>
        <v/>
      </c>
      <c r="AD52">
        <f>IF(OR(A52="",COUNT(G52:X52)=0),"",TODAY()-MAX(G52,H52,K52,L52,M52,N52,O52,Q52,R52,W52,X52))</f>
        <v/>
      </c>
      <c r="AE52">
        <f>IF(A52="","",IF(AND(Z52&lt;&gt;"YES",AD52&lt;&gt;"",AD52&gt;THRESHOLDS!$B$12),"STUCK — act today",""))</f>
        <v/>
      </c>
      <c r="AF52">
        <f>IF(A52="","",IF(J52="Active (verified)","",IF(J52="","Ask GST status (readiness R2)","Escalate to founder: orders need verified GSTIN in current code — no tax advice")))</f>
        <v/>
      </c>
      <c r="AG52">
        <f>IF(AND(G52&lt;&gt;"",L52&lt;&gt;""),L52-G52,"")</f>
        <v/>
      </c>
      <c r="AH52">
        <f>IF(AND(L52&lt;&gt;"",N52&lt;&gt;""),N52-L52,"")</f>
        <v/>
      </c>
      <c r="AI52">
        <f>IF(AND(N52&lt;&gt;"",AA52&lt;&gt;""),AA52-N52,"")</f>
        <v/>
      </c>
      <c r="AJ52">
        <f>IF(AND(L52&lt;&gt;"",N52&lt;&gt;"",Q52&lt;&gt;""),"Qualifies (if FP-QUAL adopted)","")</f>
        <v/>
      </c>
    </row>
    <row r="53">
      <c r="G53" s="9" t="n"/>
      <c r="H53" s="9" t="n"/>
      <c r="K53" s="9" t="n"/>
      <c r="L53" s="9" t="n"/>
      <c r="M53" s="9" t="n"/>
      <c r="N53" s="9" t="n"/>
      <c r="O53" s="9" t="n"/>
      <c r="Q53" s="9" t="n"/>
      <c r="R53" s="9" t="n"/>
      <c r="W53" s="9" t="n"/>
      <c r="X53" s="9" t="n"/>
      <c r="Z53">
        <f>IF(A53="","",IF(AND(N53&lt;&gt;"",O53&lt;&gt;"",Q53&lt;&gt;"",R53&lt;&gt;"",S53="Y"),"YES","no"))</f>
        <v/>
      </c>
      <c r="AA53" s="9">
        <f>IF(Z53="YES",MAX(N53,O53,Q53,R53),"")</f>
        <v/>
      </c>
      <c r="AB53">
        <f>IF(A53="","",IF(X53&lt;&gt;"","13 Repeat activity",IF(W53&lt;&gt;"","12 First enquiry/order/booking",IF(Z53="YES","11 ACTIVATED",IF(Q53&lt;&gt;"","10 First listing live",IF(O53&lt;&gt;"","9 Profile completed",IF(N53&lt;&gt;"","8 Approved",IF(M53&lt;&gt;"","7 KYC submitted",IF(L53&lt;&gt;"","6 Registration completed",IF(K53&lt;&gt;"","5b Registration started",IF(H53&lt;&gt;"","5a Information sent",IF(G53&lt;&gt;"","5 Interested","—"))))))))))))</f>
        <v/>
      </c>
      <c r="AC53" s="10">
        <f>IF(A53="","",(COUNT(G53,H53,K53,L53,M53,N53,O53,Q53,R53)+(I53="Y")+(P53="Y")+(S53="Y"))/12)</f>
        <v/>
      </c>
      <c r="AD53">
        <f>IF(OR(A53="",COUNT(G53:X53)=0),"",TODAY()-MAX(G53,H53,K53,L53,M53,N53,O53,Q53,R53,W53,X53))</f>
        <v/>
      </c>
      <c r="AE53">
        <f>IF(A53="","",IF(AND(Z53&lt;&gt;"YES",AD53&lt;&gt;"",AD53&gt;THRESHOLDS!$B$12),"STUCK — act today",""))</f>
        <v/>
      </c>
      <c r="AF53">
        <f>IF(A53="","",IF(J53="Active (verified)","",IF(J53="","Ask GST status (readiness R2)","Escalate to founder: orders need verified GSTIN in current code — no tax advice")))</f>
        <v/>
      </c>
      <c r="AG53">
        <f>IF(AND(G53&lt;&gt;"",L53&lt;&gt;""),L53-G53,"")</f>
        <v/>
      </c>
      <c r="AH53">
        <f>IF(AND(L53&lt;&gt;"",N53&lt;&gt;""),N53-L53,"")</f>
        <v/>
      </c>
      <c r="AI53">
        <f>IF(AND(N53&lt;&gt;"",AA53&lt;&gt;""),AA53-N53,"")</f>
        <v/>
      </c>
      <c r="AJ53">
        <f>IF(AND(L53&lt;&gt;"",N53&lt;&gt;"",Q53&lt;&gt;""),"Qualifies (if FP-QUAL adopted)","")</f>
        <v/>
      </c>
    </row>
    <row r="54">
      <c r="G54" s="9" t="n"/>
      <c r="H54" s="9" t="n"/>
      <c r="K54" s="9" t="n"/>
      <c r="L54" s="9" t="n"/>
      <c r="M54" s="9" t="n"/>
      <c r="N54" s="9" t="n"/>
      <c r="O54" s="9" t="n"/>
      <c r="Q54" s="9" t="n"/>
      <c r="R54" s="9" t="n"/>
      <c r="W54" s="9" t="n"/>
      <c r="X54" s="9" t="n"/>
      <c r="Z54">
        <f>IF(A54="","",IF(AND(N54&lt;&gt;"",O54&lt;&gt;"",Q54&lt;&gt;"",R54&lt;&gt;"",S54="Y"),"YES","no"))</f>
        <v/>
      </c>
      <c r="AA54" s="9">
        <f>IF(Z54="YES",MAX(N54,O54,Q54,R54),"")</f>
        <v/>
      </c>
      <c r="AB54">
        <f>IF(A54="","",IF(X54&lt;&gt;"","13 Repeat activity",IF(W54&lt;&gt;"","12 First enquiry/order/booking",IF(Z54="YES","11 ACTIVATED",IF(Q54&lt;&gt;"","10 First listing live",IF(O54&lt;&gt;"","9 Profile completed",IF(N54&lt;&gt;"","8 Approved",IF(M54&lt;&gt;"","7 KYC submitted",IF(L54&lt;&gt;"","6 Registration completed",IF(K54&lt;&gt;"","5b Registration started",IF(H54&lt;&gt;"","5a Information sent",IF(G54&lt;&gt;"","5 Interested","—"))))))))))))</f>
        <v/>
      </c>
      <c r="AC54" s="10">
        <f>IF(A54="","",(COUNT(G54,H54,K54,L54,M54,N54,O54,Q54,R54)+(I54="Y")+(P54="Y")+(S54="Y"))/12)</f>
        <v/>
      </c>
      <c r="AD54">
        <f>IF(OR(A54="",COUNT(G54:X54)=0),"",TODAY()-MAX(G54,H54,K54,L54,M54,N54,O54,Q54,R54,W54,X54))</f>
        <v/>
      </c>
      <c r="AE54">
        <f>IF(A54="","",IF(AND(Z54&lt;&gt;"YES",AD54&lt;&gt;"",AD54&gt;THRESHOLDS!$B$12),"STUCK — act today",""))</f>
        <v/>
      </c>
      <c r="AF54">
        <f>IF(A54="","",IF(J54="Active (verified)","",IF(J54="","Ask GST status (readiness R2)","Escalate to founder: orders need verified GSTIN in current code — no tax advice")))</f>
        <v/>
      </c>
      <c r="AG54">
        <f>IF(AND(G54&lt;&gt;"",L54&lt;&gt;""),L54-G54,"")</f>
        <v/>
      </c>
      <c r="AH54">
        <f>IF(AND(L54&lt;&gt;"",N54&lt;&gt;""),N54-L54,"")</f>
        <v/>
      </c>
      <c r="AI54">
        <f>IF(AND(N54&lt;&gt;"",AA54&lt;&gt;""),AA54-N54,"")</f>
        <v/>
      </c>
      <c r="AJ54">
        <f>IF(AND(L54&lt;&gt;"",N54&lt;&gt;"",Q54&lt;&gt;""),"Qualifies (if FP-QUAL adopted)","")</f>
        <v/>
      </c>
    </row>
    <row r="55">
      <c r="G55" s="9" t="n"/>
      <c r="H55" s="9" t="n"/>
      <c r="K55" s="9" t="n"/>
      <c r="L55" s="9" t="n"/>
      <c r="M55" s="9" t="n"/>
      <c r="N55" s="9" t="n"/>
      <c r="O55" s="9" t="n"/>
      <c r="Q55" s="9" t="n"/>
      <c r="R55" s="9" t="n"/>
      <c r="W55" s="9" t="n"/>
      <c r="X55" s="9" t="n"/>
      <c r="Z55">
        <f>IF(A55="","",IF(AND(N55&lt;&gt;"",O55&lt;&gt;"",Q55&lt;&gt;"",R55&lt;&gt;"",S55="Y"),"YES","no"))</f>
        <v/>
      </c>
      <c r="AA55" s="9">
        <f>IF(Z55="YES",MAX(N55,O55,Q55,R55),"")</f>
        <v/>
      </c>
      <c r="AB55">
        <f>IF(A55="","",IF(X55&lt;&gt;"","13 Repeat activity",IF(W55&lt;&gt;"","12 First enquiry/order/booking",IF(Z55="YES","11 ACTIVATED",IF(Q55&lt;&gt;"","10 First listing live",IF(O55&lt;&gt;"","9 Profile completed",IF(N55&lt;&gt;"","8 Approved",IF(M55&lt;&gt;"","7 KYC submitted",IF(L55&lt;&gt;"","6 Registration completed",IF(K55&lt;&gt;"","5b Registration started",IF(H55&lt;&gt;"","5a Information sent",IF(G55&lt;&gt;"","5 Interested","—"))))))))))))</f>
        <v/>
      </c>
      <c r="AC55" s="10">
        <f>IF(A55="","",(COUNT(G55,H55,K55,L55,M55,N55,O55,Q55,R55)+(I55="Y")+(P55="Y")+(S55="Y"))/12)</f>
        <v/>
      </c>
      <c r="AD55">
        <f>IF(OR(A55="",COUNT(G55:X55)=0),"",TODAY()-MAX(G55,H55,K55,L55,M55,N55,O55,Q55,R55,W55,X55))</f>
        <v/>
      </c>
      <c r="AE55">
        <f>IF(A55="","",IF(AND(Z55&lt;&gt;"YES",AD55&lt;&gt;"",AD55&gt;THRESHOLDS!$B$12),"STUCK — act today",""))</f>
        <v/>
      </c>
      <c r="AF55">
        <f>IF(A55="","",IF(J55="Active (verified)","",IF(J55="","Ask GST status (readiness R2)","Escalate to founder: orders need verified GSTIN in current code — no tax advice")))</f>
        <v/>
      </c>
      <c r="AG55">
        <f>IF(AND(G55&lt;&gt;"",L55&lt;&gt;""),L55-G55,"")</f>
        <v/>
      </c>
      <c r="AH55">
        <f>IF(AND(L55&lt;&gt;"",N55&lt;&gt;""),N55-L55,"")</f>
        <v/>
      </c>
      <c r="AI55">
        <f>IF(AND(N55&lt;&gt;"",AA55&lt;&gt;""),AA55-N55,"")</f>
        <v/>
      </c>
      <c r="AJ55">
        <f>IF(AND(L55&lt;&gt;"",N55&lt;&gt;"",Q55&lt;&gt;""),"Qualifies (if FP-QUAL adopted)","")</f>
        <v/>
      </c>
    </row>
    <row r="56">
      <c r="G56" s="9" t="n"/>
      <c r="H56" s="9" t="n"/>
      <c r="K56" s="9" t="n"/>
      <c r="L56" s="9" t="n"/>
      <c r="M56" s="9" t="n"/>
      <c r="N56" s="9" t="n"/>
      <c r="O56" s="9" t="n"/>
      <c r="Q56" s="9" t="n"/>
      <c r="R56" s="9" t="n"/>
      <c r="W56" s="9" t="n"/>
      <c r="X56" s="9" t="n"/>
      <c r="Z56">
        <f>IF(A56="","",IF(AND(N56&lt;&gt;"",O56&lt;&gt;"",Q56&lt;&gt;"",R56&lt;&gt;"",S56="Y"),"YES","no"))</f>
        <v/>
      </c>
      <c r="AA56" s="9">
        <f>IF(Z56="YES",MAX(N56,O56,Q56,R56),"")</f>
        <v/>
      </c>
      <c r="AB56">
        <f>IF(A56="","",IF(X56&lt;&gt;"","13 Repeat activity",IF(W56&lt;&gt;"","12 First enquiry/order/booking",IF(Z56="YES","11 ACTIVATED",IF(Q56&lt;&gt;"","10 First listing live",IF(O56&lt;&gt;"","9 Profile completed",IF(N56&lt;&gt;"","8 Approved",IF(M56&lt;&gt;"","7 KYC submitted",IF(L56&lt;&gt;"","6 Registration completed",IF(K56&lt;&gt;"","5b Registration started",IF(H56&lt;&gt;"","5a Information sent",IF(G56&lt;&gt;"","5 Interested","—"))))))))))))</f>
        <v/>
      </c>
      <c r="AC56" s="10">
        <f>IF(A56="","",(COUNT(G56,H56,K56,L56,M56,N56,O56,Q56,R56)+(I56="Y")+(P56="Y")+(S56="Y"))/12)</f>
        <v/>
      </c>
      <c r="AD56">
        <f>IF(OR(A56="",COUNT(G56:X56)=0),"",TODAY()-MAX(G56,H56,K56,L56,M56,N56,O56,Q56,R56,W56,X56))</f>
        <v/>
      </c>
      <c r="AE56">
        <f>IF(A56="","",IF(AND(Z56&lt;&gt;"YES",AD56&lt;&gt;"",AD56&gt;THRESHOLDS!$B$12),"STUCK — act today",""))</f>
        <v/>
      </c>
      <c r="AF56">
        <f>IF(A56="","",IF(J56="Active (verified)","",IF(J56="","Ask GST status (readiness R2)","Escalate to founder: orders need verified GSTIN in current code — no tax advice")))</f>
        <v/>
      </c>
      <c r="AG56">
        <f>IF(AND(G56&lt;&gt;"",L56&lt;&gt;""),L56-G56,"")</f>
        <v/>
      </c>
      <c r="AH56">
        <f>IF(AND(L56&lt;&gt;"",N56&lt;&gt;""),N56-L56,"")</f>
        <v/>
      </c>
      <c r="AI56">
        <f>IF(AND(N56&lt;&gt;"",AA56&lt;&gt;""),AA56-N56,"")</f>
        <v/>
      </c>
      <c r="AJ56">
        <f>IF(AND(L56&lt;&gt;"",N56&lt;&gt;"",Q56&lt;&gt;""),"Qualifies (if FP-QUAL adopted)","")</f>
        <v/>
      </c>
    </row>
    <row r="57">
      <c r="G57" s="9" t="n"/>
      <c r="H57" s="9" t="n"/>
      <c r="K57" s="9" t="n"/>
      <c r="L57" s="9" t="n"/>
      <c r="M57" s="9" t="n"/>
      <c r="N57" s="9" t="n"/>
      <c r="O57" s="9" t="n"/>
      <c r="Q57" s="9" t="n"/>
      <c r="R57" s="9" t="n"/>
      <c r="W57" s="9" t="n"/>
      <c r="X57" s="9" t="n"/>
      <c r="Z57">
        <f>IF(A57="","",IF(AND(N57&lt;&gt;"",O57&lt;&gt;"",Q57&lt;&gt;"",R57&lt;&gt;"",S57="Y"),"YES","no"))</f>
        <v/>
      </c>
      <c r="AA57" s="9">
        <f>IF(Z57="YES",MAX(N57,O57,Q57,R57),"")</f>
        <v/>
      </c>
      <c r="AB57">
        <f>IF(A57="","",IF(X57&lt;&gt;"","13 Repeat activity",IF(W57&lt;&gt;"","12 First enquiry/order/booking",IF(Z57="YES","11 ACTIVATED",IF(Q57&lt;&gt;"","10 First listing live",IF(O57&lt;&gt;"","9 Profile completed",IF(N57&lt;&gt;"","8 Approved",IF(M57&lt;&gt;"","7 KYC submitted",IF(L57&lt;&gt;"","6 Registration completed",IF(K57&lt;&gt;"","5b Registration started",IF(H57&lt;&gt;"","5a Information sent",IF(G57&lt;&gt;"","5 Interested","—"))))))))))))</f>
        <v/>
      </c>
      <c r="AC57" s="10">
        <f>IF(A57="","",(COUNT(G57,H57,K57,L57,M57,N57,O57,Q57,R57)+(I57="Y")+(P57="Y")+(S57="Y"))/12)</f>
        <v/>
      </c>
      <c r="AD57">
        <f>IF(OR(A57="",COUNT(G57:X57)=0),"",TODAY()-MAX(G57,H57,K57,L57,M57,N57,O57,Q57,R57,W57,X57))</f>
        <v/>
      </c>
      <c r="AE57">
        <f>IF(A57="","",IF(AND(Z57&lt;&gt;"YES",AD57&lt;&gt;"",AD57&gt;THRESHOLDS!$B$12),"STUCK — act today",""))</f>
        <v/>
      </c>
      <c r="AF57">
        <f>IF(A57="","",IF(J57="Active (verified)","",IF(J57="","Ask GST status (readiness R2)","Escalate to founder: orders need verified GSTIN in current code — no tax advice")))</f>
        <v/>
      </c>
      <c r="AG57">
        <f>IF(AND(G57&lt;&gt;"",L57&lt;&gt;""),L57-G57,"")</f>
        <v/>
      </c>
      <c r="AH57">
        <f>IF(AND(L57&lt;&gt;"",N57&lt;&gt;""),N57-L57,"")</f>
        <v/>
      </c>
      <c r="AI57">
        <f>IF(AND(N57&lt;&gt;"",AA57&lt;&gt;""),AA57-N57,"")</f>
        <v/>
      </c>
      <c r="AJ57">
        <f>IF(AND(L57&lt;&gt;"",N57&lt;&gt;"",Q57&lt;&gt;""),"Qualifies (if FP-QUAL adopted)","")</f>
        <v/>
      </c>
    </row>
    <row r="58">
      <c r="G58" s="9" t="n"/>
      <c r="H58" s="9" t="n"/>
      <c r="K58" s="9" t="n"/>
      <c r="L58" s="9" t="n"/>
      <c r="M58" s="9" t="n"/>
      <c r="N58" s="9" t="n"/>
      <c r="O58" s="9" t="n"/>
      <c r="Q58" s="9" t="n"/>
      <c r="R58" s="9" t="n"/>
      <c r="W58" s="9" t="n"/>
      <c r="X58" s="9" t="n"/>
      <c r="Z58">
        <f>IF(A58="","",IF(AND(N58&lt;&gt;"",O58&lt;&gt;"",Q58&lt;&gt;"",R58&lt;&gt;"",S58="Y"),"YES","no"))</f>
        <v/>
      </c>
      <c r="AA58" s="9">
        <f>IF(Z58="YES",MAX(N58,O58,Q58,R58),"")</f>
        <v/>
      </c>
      <c r="AB58">
        <f>IF(A58="","",IF(X58&lt;&gt;"","13 Repeat activity",IF(W58&lt;&gt;"","12 First enquiry/order/booking",IF(Z58="YES","11 ACTIVATED",IF(Q58&lt;&gt;"","10 First listing live",IF(O58&lt;&gt;"","9 Profile completed",IF(N58&lt;&gt;"","8 Approved",IF(M58&lt;&gt;"","7 KYC submitted",IF(L58&lt;&gt;"","6 Registration completed",IF(K58&lt;&gt;"","5b Registration started",IF(H58&lt;&gt;"","5a Information sent",IF(G58&lt;&gt;"","5 Interested","—"))))))))))))</f>
        <v/>
      </c>
      <c r="AC58" s="10">
        <f>IF(A58="","",(COUNT(G58,H58,K58,L58,M58,N58,O58,Q58,R58)+(I58="Y")+(P58="Y")+(S58="Y"))/12)</f>
        <v/>
      </c>
      <c r="AD58">
        <f>IF(OR(A58="",COUNT(G58:X58)=0),"",TODAY()-MAX(G58,H58,K58,L58,M58,N58,O58,Q58,R58,W58,X58))</f>
        <v/>
      </c>
      <c r="AE58">
        <f>IF(A58="","",IF(AND(Z58&lt;&gt;"YES",AD58&lt;&gt;"",AD58&gt;THRESHOLDS!$B$12),"STUCK — act today",""))</f>
        <v/>
      </c>
      <c r="AF58">
        <f>IF(A58="","",IF(J58="Active (verified)","",IF(J58="","Ask GST status (readiness R2)","Escalate to founder: orders need verified GSTIN in current code — no tax advice")))</f>
        <v/>
      </c>
      <c r="AG58">
        <f>IF(AND(G58&lt;&gt;"",L58&lt;&gt;""),L58-G58,"")</f>
        <v/>
      </c>
      <c r="AH58">
        <f>IF(AND(L58&lt;&gt;"",N58&lt;&gt;""),N58-L58,"")</f>
        <v/>
      </c>
      <c r="AI58">
        <f>IF(AND(N58&lt;&gt;"",AA58&lt;&gt;""),AA58-N58,"")</f>
        <v/>
      </c>
      <c r="AJ58">
        <f>IF(AND(L58&lt;&gt;"",N58&lt;&gt;"",Q58&lt;&gt;""),"Qualifies (if FP-QUAL adopted)","")</f>
        <v/>
      </c>
    </row>
    <row r="59">
      <c r="G59" s="9" t="n"/>
      <c r="H59" s="9" t="n"/>
      <c r="K59" s="9" t="n"/>
      <c r="L59" s="9" t="n"/>
      <c r="M59" s="9" t="n"/>
      <c r="N59" s="9" t="n"/>
      <c r="O59" s="9" t="n"/>
      <c r="Q59" s="9" t="n"/>
      <c r="R59" s="9" t="n"/>
      <c r="W59" s="9" t="n"/>
      <c r="X59" s="9" t="n"/>
      <c r="Z59">
        <f>IF(A59="","",IF(AND(N59&lt;&gt;"",O59&lt;&gt;"",Q59&lt;&gt;"",R59&lt;&gt;"",S59="Y"),"YES","no"))</f>
        <v/>
      </c>
      <c r="AA59" s="9">
        <f>IF(Z59="YES",MAX(N59,O59,Q59,R59),"")</f>
        <v/>
      </c>
      <c r="AB59">
        <f>IF(A59="","",IF(X59&lt;&gt;"","13 Repeat activity",IF(W59&lt;&gt;"","12 First enquiry/order/booking",IF(Z59="YES","11 ACTIVATED",IF(Q59&lt;&gt;"","10 First listing live",IF(O59&lt;&gt;"","9 Profile completed",IF(N59&lt;&gt;"","8 Approved",IF(M59&lt;&gt;"","7 KYC submitted",IF(L59&lt;&gt;"","6 Registration completed",IF(K59&lt;&gt;"","5b Registration started",IF(H59&lt;&gt;"","5a Information sent",IF(G59&lt;&gt;"","5 Interested","—"))))))))))))</f>
        <v/>
      </c>
      <c r="AC59" s="10">
        <f>IF(A59="","",(COUNT(G59,H59,K59,L59,M59,N59,O59,Q59,R59)+(I59="Y")+(P59="Y")+(S59="Y"))/12)</f>
        <v/>
      </c>
      <c r="AD59">
        <f>IF(OR(A59="",COUNT(G59:X59)=0),"",TODAY()-MAX(G59,H59,K59,L59,M59,N59,O59,Q59,R59,W59,X59))</f>
        <v/>
      </c>
      <c r="AE59">
        <f>IF(A59="","",IF(AND(Z59&lt;&gt;"YES",AD59&lt;&gt;"",AD59&gt;THRESHOLDS!$B$12),"STUCK — act today",""))</f>
        <v/>
      </c>
      <c r="AF59">
        <f>IF(A59="","",IF(J59="Active (verified)","",IF(J59="","Ask GST status (readiness R2)","Escalate to founder: orders need verified GSTIN in current code — no tax advice")))</f>
        <v/>
      </c>
      <c r="AG59">
        <f>IF(AND(G59&lt;&gt;"",L59&lt;&gt;""),L59-G59,"")</f>
        <v/>
      </c>
      <c r="AH59">
        <f>IF(AND(L59&lt;&gt;"",N59&lt;&gt;""),N59-L59,"")</f>
        <v/>
      </c>
      <c r="AI59">
        <f>IF(AND(N59&lt;&gt;"",AA59&lt;&gt;""),AA59-N59,"")</f>
        <v/>
      </c>
      <c r="AJ59">
        <f>IF(AND(L59&lt;&gt;"",N59&lt;&gt;"",Q59&lt;&gt;""),"Qualifies (if FP-QUAL adopted)","")</f>
        <v/>
      </c>
    </row>
    <row r="60">
      <c r="G60" s="9" t="n"/>
      <c r="H60" s="9" t="n"/>
      <c r="K60" s="9" t="n"/>
      <c r="L60" s="9" t="n"/>
      <c r="M60" s="9" t="n"/>
      <c r="N60" s="9" t="n"/>
      <c r="O60" s="9" t="n"/>
      <c r="Q60" s="9" t="n"/>
      <c r="R60" s="9" t="n"/>
      <c r="W60" s="9" t="n"/>
      <c r="X60" s="9" t="n"/>
      <c r="Z60">
        <f>IF(A60="","",IF(AND(N60&lt;&gt;"",O60&lt;&gt;"",Q60&lt;&gt;"",R60&lt;&gt;"",S60="Y"),"YES","no"))</f>
        <v/>
      </c>
      <c r="AA60" s="9">
        <f>IF(Z60="YES",MAX(N60,O60,Q60,R60),"")</f>
        <v/>
      </c>
      <c r="AB60">
        <f>IF(A60="","",IF(X60&lt;&gt;"","13 Repeat activity",IF(W60&lt;&gt;"","12 First enquiry/order/booking",IF(Z60="YES","11 ACTIVATED",IF(Q60&lt;&gt;"","10 First listing live",IF(O60&lt;&gt;"","9 Profile completed",IF(N60&lt;&gt;"","8 Approved",IF(M60&lt;&gt;"","7 KYC submitted",IF(L60&lt;&gt;"","6 Registration completed",IF(K60&lt;&gt;"","5b Registration started",IF(H60&lt;&gt;"","5a Information sent",IF(G60&lt;&gt;"","5 Interested","—"))))))))))))</f>
        <v/>
      </c>
      <c r="AC60" s="10">
        <f>IF(A60="","",(COUNT(G60,H60,K60,L60,M60,N60,O60,Q60,R60)+(I60="Y")+(P60="Y")+(S60="Y"))/12)</f>
        <v/>
      </c>
      <c r="AD60">
        <f>IF(OR(A60="",COUNT(G60:X60)=0),"",TODAY()-MAX(G60,H60,K60,L60,M60,N60,O60,Q60,R60,W60,X60))</f>
        <v/>
      </c>
      <c r="AE60">
        <f>IF(A60="","",IF(AND(Z60&lt;&gt;"YES",AD60&lt;&gt;"",AD60&gt;THRESHOLDS!$B$12),"STUCK — act today",""))</f>
        <v/>
      </c>
      <c r="AF60">
        <f>IF(A60="","",IF(J60="Active (verified)","",IF(J60="","Ask GST status (readiness R2)","Escalate to founder: orders need verified GSTIN in current code — no tax advice")))</f>
        <v/>
      </c>
      <c r="AG60">
        <f>IF(AND(G60&lt;&gt;"",L60&lt;&gt;""),L60-G60,"")</f>
        <v/>
      </c>
      <c r="AH60">
        <f>IF(AND(L60&lt;&gt;"",N60&lt;&gt;""),N60-L60,"")</f>
        <v/>
      </c>
      <c r="AI60">
        <f>IF(AND(N60&lt;&gt;"",AA60&lt;&gt;""),AA60-N60,"")</f>
        <v/>
      </c>
      <c r="AJ60">
        <f>IF(AND(L60&lt;&gt;"",N60&lt;&gt;"",Q60&lt;&gt;""),"Qualifies (if FP-QUAL adopted)","")</f>
        <v/>
      </c>
    </row>
    <row r="61">
      <c r="G61" s="9" t="n"/>
      <c r="H61" s="9" t="n"/>
      <c r="K61" s="9" t="n"/>
      <c r="L61" s="9" t="n"/>
      <c r="M61" s="9" t="n"/>
      <c r="N61" s="9" t="n"/>
      <c r="O61" s="9" t="n"/>
      <c r="Q61" s="9" t="n"/>
      <c r="R61" s="9" t="n"/>
      <c r="W61" s="9" t="n"/>
      <c r="X61" s="9" t="n"/>
      <c r="Z61">
        <f>IF(A61="","",IF(AND(N61&lt;&gt;"",O61&lt;&gt;"",Q61&lt;&gt;"",R61&lt;&gt;"",S61="Y"),"YES","no"))</f>
        <v/>
      </c>
      <c r="AA61" s="9">
        <f>IF(Z61="YES",MAX(N61,O61,Q61,R61),"")</f>
        <v/>
      </c>
      <c r="AB61">
        <f>IF(A61="","",IF(X61&lt;&gt;"","13 Repeat activity",IF(W61&lt;&gt;"","12 First enquiry/order/booking",IF(Z61="YES","11 ACTIVATED",IF(Q61&lt;&gt;"","10 First listing live",IF(O61&lt;&gt;"","9 Profile completed",IF(N61&lt;&gt;"","8 Approved",IF(M61&lt;&gt;"","7 KYC submitted",IF(L61&lt;&gt;"","6 Registration completed",IF(K61&lt;&gt;"","5b Registration started",IF(H61&lt;&gt;"","5a Information sent",IF(G61&lt;&gt;"","5 Interested","—"))))))))))))</f>
        <v/>
      </c>
      <c r="AC61" s="10">
        <f>IF(A61="","",(COUNT(G61,H61,K61,L61,M61,N61,O61,Q61,R61)+(I61="Y")+(P61="Y")+(S61="Y"))/12)</f>
        <v/>
      </c>
      <c r="AD61">
        <f>IF(OR(A61="",COUNT(G61:X61)=0),"",TODAY()-MAX(G61,H61,K61,L61,M61,N61,O61,Q61,R61,W61,X61))</f>
        <v/>
      </c>
      <c r="AE61">
        <f>IF(A61="","",IF(AND(Z61&lt;&gt;"YES",AD61&lt;&gt;"",AD61&gt;THRESHOLDS!$B$12),"STUCK — act today",""))</f>
        <v/>
      </c>
      <c r="AF61">
        <f>IF(A61="","",IF(J61="Active (verified)","",IF(J61="","Ask GST status (readiness R2)","Escalate to founder: orders need verified GSTIN in current code — no tax advice")))</f>
        <v/>
      </c>
      <c r="AG61">
        <f>IF(AND(G61&lt;&gt;"",L61&lt;&gt;""),L61-G61,"")</f>
        <v/>
      </c>
      <c r="AH61">
        <f>IF(AND(L61&lt;&gt;"",N61&lt;&gt;""),N61-L61,"")</f>
        <v/>
      </c>
      <c r="AI61">
        <f>IF(AND(N61&lt;&gt;"",AA61&lt;&gt;""),AA61-N61,"")</f>
        <v/>
      </c>
      <c r="AJ61">
        <f>IF(AND(L61&lt;&gt;"",N61&lt;&gt;"",Q61&lt;&gt;""),"Qualifies (if FP-QUAL adopted)","")</f>
        <v/>
      </c>
    </row>
    <row r="62">
      <c r="G62" s="9" t="n"/>
      <c r="H62" s="9" t="n"/>
      <c r="K62" s="9" t="n"/>
      <c r="L62" s="9" t="n"/>
      <c r="M62" s="9" t="n"/>
      <c r="N62" s="9" t="n"/>
      <c r="O62" s="9" t="n"/>
      <c r="Q62" s="9" t="n"/>
      <c r="R62" s="9" t="n"/>
      <c r="W62" s="9" t="n"/>
      <c r="X62" s="9" t="n"/>
      <c r="Z62">
        <f>IF(A62="","",IF(AND(N62&lt;&gt;"",O62&lt;&gt;"",Q62&lt;&gt;"",R62&lt;&gt;"",S62="Y"),"YES","no"))</f>
        <v/>
      </c>
      <c r="AA62" s="9">
        <f>IF(Z62="YES",MAX(N62,O62,Q62,R62),"")</f>
        <v/>
      </c>
      <c r="AB62">
        <f>IF(A62="","",IF(X62&lt;&gt;"","13 Repeat activity",IF(W62&lt;&gt;"","12 First enquiry/order/booking",IF(Z62="YES","11 ACTIVATED",IF(Q62&lt;&gt;"","10 First listing live",IF(O62&lt;&gt;"","9 Profile completed",IF(N62&lt;&gt;"","8 Approved",IF(M62&lt;&gt;"","7 KYC submitted",IF(L62&lt;&gt;"","6 Registration completed",IF(K62&lt;&gt;"","5b Registration started",IF(H62&lt;&gt;"","5a Information sent",IF(G62&lt;&gt;"","5 Interested","—"))))))))))))</f>
        <v/>
      </c>
      <c r="AC62" s="10">
        <f>IF(A62="","",(COUNT(G62,H62,K62,L62,M62,N62,O62,Q62,R62)+(I62="Y")+(P62="Y")+(S62="Y"))/12)</f>
        <v/>
      </c>
      <c r="AD62">
        <f>IF(OR(A62="",COUNT(G62:X62)=0),"",TODAY()-MAX(G62,H62,K62,L62,M62,N62,O62,Q62,R62,W62,X62))</f>
        <v/>
      </c>
      <c r="AE62">
        <f>IF(A62="","",IF(AND(Z62&lt;&gt;"YES",AD62&lt;&gt;"",AD62&gt;THRESHOLDS!$B$12),"STUCK — act today",""))</f>
        <v/>
      </c>
      <c r="AF62">
        <f>IF(A62="","",IF(J62="Active (verified)","",IF(J62="","Ask GST status (readiness R2)","Escalate to founder: orders need verified GSTIN in current code — no tax advice")))</f>
        <v/>
      </c>
      <c r="AG62">
        <f>IF(AND(G62&lt;&gt;"",L62&lt;&gt;""),L62-G62,"")</f>
        <v/>
      </c>
      <c r="AH62">
        <f>IF(AND(L62&lt;&gt;"",N62&lt;&gt;""),N62-L62,"")</f>
        <v/>
      </c>
      <c r="AI62">
        <f>IF(AND(N62&lt;&gt;"",AA62&lt;&gt;""),AA62-N62,"")</f>
        <v/>
      </c>
      <c r="AJ62">
        <f>IF(AND(L62&lt;&gt;"",N62&lt;&gt;"",Q62&lt;&gt;""),"Qualifies (if FP-QUAL adopted)","")</f>
        <v/>
      </c>
    </row>
    <row r="63">
      <c r="G63" s="9" t="n"/>
      <c r="H63" s="9" t="n"/>
      <c r="K63" s="9" t="n"/>
      <c r="L63" s="9" t="n"/>
      <c r="M63" s="9" t="n"/>
      <c r="N63" s="9" t="n"/>
      <c r="O63" s="9" t="n"/>
      <c r="Q63" s="9" t="n"/>
      <c r="R63" s="9" t="n"/>
      <c r="W63" s="9" t="n"/>
      <c r="X63" s="9" t="n"/>
      <c r="Z63">
        <f>IF(A63="","",IF(AND(N63&lt;&gt;"",O63&lt;&gt;"",Q63&lt;&gt;"",R63&lt;&gt;"",S63="Y"),"YES","no"))</f>
        <v/>
      </c>
      <c r="AA63" s="9">
        <f>IF(Z63="YES",MAX(N63,O63,Q63,R63),"")</f>
        <v/>
      </c>
      <c r="AB63">
        <f>IF(A63="","",IF(X63&lt;&gt;"","13 Repeat activity",IF(W63&lt;&gt;"","12 First enquiry/order/booking",IF(Z63="YES","11 ACTIVATED",IF(Q63&lt;&gt;"","10 First listing live",IF(O63&lt;&gt;"","9 Profile completed",IF(N63&lt;&gt;"","8 Approved",IF(M63&lt;&gt;"","7 KYC submitted",IF(L63&lt;&gt;"","6 Registration completed",IF(K63&lt;&gt;"","5b Registration started",IF(H63&lt;&gt;"","5a Information sent",IF(G63&lt;&gt;"","5 Interested","—"))))))))))))</f>
        <v/>
      </c>
      <c r="AC63" s="10">
        <f>IF(A63="","",(COUNT(G63,H63,K63,L63,M63,N63,O63,Q63,R63)+(I63="Y")+(P63="Y")+(S63="Y"))/12)</f>
        <v/>
      </c>
      <c r="AD63">
        <f>IF(OR(A63="",COUNT(G63:X63)=0),"",TODAY()-MAX(G63,H63,K63,L63,M63,N63,O63,Q63,R63,W63,X63))</f>
        <v/>
      </c>
      <c r="AE63">
        <f>IF(A63="","",IF(AND(Z63&lt;&gt;"YES",AD63&lt;&gt;"",AD63&gt;THRESHOLDS!$B$12),"STUCK — act today",""))</f>
        <v/>
      </c>
      <c r="AF63">
        <f>IF(A63="","",IF(J63="Active (verified)","",IF(J63="","Ask GST status (readiness R2)","Escalate to founder: orders need verified GSTIN in current code — no tax advice")))</f>
        <v/>
      </c>
      <c r="AG63">
        <f>IF(AND(G63&lt;&gt;"",L63&lt;&gt;""),L63-G63,"")</f>
        <v/>
      </c>
      <c r="AH63">
        <f>IF(AND(L63&lt;&gt;"",N63&lt;&gt;""),N63-L63,"")</f>
        <v/>
      </c>
      <c r="AI63">
        <f>IF(AND(N63&lt;&gt;"",AA63&lt;&gt;""),AA63-N63,"")</f>
        <v/>
      </c>
      <c r="AJ63">
        <f>IF(AND(L63&lt;&gt;"",N63&lt;&gt;"",Q63&lt;&gt;""),"Qualifies (if FP-QUAL adopted)","")</f>
        <v/>
      </c>
    </row>
    <row r="64">
      <c r="G64" s="9" t="n"/>
      <c r="H64" s="9" t="n"/>
      <c r="K64" s="9" t="n"/>
      <c r="L64" s="9" t="n"/>
      <c r="M64" s="9" t="n"/>
      <c r="N64" s="9" t="n"/>
      <c r="O64" s="9" t="n"/>
      <c r="Q64" s="9" t="n"/>
      <c r="R64" s="9" t="n"/>
      <c r="W64" s="9" t="n"/>
      <c r="X64" s="9" t="n"/>
      <c r="Z64">
        <f>IF(A64="","",IF(AND(N64&lt;&gt;"",O64&lt;&gt;"",Q64&lt;&gt;"",R64&lt;&gt;"",S64="Y"),"YES","no"))</f>
        <v/>
      </c>
      <c r="AA64" s="9">
        <f>IF(Z64="YES",MAX(N64,O64,Q64,R64),"")</f>
        <v/>
      </c>
      <c r="AB64">
        <f>IF(A64="","",IF(X64&lt;&gt;"","13 Repeat activity",IF(W64&lt;&gt;"","12 First enquiry/order/booking",IF(Z64="YES","11 ACTIVATED",IF(Q64&lt;&gt;"","10 First listing live",IF(O64&lt;&gt;"","9 Profile completed",IF(N64&lt;&gt;"","8 Approved",IF(M64&lt;&gt;"","7 KYC submitted",IF(L64&lt;&gt;"","6 Registration completed",IF(K64&lt;&gt;"","5b Registration started",IF(H64&lt;&gt;"","5a Information sent",IF(G64&lt;&gt;"","5 Interested","—"))))))))))))</f>
        <v/>
      </c>
      <c r="AC64" s="10">
        <f>IF(A64="","",(COUNT(G64,H64,K64,L64,M64,N64,O64,Q64,R64)+(I64="Y")+(P64="Y")+(S64="Y"))/12)</f>
        <v/>
      </c>
      <c r="AD64">
        <f>IF(OR(A64="",COUNT(G64:X64)=0),"",TODAY()-MAX(G64,H64,K64,L64,M64,N64,O64,Q64,R64,W64,X64))</f>
        <v/>
      </c>
      <c r="AE64">
        <f>IF(A64="","",IF(AND(Z64&lt;&gt;"YES",AD64&lt;&gt;"",AD64&gt;THRESHOLDS!$B$12),"STUCK — act today",""))</f>
        <v/>
      </c>
      <c r="AF64">
        <f>IF(A64="","",IF(J64="Active (verified)","",IF(J64="","Ask GST status (readiness R2)","Escalate to founder: orders need verified GSTIN in current code — no tax advice")))</f>
        <v/>
      </c>
      <c r="AG64">
        <f>IF(AND(G64&lt;&gt;"",L64&lt;&gt;""),L64-G64,"")</f>
        <v/>
      </c>
      <c r="AH64">
        <f>IF(AND(L64&lt;&gt;"",N64&lt;&gt;""),N64-L64,"")</f>
        <v/>
      </c>
      <c r="AI64">
        <f>IF(AND(N64&lt;&gt;"",AA64&lt;&gt;""),AA64-N64,"")</f>
        <v/>
      </c>
      <c r="AJ64">
        <f>IF(AND(L64&lt;&gt;"",N64&lt;&gt;"",Q64&lt;&gt;""),"Qualifies (if FP-QUAL adopted)","")</f>
        <v/>
      </c>
    </row>
    <row r="65">
      <c r="G65" s="9" t="n"/>
      <c r="H65" s="9" t="n"/>
      <c r="K65" s="9" t="n"/>
      <c r="L65" s="9" t="n"/>
      <c r="M65" s="9" t="n"/>
      <c r="N65" s="9" t="n"/>
      <c r="O65" s="9" t="n"/>
      <c r="Q65" s="9" t="n"/>
      <c r="R65" s="9" t="n"/>
      <c r="W65" s="9" t="n"/>
      <c r="X65" s="9" t="n"/>
      <c r="Z65">
        <f>IF(A65="","",IF(AND(N65&lt;&gt;"",O65&lt;&gt;"",Q65&lt;&gt;"",R65&lt;&gt;"",S65="Y"),"YES","no"))</f>
        <v/>
      </c>
      <c r="AA65" s="9">
        <f>IF(Z65="YES",MAX(N65,O65,Q65,R65),"")</f>
        <v/>
      </c>
      <c r="AB65">
        <f>IF(A65="","",IF(X65&lt;&gt;"","13 Repeat activity",IF(W65&lt;&gt;"","12 First enquiry/order/booking",IF(Z65="YES","11 ACTIVATED",IF(Q65&lt;&gt;"","10 First listing live",IF(O65&lt;&gt;"","9 Profile completed",IF(N65&lt;&gt;"","8 Approved",IF(M65&lt;&gt;"","7 KYC submitted",IF(L65&lt;&gt;"","6 Registration completed",IF(K65&lt;&gt;"","5b Registration started",IF(H65&lt;&gt;"","5a Information sent",IF(G65&lt;&gt;"","5 Interested","—"))))))))))))</f>
        <v/>
      </c>
      <c r="AC65" s="10">
        <f>IF(A65="","",(COUNT(G65,H65,K65,L65,M65,N65,O65,Q65,R65)+(I65="Y")+(P65="Y")+(S65="Y"))/12)</f>
        <v/>
      </c>
      <c r="AD65">
        <f>IF(OR(A65="",COUNT(G65:X65)=0),"",TODAY()-MAX(G65,H65,K65,L65,M65,N65,O65,Q65,R65,W65,X65))</f>
        <v/>
      </c>
      <c r="AE65">
        <f>IF(A65="","",IF(AND(Z65&lt;&gt;"YES",AD65&lt;&gt;"",AD65&gt;THRESHOLDS!$B$12),"STUCK — act today",""))</f>
        <v/>
      </c>
      <c r="AF65">
        <f>IF(A65="","",IF(J65="Active (verified)","",IF(J65="","Ask GST status (readiness R2)","Escalate to founder: orders need verified GSTIN in current code — no tax advice")))</f>
        <v/>
      </c>
      <c r="AG65">
        <f>IF(AND(G65&lt;&gt;"",L65&lt;&gt;""),L65-G65,"")</f>
        <v/>
      </c>
      <c r="AH65">
        <f>IF(AND(L65&lt;&gt;"",N65&lt;&gt;""),N65-L65,"")</f>
        <v/>
      </c>
      <c r="AI65">
        <f>IF(AND(N65&lt;&gt;"",AA65&lt;&gt;""),AA65-N65,"")</f>
        <v/>
      </c>
      <c r="AJ65">
        <f>IF(AND(L65&lt;&gt;"",N65&lt;&gt;"",Q65&lt;&gt;""),"Qualifies (if FP-QUAL adopted)","")</f>
        <v/>
      </c>
    </row>
    <row r="66">
      <c r="G66" s="9" t="n"/>
      <c r="H66" s="9" t="n"/>
      <c r="K66" s="9" t="n"/>
      <c r="L66" s="9" t="n"/>
      <c r="M66" s="9" t="n"/>
      <c r="N66" s="9" t="n"/>
      <c r="O66" s="9" t="n"/>
      <c r="Q66" s="9" t="n"/>
      <c r="R66" s="9" t="n"/>
      <c r="W66" s="9" t="n"/>
      <c r="X66" s="9" t="n"/>
      <c r="Z66">
        <f>IF(A66="","",IF(AND(N66&lt;&gt;"",O66&lt;&gt;"",Q66&lt;&gt;"",R66&lt;&gt;"",S66="Y"),"YES","no"))</f>
        <v/>
      </c>
      <c r="AA66" s="9">
        <f>IF(Z66="YES",MAX(N66,O66,Q66,R66),"")</f>
        <v/>
      </c>
      <c r="AB66">
        <f>IF(A66="","",IF(X66&lt;&gt;"","13 Repeat activity",IF(W66&lt;&gt;"","12 First enquiry/order/booking",IF(Z66="YES","11 ACTIVATED",IF(Q66&lt;&gt;"","10 First listing live",IF(O66&lt;&gt;"","9 Profile completed",IF(N66&lt;&gt;"","8 Approved",IF(M66&lt;&gt;"","7 KYC submitted",IF(L66&lt;&gt;"","6 Registration completed",IF(K66&lt;&gt;"","5b Registration started",IF(H66&lt;&gt;"","5a Information sent",IF(G66&lt;&gt;"","5 Interested","—"))))))))))))</f>
        <v/>
      </c>
      <c r="AC66" s="10">
        <f>IF(A66="","",(COUNT(G66,H66,K66,L66,M66,N66,O66,Q66,R66)+(I66="Y")+(P66="Y")+(S66="Y"))/12)</f>
        <v/>
      </c>
      <c r="AD66">
        <f>IF(OR(A66="",COUNT(G66:X66)=0),"",TODAY()-MAX(G66,H66,K66,L66,M66,N66,O66,Q66,R66,W66,X66))</f>
        <v/>
      </c>
      <c r="AE66">
        <f>IF(A66="","",IF(AND(Z66&lt;&gt;"YES",AD66&lt;&gt;"",AD66&gt;THRESHOLDS!$B$12),"STUCK — act today",""))</f>
        <v/>
      </c>
      <c r="AF66">
        <f>IF(A66="","",IF(J66="Active (verified)","",IF(J66="","Ask GST status (readiness R2)","Escalate to founder: orders need verified GSTIN in current code — no tax advice")))</f>
        <v/>
      </c>
      <c r="AG66">
        <f>IF(AND(G66&lt;&gt;"",L66&lt;&gt;""),L66-G66,"")</f>
        <v/>
      </c>
      <c r="AH66">
        <f>IF(AND(L66&lt;&gt;"",N66&lt;&gt;""),N66-L66,"")</f>
        <v/>
      </c>
      <c r="AI66">
        <f>IF(AND(N66&lt;&gt;"",AA66&lt;&gt;""),AA66-N66,"")</f>
        <v/>
      </c>
      <c r="AJ66">
        <f>IF(AND(L66&lt;&gt;"",N66&lt;&gt;"",Q66&lt;&gt;""),"Qualifies (if FP-QUAL adopted)","")</f>
        <v/>
      </c>
    </row>
    <row r="67">
      <c r="G67" s="9" t="n"/>
      <c r="H67" s="9" t="n"/>
      <c r="K67" s="9" t="n"/>
      <c r="L67" s="9" t="n"/>
      <c r="M67" s="9" t="n"/>
      <c r="N67" s="9" t="n"/>
      <c r="O67" s="9" t="n"/>
      <c r="Q67" s="9" t="n"/>
      <c r="R67" s="9" t="n"/>
      <c r="W67" s="9" t="n"/>
      <c r="X67" s="9" t="n"/>
      <c r="Z67">
        <f>IF(A67="","",IF(AND(N67&lt;&gt;"",O67&lt;&gt;"",Q67&lt;&gt;"",R67&lt;&gt;"",S67="Y"),"YES","no"))</f>
        <v/>
      </c>
      <c r="AA67" s="9">
        <f>IF(Z67="YES",MAX(N67,O67,Q67,R67),"")</f>
        <v/>
      </c>
      <c r="AB67">
        <f>IF(A67="","",IF(X67&lt;&gt;"","13 Repeat activity",IF(W67&lt;&gt;"","12 First enquiry/order/booking",IF(Z67="YES","11 ACTIVATED",IF(Q67&lt;&gt;"","10 First listing live",IF(O67&lt;&gt;"","9 Profile completed",IF(N67&lt;&gt;"","8 Approved",IF(M67&lt;&gt;"","7 KYC submitted",IF(L67&lt;&gt;"","6 Registration completed",IF(K67&lt;&gt;"","5b Registration started",IF(H67&lt;&gt;"","5a Information sent",IF(G67&lt;&gt;"","5 Interested","—"))))))))))))</f>
        <v/>
      </c>
      <c r="AC67" s="10">
        <f>IF(A67="","",(COUNT(G67,H67,K67,L67,M67,N67,O67,Q67,R67)+(I67="Y")+(P67="Y")+(S67="Y"))/12)</f>
        <v/>
      </c>
      <c r="AD67">
        <f>IF(OR(A67="",COUNT(G67:X67)=0),"",TODAY()-MAX(G67,H67,K67,L67,M67,N67,O67,Q67,R67,W67,X67))</f>
        <v/>
      </c>
      <c r="AE67">
        <f>IF(A67="","",IF(AND(Z67&lt;&gt;"YES",AD67&lt;&gt;"",AD67&gt;THRESHOLDS!$B$12),"STUCK — act today",""))</f>
        <v/>
      </c>
      <c r="AF67">
        <f>IF(A67="","",IF(J67="Active (verified)","",IF(J67="","Ask GST status (readiness R2)","Escalate to founder: orders need verified GSTIN in current code — no tax advice")))</f>
        <v/>
      </c>
      <c r="AG67">
        <f>IF(AND(G67&lt;&gt;"",L67&lt;&gt;""),L67-G67,"")</f>
        <v/>
      </c>
      <c r="AH67">
        <f>IF(AND(L67&lt;&gt;"",N67&lt;&gt;""),N67-L67,"")</f>
        <v/>
      </c>
      <c r="AI67">
        <f>IF(AND(N67&lt;&gt;"",AA67&lt;&gt;""),AA67-N67,"")</f>
        <v/>
      </c>
      <c r="AJ67">
        <f>IF(AND(L67&lt;&gt;"",N67&lt;&gt;"",Q67&lt;&gt;""),"Qualifies (if FP-QUAL adopted)","")</f>
        <v/>
      </c>
    </row>
    <row r="68">
      <c r="G68" s="9" t="n"/>
      <c r="H68" s="9" t="n"/>
      <c r="K68" s="9" t="n"/>
      <c r="L68" s="9" t="n"/>
      <c r="M68" s="9" t="n"/>
      <c r="N68" s="9" t="n"/>
      <c r="O68" s="9" t="n"/>
      <c r="Q68" s="9" t="n"/>
      <c r="R68" s="9" t="n"/>
      <c r="W68" s="9" t="n"/>
      <c r="X68" s="9" t="n"/>
      <c r="Z68">
        <f>IF(A68="","",IF(AND(N68&lt;&gt;"",O68&lt;&gt;"",Q68&lt;&gt;"",R68&lt;&gt;"",S68="Y"),"YES","no"))</f>
        <v/>
      </c>
      <c r="AA68" s="9">
        <f>IF(Z68="YES",MAX(N68,O68,Q68,R68),"")</f>
        <v/>
      </c>
      <c r="AB68">
        <f>IF(A68="","",IF(X68&lt;&gt;"","13 Repeat activity",IF(W68&lt;&gt;"","12 First enquiry/order/booking",IF(Z68="YES","11 ACTIVATED",IF(Q68&lt;&gt;"","10 First listing live",IF(O68&lt;&gt;"","9 Profile completed",IF(N68&lt;&gt;"","8 Approved",IF(M68&lt;&gt;"","7 KYC submitted",IF(L68&lt;&gt;"","6 Registration completed",IF(K68&lt;&gt;"","5b Registration started",IF(H68&lt;&gt;"","5a Information sent",IF(G68&lt;&gt;"","5 Interested","—"))))))))))))</f>
        <v/>
      </c>
      <c r="AC68" s="10">
        <f>IF(A68="","",(COUNT(G68,H68,K68,L68,M68,N68,O68,Q68,R68)+(I68="Y")+(P68="Y")+(S68="Y"))/12)</f>
        <v/>
      </c>
      <c r="AD68">
        <f>IF(OR(A68="",COUNT(G68:X68)=0),"",TODAY()-MAX(G68,H68,K68,L68,M68,N68,O68,Q68,R68,W68,X68))</f>
        <v/>
      </c>
      <c r="AE68">
        <f>IF(A68="","",IF(AND(Z68&lt;&gt;"YES",AD68&lt;&gt;"",AD68&gt;THRESHOLDS!$B$12),"STUCK — act today",""))</f>
        <v/>
      </c>
      <c r="AF68">
        <f>IF(A68="","",IF(J68="Active (verified)","",IF(J68="","Ask GST status (readiness R2)","Escalate to founder: orders need verified GSTIN in current code — no tax advice")))</f>
        <v/>
      </c>
      <c r="AG68">
        <f>IF(AND(G68&lt;&gt;"",L68&lt;&gt;""),L68-G68,"")</f>
        <v/>
      </c>
      <c r="AH68">
        <f>IF(AND(L68&lt;&gt;"",N68&lt;&gt;""),N68-L68,"")</f>
        <v/>
      </c>
      <c r="AI68">
        <f>IF(AND(N68&lt;&gt;"",AA68&lt;&gt;""),AA68-N68,"")</f>
        <v/>
      </c>
      <c r="AJ68">
        <f>IF(AND(L68&lt;&gt;"",N68&lt;&gt;"",Q68&lt;&gt;""),"Qualifies (if FP-QUAL adopted)","")</f>
        <v/>
      </c>
    </row>
    <row r="69">
      <c r="G69" s="9" t="n"/>
      <c r="H69" s="9" t="n"/>
      <c r="K69" s="9" t="n"/>
      <c r="L69" s="9" t="n"/>
      <c r="M69" s="9" t="n"/>
      <c r="N69" s="9" t="n"/>
      <c r="O69" s="9" t="n"/>
      <c r="Q69" s="9" t="n"/>
      <c r="R69" s="9" t="n"/>
      <c r="W69" s="9" t="n"/>
      <c r="X69" s="9" t="n"/>
      <c r="Z69">
        <f>IF(A69="","",IF(AND(N69&lt;&gt;"",O69&lt;&gt;"",Q69&lt;&gt;"",R69&lt;&gt;"",S69="Y"),"YES","no"))</f>
        <v/>
      </c>
      <c r="AA69" s="9">
        <f>IF(Z69="YES",MAX(N69,O69,Q69,R69),"")</f>
        <v/>
      </c>
      <c r="AB69">
        <f>IF(A69="","",IF(X69&lt;&gt;"","13 Repeat activity",IF(W69&lt;&gt;"","12 First enquiry/order/booking",IF(Z69="YES","11 ACTIVATED",IF(Q69&lt;&gt;"","10 First listing live",IF(O69&lt;&gt;"","9 Profile completed",IF(N69&lt;&gt;"","8 Approved",IF(M69&lt;&gt;"","7 KYC submitted",IF(L69&lt;&gt;"","6 Registration completed",IF(K69&lt;&gt;"","5b Registration started",IF(H69&lt;&gt;"","5a Information sent",IF(G69&lt;&gt;"","5 Interested","—"))))))))))))</f>
        <v/>
      </c>
      <c r="AC69" s="10">
        <f>IF(A69="","",(COUNT(G69,H69,K69,L69,M69,N69,O69,Q69,R69)+(I69="Y")+(P69="Y")+(S69="Y"))/12)</f>
        <v/>
      </c>
      <c r="AD69">
        <f>IF(OR(A69="",COUNT(G69:X69)=0),"",TODAY()-MAX(G69,H69,K69,L69,M69,N69,O69,Q69,R69,W69,X69))</f>
        <v/>
      </c>
      <c r="AE69">
        <f>IF(A69="","",IF(AND(Z69&lt;&gt;"YES",AD69&lt;&gt;"",AD69&gt;THRESHOLDS!$B$12),"STUCK — act today",""))</f>
        <v/>
      </c>
      <c r="AF69">
        <f>IF(A69="","",IF(J69="Active (verified)","",IF(J69="","Ask GST status (readiness R2)","Escalate to founder: orders need verified GSTIN in current code — no tax advice")))</f>
        <v/>
      </c>
      <c r="AG69">
        <f>IF(AND(G69&lt;&gt;"",L69&lt;&gt;""),L69-G69,"")</f>
        <v/>
      </c>
      <c r="AH69">
        <f>IF(AND(L69&lt;&gt;"",N69&lt;&gt;""),N69-L69,"")</f>
        <v/>
      </c>
      <c r="AI69">
        <f>IF(AND(N69&lt;&gt;"",AA69&lt;&gt;""),AA69-N69,"")</f>
        <v/>
      </c>
      <c r="AJ69">
        <f>IF(AND(L69&lt;&gt;"",N69&lt;&gt;"",Q69&lt;&gt;""),"Qualifies (if FP-QUAL adopted)","")</f>
        <v/>
      </c>
    </row>
    <row r="70">
      <c r="G70" s="9" t="n"/>
      <c r="H70" s="9" t="n"/>
      <c r="K70" s="9" t="n"/>
      <c r="L70" s="9" t="n"/>
      <c r="M70" s="9" t="n"/>
      <c r="N70" s="9" t="n"/>
      <c r="O70" s="9" t="n"/>
      <c r="Q70" s="9" t="n"/>
      <c r="R70" s="9" t="n"/>
      <c r="W70" s="9" t="n"/>
      <c r="X70" s="9" t="n"/>
      <c r="Z70">
        <f>IF(A70="","",IF(AND(N70&lt;&gt;"",O70&lt;&gt;"",Q70&lt;&gt;"",R70&lt;&gt;"",S70="Y"),"YES","no"))</f>
        <v/>
      </c>
      <c r="AA70" s="9">
        <f>IF(Z70="YES",MAX(N70,O70,Q70,R70),"")</f>
        <v/>
      </c>
      <c r="AB70">
        <f>IF(A70="","",IF(X70&lt;&gt;"","13 Repeat activity",IF(W70&lt;&gt;"","12 First enquiry/order/booking",IF(Z70="YES","11 ACTIVATED",IF(Q70&lt;&gt;"","10 First listing live",IF(O70&lt;&gt;"","9 Profile completed",IF(N70&lt;&gt;"","8 Approved",IF(M70&lt;&gt;"","7 KYC submitted",IF(L70&lt;&gt;"","6 Registration completed",IF(K70&lt;&gt;"","5b Registration started",IF(H70&lt;&gt;"","5a Information sent",IF(G70&lt;&gt;"","5 Interested","—"))))))))))))</f>
        <v/>
      </c>
      <c r="AC70" s="10">
        <f>IF(A70="","",(COUNT(G70,H70,K70,L70,M70,N70,O70,Q70,R70)+(I70="Y")+(P70="Y")+(S70="Y"))/12)</f>
        <v/>
      </c>
      <c r="AD70">
        <f>IF(OR(A70="",COUNT(G70:X70)=0),"",TODAY()-MAX(G70,H70,K70,L70,M70,N70,O70,Q70,R70,W70,X70))</f>
        <v/>
      </c>
      <c r="AE70">
        <f>IF(A70="","",IF(AND(Z70&lt;&gt;"YES",AD70&lt;&gt;"",AD70&gt;THRESHOLDS!$B$12),"STUCK — act today",""))</f>
        <v/>
      </c>
      <c r="AF70">
        <f>IF(A70="","",IF(J70="Active (verified)","",IF(J70="","Ask GST status (readiness R2)","Escalate to founder: orders need verified GSTIN in current code — no tax advice")))</f>
        <v/>
      </c>
      <c r="AG70">
        <f>IF(AND(G70&lt;&gt;"",L70&lt;&gt;""),L70-G70,"")</f>
        <v/>
      </c>
      <c r="AH70">
        <f>IF(AND(L70&lt;&gt;"",N70&lt;&gt;""),N70-L70,"")</f>
        <v/>
      </c>
      <c r="AI70">
        <f>IF(AND(N70&lt;&gt;"",AA70&lt;&gt;""),AA70-N70,"")</f>
        <v/>
      </c>
      <c r="AJ70">
        <f>IF(AND(L70&lt;&gt;"",N70&lt;&gt;"",Q70&lt;&gt;""),"Qualifies (if FP-QUAL adopted)","")</f>
        <v/>
      </c>
    </row>
    <row r="71">
      <c r="G71" s="9" t="n"/>
      <c r="H71" s="9" t="n"/>
      <c r="K71" s="9" t="n"/>
      <c r="L71" s="9" t="n"/>
      <c r="M71" s="9" t="n"/>
      <c r="N71" s="9" t="n"/>
      <c r="O71" s="9" t="n"/>
      <c r="Q71" s="9" t="n"/>
      <c r="R71" s="9" t="n"/>
      <c r="W71" s="9" t="n"/>
      <c r="X71" s="9" t="n"/>
      <c r="Z71">
        <f>IF(A71="","",IF(AND(N71&lt;&gt;"",O71&lt;&gt;"",Q71&lt;&gt;"",R71&lt;&gt;"",S71="Y"),"YES","no"))</f>
        <v/>
      </c>
      <c r="AA71" s="9">
        <f>IF(Z71="YES",MAX(N71,O71,Q71,R71),"")</f>
        <v/>
      </c>
      <c r="AB71">
        <f>IF(A71="","",IF(X71&lt;&gt;"","13 Repeat activity",IF(W71&lt;&gt;"","12 First enquiry/order/booking",IF(Z71="YES","11 ACTIVATED",IF(Q71&lt;&gt;"","10 First listing live",IF(O71&lt;&gt;"","9 Profile completed",IF(N71&lt;&gt;"","8 Approved",IF(M71&lt;&gt;"","7 KYC submitted",IF(L71&lt;&gt;"","6 Registration completed",IF(K71&lt;&gt;"","5b Registration started",IF(H71&lt;&gt;"","5a Information sent",IF(G71&lt;&gt;"","5 Interested","—"))))))))))))</f>
        <v/>
      </c>
      <c r="AC71" s="10">
        <f>IF(A71="","",(COUNT(G71,H71,K71,L71,M71,N71,O71,Q71,R71)+(I71="Y")+(P71="Y")+(S71="Y"))/12)</f>
        <v/>
      </c>
      <c r="AD71">
        <f>IF(OR(A71="",COUNT(G71:X71)=0),"",TODAY()-MAX(G71,H71,K71,L71,M71,N71,O71,Q71,R71,W71,X71))</f>
        <v/>
      </c>
      <c r="AE71">
        <f>IF(A71="","",IF(AND(Z71&lt;&gt;"YES",AD71&lt;&gt;"",AD71&gt;THRESHOLDS!$B$12),"STUCK — act today",""))</f>
        <v/>
      </c>
      <c r="AF71">
        <f>IF(A71="","",IF(J71="Active (verified)","",IF(J71="","Ask GST status (readiness R2)","Escalate to founder: orders need verified GSTIN in current code — no tax advice")))</f>
        <v/>
      </c>
      <c r="AG71">
        <f>IF(AND(G71&lt;&gt;"",L71&lt;&gt;""),L71-G71,"")</f>
        <v/>
      </c>
      <c r="AH71">
        <f>IF(AND(L71&lt;&gt;"",N71&lt;&gt;""),N71-L71,"")</f>
        <v/>
      </c>
      <c r="AI71">
        <f>IF(AND(N71&lt;&gt;"",AA71&lt;&gt;""),AA71-N71,"")</f>
        <v/>
      </c>
      <c r="AJ71">
        <f>IF(AND(L71&lt;&gt;"",N71&lt;&gt;"",Q71&lt;&gt;""),"Qualifies (if FP-QUAL adopted)","")</f>
        <v/>
      </c>
    </row>
    <row r="72">
      <c r="G72" s="9" t="n"/>
      <c r="H72" s="9" t="n"/>
      <c r="K72" s="9" t="n"/>
      <c r="L72" s="9" t="n"/>
      <c r="M72" s="9" t="n"/>
      <c r="N72" s="9" t="n"/>
      <c r="O72" s="9" t="n"/>
      <c r="Q72" s="9" t="n"/>
      <c r="R72" s="9" t="n"/>
      <c r="W72" s="9" t="n"/>
      <c r="X72" s="9" t="n"/>
      <c r="Z72">
        <f>IF(A72="","",IF(AND(N72&lt;&gt;"",O72&lt;&gt;"",Q72&lt;&gt;"",R72&lt;&gt;"",S72="Y"),"YES","no"))</f>
        <v/>
      </c>
      <c r="AA72" s="9">
        <f>IF(Z72="YES",MAX(N72,O72,Q72,R72),"")</f>
        <v/>
      </c>
      <c r="AB72">
        <f>IF(A72="","",IF(X72&lt;&gt;"","13 Repeat activity",IF(W72&lt;&gt;"","12 First enquiry/order/booking",IF(Z72="YES","11 ACTIVATED",IF(Q72&lt;&gt;"","10 First listing live",IF(O72&lt;&gt;"","9 Profile completed",IF(N72&lt;&gt;"","8 Approved",IF(M72&lt;&gt;"","7 KYC submitted",IF(L72&lt;&gt;"","6 Registration completed",IF(K72&lt;&gt;"","5b Registration started",IF(H72&lt;&gt;"","5a Information sent",IF(G72&lt;&gt;"","5 Interested","—"))))))))))))</f>
        <v/>
      </c>
      <c r="AC72" s="10">
        <f>IF(A72="","",(COUNT(G72,H72,K72,L72,M72,N72,O72,Q72,R72)+(I72="Y")+(P72="Y")+(S72="Y"))/12)</f>
        <v/>
      </c>
      <c r="AD72">
        <f>IF(OR(A72="",COUNT(G72:X72)=0),"",TODAY()-MAX(G72,H72,K72,L72,M72,N72,O72,Q72,R72,W72,X72))</f>
        <v/>
      </c>
      <c r="AE72">
        <f>IF(A72="","",IF(AND(Z72&lt;&gt;"YES",AD72&lt;&gt;"",AD72&gt;THRESHOLDS!$B$12),"STUCK — act today",""))</f>
        <v/>
      </c>
      <c r="AF72">
        <f>IF(A72="","",IF(J72="Active (verified)","",IF(J72="","Ask GST status (readiness R2)","Escalate to founder: orders need verified GSTIN in current code — no tax advice")))</f>
        <v/>
      </c>
      <c r="AG72">
        <f>IF(AND(G72&lt;&gt;"",L72&lt;&gt;""),L72-G72,"")</f>
        <v/>
      </c>
      <c r="AH72">
        <f>IF(AND(L72&lt;&gt;"",N72&lt;&gt;""),N72-L72,"")</f>
        <v/>
      </c>
      <c r="AI72">
        <f>IF(AND(N72&lt;&gt;"",AA72&lt;&gt;""),AA72-N72,"")</f>
        <v/>
      </c>
      <c r="AJ72">
        <f>IF(AND(L72&lt;&gt;"",N72&lt;&gt;"",Q72&lt;&gt;""),"Qualifies (if FP-QUAL adopted)","")</f>
        <v/>
      </c>
    </row>
    <row r="73">
      <c r="G73" s="9" t="n"/>
      <c r="H73" s="9" t="n"/>
      <c r="K73" s="9" t="n"/>
      <c r="L73" s="9" t="n"/>
      <c r="M73" s="9" t="n"/>
      <c r="N73" s="9" t="n"/>
      <c r="O73" s="9" t="n"/>
      <c r="Q73" s="9" t="n"/>
      <c r="R73" s="9" t="n"/>
      <c r="W73" s="9" t="n"/>
      <c r="X73" s="9" t="n"/>
      <c r="Z73">
        <f>IF(A73="","",IF(AND(N73&lt;&gt;"",O73&lt;&gt;"",Q73&lt;&gt;"",R73&lt;&gt;"",S73="Y"),"YES","no"))</f>
        <v/>
      </c>
      <c r="AA73" s="9">
        <f>IF(Z73="YES",MAX(N73,O73,Q73,R73),"")</f>
        <v/>
      </c>
      <c r="AB73">
        <f>IF(A73="","",IF(X73&lt;&gt;"","13 Repeat activity",IF(W73&lt;&gt;"","12 First enquiry/order/booking",IF(Z73="YES","11 ACTIVATED",IF(Q73&lt;&gt;"","10 First listing live",IF(O73&lt;&gt;"","9 Profile completed",IF(N73&lt;&gt;"","8 Approved",IF(M73&lt;&gt;"","7 KYC submitted",IF(L73&lt;&gt;"","6 Registration completed",IF(K73&lt;&gt;"","5b Registration started",IF(H73&lt;&gt;"","5a Information sent",IF(G73&lt;&gt;"","5 Interested","—"))))))))))))</f>
        <v/>
      </c>
      <c r="AC73" s="10">
        <f>IF(A73="","",(COUNT(G73,H73,K73,L73,M73,N73,O73,Q73,R73)+(I73="Y")+(P73="Y")+(S73="Y"))/12)</f>
        <v/>
      </c>
      <c r="AD73">
        <f>IF(OR(A73="",COUNT(G73:X73)=0),"",TODAY()-MAX(G73,H73,K73,L73,M73,N73,O73,Q73,R73,W73,X73))</f>
        <v/>
      </c>
      <c r="AE73">
        <f>IF(A73="","",IF(AND(Z73&lt;&gt;"YES",AD73&lt;&gt;"",AD73&gt;THRESHOLDS!$B$12),"STUCK — act today",""))</f>
        <v/>
      </c>
      <c r="AF73">
        <f>IF(A73="","",IF(J73="Active (verified)","",IF(J73="","Ask GST status (readiness R2)","Escalate to founder: orders need verified GSTIN in current code — no tax advice")))</f>
        <v/>
      </c>
      <c r="AG73">
        <f>IF(AND(G73&lt;&gt;"",L73&lt;&gt;""),L73-G73,"")</f>
        <v/>
      </c>
      <c r="AH73">
        <f>IF(AND(L73&lt;&gt;"",N73&lt;&gt;""),N73-L73,"")</f>
        <v/>
      </c>
      <c r="AI73">
        <f>IF(AND(N73&lt;&gt;"",AA73&lt;&gt;""),AA73-N73,"")</f>
        <v/>
      </c>
      <c r="AJ73">
        <f>IF(AND(L73&lt;&gt;"",N73&lt;&gt;"",Q73&lt;&gt;""),"Qualifies (if FP-QUAL adopted)","")</f>
        <v/>
      </c>
    </row>
    <row r="74">
      <c r="G74" s="9" t="n"/>
      <c r="H74" s="9" t="n"/>
      <c r="K74" s="9" t="n"/>
      <c r="L74" s="9" t="n"/>
      <c r="M74" s="9" t="n"/>
      <c r="N74" s="9" t="n"/>
      <c r="O74" s="9" t="n"/>
      <c r="Q74" s="9" t="n"/>
      <c r="R74" s="9" t="n"/>
      <c r="W74" s="9" t="n"/>
      <c r="X74" s="9" t="n"/>
      <c r="Z74">
        <f>IF(A74="","",IF(AND(N74&lt;&gt;"",O74&lt;&gt;"",Q74&lt;&gt;"",R74&lt;&gt;"",S74="Y"),"YES","no"))</f>
        <v/>
      </c>
      <c r="AA74" s="9">
        <f>IF(Z74="YES",MAX(N74,O74,Q74,R74),"")</f>
        <v/>
      </c>
      <c r="AB74">
        <f>IF(A74="","",IF(X74&lt;&gt;"","13 Repeat activity",IF(W74&lt;&gt;"","12 First enquiry/order/booking",IF(Z74="YES","11 ACTIVATED",IF(Q74&lt;&gt;"","10 First listing live",IF(O74&lt;&gt;"","9 Profile completed",IF(N74&lt;&gt;"","8 Approved",IF(M74&lt;&gt;"","7 KYC submitted",IF(L74&lt;&gt;"","6 Registration completed",IF(K74&lt;&gt;"","5b Registration started",IF(H74&lt;&gt;"","5a Information sent",IF(G74&lt;&gt;"","5 Interested","—"))))))))))))</f>
        <v/>
      </c>
      <c r="AC74" s="10">
        <f>IF(A74="","",(COUNT(G74,H74,K74,L74,M74,N74,O74,Q74,R74)+(I74="Y")+(P74="Y")+(S74="Y"))/12)</f>
        <v/>
      </c>
      <c r="AD74">
        <f>IF(OR(A74="",COUNT(G74:X74)=0),"",TODAY()-MAX(G74,H74,K74,L74,M74,N74,O74,Q74,R74,W74,X74))</f>
        <v/>
      </c>
      <c r="AE74">
        <f>IF(A74="","",IF(AND(Z74&lt;&gt;"YES",AD74&lt;&gt;"",AD74&gt;THRESHOLDS!$B$12),"STUCK — act today",""))</f>
        <v/>
      </c>
      <c r="AF74">
        <f>IF(A74="","",IF(J74="Active (verified)","",IF(J74="","Ask GST status (readiness R2)","Escalate to founder: orders need verified GSTIN in current code — no tax advice")))</f>
        <v/>
      </c>
      <c r="AG74">
        <f>IF(AND(G74&lt;&gt;"",L74&lt;&gt;""),L74-G74,"")</f>
        <v/>
      </c>
      <c r="AH74">
        <f>IF(AND(L74&lt;&gt;"",N74&lt;&gt;""),N74-L74,"")</f>
        <v/>
      </c>
      <c r="AI74">
        <f>IF(AND(N74&lt;&gt;"",AA74&lt;&gt;""),AA74-N74,"")</f>
        <v/>
      </c>
      <c r="AJ74">
        <f>IF(AND(L74&lt;&gt;"",N74&lt;&gt;"",Q74&lt;&gt;""),"Qualifies (if FP-QUAL adopted)","")</f>
        <v/>
      </c>
    </row>
    <row r="75">
      <c r="G75" s="9" t="n"/>
      <c r="H75" s="9" t="n"/>
      <c r="K75" s="9" t="n"/>
      <c r="L75" s="9" t="n"/>
      <c r="M75" s="9" t="n"/>
      <c r="N75" s="9" t="n"/>
      <c r="O75" s="9" t="n"/>
      <c r="Q75" s="9" t="n"/>
      <c r="R75" s="9" t="n"/>
      <c r="W75" s="9" t="n"/>
      <c r="X75" s="9" t="n"/>
      <c r="Z75">
        <f>IF(A75="","",IF(AND(N75&lt;&gt;"",O75&lt;&gt;"",Q75&lt;&gt;"",R75&lt;&gt;"",S75="Y"),"YES","no"))</f>
        <v/>
      </c>
      <c r="AA75" s="9">
        <f>IF(Z75="YES",MAX(N75,O75,Q75,R75),"")</f>
        <v/>
      </c>
      <c r="AB75">
        <f>IF(A75="","",IF(X75&lt;&gt;"","13 Repeat activity",IF(W75&lt;&gt;"","12 First enquiry/order/booking",IF(Z75="YES","11 ACTIVATED",IF(Q75&lt;&gt;"","10 First listing live",IF(O75&lt;&gt;"","9 Profile completed",IF(N75&lt;&gt;"","8 Approved",IF(M75&lt;&gt;"","7 KYC submitted",IF(L75&lt;&gt;"","6 Registration completed",IF(K75&lt;&gt;"","5b Registration started",IF(H75&lt;&gt;"","5a Information sent",IF(G75&lt;&gt;"","5 Interested","—"))))))))))))</f>
        <v/>
      </c>
      <c r="AC75" s="10">
        <f>IF(A75="","",(COUNT(G75,H75,K75,L75,M75,N75,O75,Q75,R75)+(I75="Y")+(P75="Y")+(S75="Y"))/12)</f>
        <v/>
      </c>
      <c r="AD75">
        <f>IF(OR(A75="",COUNT(G75:X75)=0),"",TODAY()-MAX(G75,H75,K75,L75,M75,N75,O75,Q75,R75,W75,X75))</f>
        <v/>
      </c>
      <c r="AE75">
        <f>IF(A75="","",IF(AND(Z75&lt;&gt;"YES",AD75&lt;&gt;"",AD75&gt;THRESHOLDS!$B$12),"STUCK — act today",""))</f>
        <v/>
      </c>
      <c r="AF75">
        <f>IF(A75="","",IF(J75="Active (verified)","",IF(J75="","Ask GST status (readiness R2)","Escalate to founder: orders need verified GSTIN in current code — no tax advice")))</f>
        <v/>
      </c>
      <c r="AG75">
        <f>IF(AND(G75&lt;&gt;"",L75&lt;&gt;""),L75-G75,"")</f>
        <v/>
      </c>
      <c r="AH75">
        <f>IF(AND(L75&lt;&gt;"",N75&lt;&gt;""),N75-L75,"")</f>
        <v/>
      </c>
      <c r="AI75">
        <f>IF(AND(N75&lt;&gt;"",AA75&lt;&gt;""),AA75-N75,"")</f>
        <v/>
      </c>
      <c r="AJ75">
        <f>IF(AND(L75&lt;&gt;"",N75&lt;&gt;"",Q75&lt;&gt;""),"Qualifies (if FP-QUAL adopted)","")</f>
        <v/>
      </c>
    </row>
    <row r="76">
      <c r="G76" s="9" t="n"/>
      <c r="H76" s="9" t="n"/>
      <c r="K76" s="9" t="n"/>
      <c r="L76" s="9" t="n"/>
      <c r="M76" s="9" t="n"/>
      <c r="N76" s="9" t="n"/>
      <c r="O76" s="9" t="n"/>
      <c r="Q76" s="9" t="n"/>
      <c r="R76" s="9" t="n"/>
      <c r="W76" s="9" t="n"/>
      <c r="X76" s="9" t="n"/>
      <c r="Z76">
        <f>IF(A76="","",IF(AND(N76&lt;&gt;"",O76&lt;&gt;"",Q76&lt;&gt;"",R76&lt;&gt;"",S76="Y"),"YES","no"))</f>
        <v/>
      </c>
      <c r="AA76" s="9">
        <f>IF(Z76="YES",MAX(N76,O76,Q76,R76),"")</f>
        <v/>
      </c>
      <c r="AB76">
        <f>IF(A76="","",IF(X76&lt;&gt;"","13 Repeat activity",IF(W76&lt;&gt;"","12 First enquiry/order/booking",IF(Z76="YES","11 ACTIVATED",IF(Q76&lt;&gt;"","10 First listing live",IF(O76&lt;&gt;"","9 Profile completed",IF(N76&lt;&gt;"","8 Approved",IF(M76&lt;&gt;"","7 KYC submitted",IF(L76&lt;&gt;"","6 Registration completed",IF(K76&lt;&gt;"","5b Registration started",IF(H76&lt;&gt;"","5a Information sent",IF(G76&lt;&gt;"","5 Interested","—"))))))))))))</f>
        <v/>
      </c>
      <c r="AC76" s="10">
        <f>IF(A76="","",(COUNT(G76,H76,K76,L76,M76,N76,O76,Q76,R76)+(I76="Y")+(P76="Y")+(S76="Y"))/12)</f>
        <v/>
      </c>
      <c r="AD76">
        <f>IF(OR(A76="",COUNT(G76:X76)=0),"",TODAY()-MAX(G76,H76,K76,L76,M76,N76,O76,Q76,R76,W76,X76))</f>
        <v/>
      </c>
      <c r="AE76">
        <f>IF(A76="","",IF(AND(Z76&lt;&gt;"YES",AD76&lt;&gt;"",AD76&gt;THRESHOLDS!$B$12),"STUCK — act today",""))</f>
        <v/>
      </c>
      <c r="AF76">
        <f>IF(A76="","",IF(J76="Active (verified)","",IF(J76="","Ask GST status (readiness R2)","Escalate to founder: orders need verified GSTIN in current code — no tax advice")))</f>
        <v/>
      </c>
      <c r="AG76">
        <f>IF(AND(G76&lt;&gt;"",L76&lt;&gt;""),L76-G76,"")</f>
        <v/>
      </c>
      <c r="AH76">
        <f>IF(AND(L76&lt;&gt;"",N76&lt;&gt;""),N76-L76,"")</f>
        <v/>
      </c>
      <c r="AI76">
        <f>IF(AND(N76&lt;&gt;"",AA76&lt;&gt;""),AA76-N76,"")</f>
        <v/>
      </c>
      <c r="AJ76">
        <f>IF(AND(L76&lt;&gt;"",N76&lt;&gt;"",Q76&lt;&gt;""),"Qualifies (if FP-QUAL adopted)","")</f>
        <v/>
      </c>
    </row>
    <row r="77">
      <c r="G77" s="9" t="n"/>
      <c r="H77" s="9" t="n"/>
      <c r="K77" s="9" t="n"/>
      <c r="L77" s="9" t="n"/>
      <c r="M77" s="9" t="n"/>
      <c r="N77" s="9" t="n"/>
      <c r="O77" s="9" t="n"/>
      <c r="Q77" s="9" t="n"/>
      <c r="R77" s="9" t="n"/>
      <c r="W77" s="9" t="n"/>
      <c r="X77" s="9" t="n"/>
      <c r="Z77">
        <f>IF(A77="","",IF(AND(N77&lt;&gt;"",O77&lt;&gt;"",Q77&lt;&gt;"",R77&lt;&gt;"",S77="Y"),"YES","no"))</f>
        <v/>
      </c>
      <c r="AA77" s="9">
        <f>IF(Z77="YES",MAX(N77,O77,Q77,R77),"")</f>
        <v/>
      </c>
      <c r="AB77">
        <f>IF(A77="","",IF(X77&lt;&gt;"","13 Repeat activity",IF(W77&lt;&gt;"","12 First enquiry/order/booking",IF(Z77="YES","11 ACTIVATED",IF(Q77&lt;&gt;"","10 First listing live",IF(O77&lt;&gt;"","9 Profile completed",IF(N77&lt;&gt;"","8 Approved",IF(M77&lt;&gt;"","7 KYC submitted",IF(L77&lt;&gt;"","6 Registration completed",IF(K77&lt;&gt;"","5b Registration started",IF(H77&lt;&gt;"","5a Information sent",IF(G77&lt;&gt;"","5 Interested","—"))))))))))))</f>
        <v/>
      </c>
      <c r="AC77" s="10">
        <f>IF(A77="","",(COUNT(G77,H77,K77,L77,M77,N77,O77,Q77,R77)+(I77="Y")+(P77="Y")+(S77="Y"))/12)</f>
        <v/>
      </c>
      <c r="AD77">
        <f>IF(OR(A77="",COUNT(G77:X77)=0),"",TODAY()-MAX(G77,H77,K77,L77,M77,N77,O77,Q77,R77,W77,X77))</f>
        <v/>
      </c>
      <c r="AE77">
        <f>IF(A77="","",IF(AND(Z77&lt;&gt;"YES",AD77&lt;&gt;"",AD77&gt;THRESHOLDS!$B$12),"STUCK — act today",""))</f>
        <v/>
      </c>
      <c r="AF77">
        <f>IF(A77="","",IF(J77="Active (verified)","",IF(J77="","Ask GST status (readiness R2)","Escalate to founder: orders need verified GSTIN in current code — no tax advice")))</f>
        <v/>
      </c>
      <c r="AG77">
        <f>IF(AND(G77&lt;&gt;"",L77&lt;&gt;""),L77-G77,"")</f>
        <v/>
      </c>
      <c r="AH77">
        <f>IF(AND(L77&lt;&gt;"",N77&lt;&gt;""),N77-L77,"")</f>
        <v/>
      </c>
      <c r="AI77">
        <f>IF(AND(N77&lt;&gt;"",AA77&lt;&gt;""),AA77-N77,"")</f>
        <v/>
      </c>
      <c r="AJ77">
        <f>IF(AND(L77&lt;&gt;"",N77&lt;&gt;"",Q77&lt;&gt;""),"Qualifies (if FP-QUAL adopted)","")</f>
        <v/>
      </c>
    </row>
    <row r="78">
      <c r="G78" s="9" t="n"/>
      <c r="H78" s="9" t="n"/>
      <c r="K78" s="9" t="n"/>
      <c r="L78" s="9" t="n"/>
      <c r="M78" s="9" t="n"/>
      <c r="N78" s="9" t="n"/>
      <c r="O78" s="9" t="n"/>
      <c r="Q78" s="9" t="n"/>
      <c r="R78" s="9" t="n"/>
      <c r="W78" s="9" t="n"/>
      <c r="X78" s="9" t="n"/>
      <c r="Z78">
        <f>IF(A78="","",IF(AND(N78&lt;&gt;"",O78&lt;&gt;"",Q78&lt;&gt;"",R78&lt;&gt;"",S78="Y"),"YES","no"))</f>
        <v/>
      </c>
      <c r="AA78" s="9">
        <f>IF(Z78="YES",MAX(N78,O78,Q78,R78),"")</f>
        <v/>
      </c>
      <c r="AB78">
        <f>IF(A78="","",IF(X78&lt;&gt;"","13 Repeat activity",IF(W78&lt;&gt;"","12 First enquiry/order/booking",IF(Z78="YES","11 ACTIVATED",IF(Q78&lt;&gt;"","10 First listing live",IF(O78&lt;&gt;"","9 Profile completed",IF(N78&lt;&gt;"","8 Approved",IF(M78&lt;&gt;"","7 KYC submitted",IF(L78&lt;&gt;"","6 Registration completed",IF(K78&lt;&gt;"","5b Registration started",IF(H78&lt;&gt;"","5a Information sent",IF(G78&lt;&gt;"","5 Interested","—"))))))))))))</f>
        <v/>
      </c>
      <c r="AC78" s="10">
        <f>IF(A78="","",(COUNT(G78,H78,K78,L78,M78,N78,O78,Q78,R78)+(I78="Y")+(P78="Y")+(S78="Y"))/12)</f>
        <v/>
      </c>
      <c r="AD78">
        <f>IF(OR(A78="",COUNT(G78:X78)=0),"",TODAY()-MAX(G78,H78,K78,L78,M78,N78,O78,Q78,R78,W78,X78))</f>
        <v/>
      </c>
      <c r="AE78">
        <f>IF(A78="","",IF(AND(Z78&lt;&gt;"YES",AD78&lt;&gt;"",AD78&gt;THRESHOLDS!$B$12),"STUCK — act today",""))</f>
        <v/>
      </c>
      <c r="AF78">
        <f>IF(A78="","",IF(J78="Active (verified)","",IF(J78="","Ask GST status (readiness R2)","Escalate to founder: orders need verified GSTIN in current code — no tax advice")))</f>
        <v/>
      </c>
      <c r="AG78">
        <f>IF(AND(G78&lt;&gt;"",L78&lt;&gt;""),L78-G78,"")</f>
        <v/>
      </c>
      <c r="AH78">
        <f>IF(AND(L78&lt;&gt;"",N78&lt;&gt;""),N78-L78,"")</f>
        <v/>
      </c>
      <c r="AI78">
        <f>IF(AND(N78&lt;&gt;"",AA78&lt;&gt;""),AA78-N78,"")</f>
        <v/>
      </c>
      <c r="AJ78">
        <f>IF(AND(L78&lt;&gt;"",N78&lt;&gt;"",Q78&lt;&gt;""),"Qualifies (if FP-QUAL adopted)","")</f>
        <v/>
      </c>
    </row>
    <row r="79">
      <c r="G79" s="9" t="n"/>
      <c r="H79" s="9" t="n"/>
      <c r="K79" s="9" t="n"/>
      <c r="L79" s="9" t="n"/>
      <c r="M79" s="9" t="n"/>
      <c r="N79" s="9" t="n"/>
      <c r="O79" s="9" t="n"/>
      <c r="Q79" s="9" t="n"/>
      <c r="R79" s="9" t="n"/>
      <c r="W79" s="9" t="n"/>
      <c r="X79" s="9" t="n"/>
      <c r="Z79">
        <f>IF(A79="","",IF(AND(N79&lt;&gt;"",O79&lt;&gt;"",Q79&lt;&gt;"",R79&lt;&gt;"",S79="Y"),"YES","no"))</f>
        <v/>
      </c>
      <c r="AA79" s="9">
        <f>IF(Z79="YES",MAX(N79,O79,Q79,R79),"")</f>
        <v/>
      </c>
      <c r="AB79">
        <f>IF(A79="","",IF(X79&lt;&gt;"","13 Repeat activity",IF(W79&lt;&gt;"","12 First enquiry/order/booking",IF(Z79="YES","11 ACTIVATED",IF(Q79&lt;&gt;"","10 First listing live",IF(O79&lt;&gt;"","9 Profile completed",IF(N79&lt;&gt;"","8 Approved",IF(M79&lt;&gt;"","7 KYC submitted",IF(L79&lt;&gt;"","6 Registration completed",IF(K79&lt;&gt;"","5b Registration started",IF(H79&lt;&gt;"","5a Information sent",IF(G79&lt;&gt;"","5 Interested","—"))))))))))))</f>
        <v/>
      </c>
      <c r="AC79" s="10">
        <f>IF(A79="","",(COUNT(G79,H79,K79,L79,M79,N79,O79,Q79,R79)+(I79="Y")+(P79="Y")+(S79="Y"))/12)</f>
        <v/>
      </c>
      <c r="AD79">
        <f>IF(OR(A79="",COUNT(G79:X79)=0),"",TODAY()-MAX(G79,H79,K79,L79,M79,N79,O79,Q79,R79,W79,X79))</f>
        <v/>
      </c>
      <c r="AE79">
        <f>IF(A79="","",IF(AND(Z79&lt;&gt;"YES",AD79&lt;&gt;"",AD79&gt;THRESHOLDS!$B$12),"STUCK — act today",""))</f>
        <v/>
      </c>
      <c r="AF79">
        <f>IF(A79="","",IF(J79="Active (verified)","",IF(J79="","Ask GST status (readiness R2)","Escalate to founder: orders need verified GSTIN in current code — no tax advice")))</f>
        <v/>
      </c>
      <c r="AG79">
        <f>IF(AND(G79&lt;&gt;"",L79&lt;&gt;""),L79-G79,"")</f>
        <v/>
      </c>
      <c r="AH79">
        <f>IF(AND(L79&lt;&gt;"",N79&lt;&gt;""),N79-L79,"")</f>
        <v/>
      </c>
      <c r="AI79">
        <f>IF(AND(N79&lt;&gt;"",AA79&lt;&gt;""),AA79-N79,"")</f>
        <v/>
      </c>
      <c r="AJ79">
        <f>IF(AND(L79&lt;&gt;"",N79&lt;&gt;"",Q79&lt;&gt;""),"Qualifies (if FP-QUAL adopted)","")</f>
        <v/>
      </c>
    </row>
    <row r="80">
      <c r="G80" s="9" t="n"/>
      <c r="H80" s="9" t="n"/>
      <c r="K80" s="9" t="n"/>
      <c r="L80" s="9" t="n"/>
      <c r="M80" s="9" t="n"/>
      <c r="N80" s="9" t="n"/>
      <c r="O80" s="9" t="n"/>
      <c r="Q80" s="9" t="n"/>
      <c r="R80" s="9" t="n"/>
      <c r="W80" s="9" t="n"/>
      <c r="X80" s="9" t="n"/>
      <c r="Z80">
        <f>IF(A80="","",IF(AND(N80&lt;&gt;"",O80&lt;&gt;"",Q80&lt;&gt;"",R80&lt;&gt;"",S80="Y"),"YES","no"))</f>
        <v/>
      </c>
      <c r="AA80" s="9">
        <f>IF(Z80="YES",MAX(N80,O80,Q80,R80),"")</f>
        <v/>
      </c>
      <c r="AB80">
        <f>IF(A80="","",IF(X80&lt;&gt;"","13 Repeat activity",IF(W80&lt;&gt;"","12 First enquiry/order/booking",IF(Z80="YES","11 ACTIVATED",IF(Q80&lt;&gt;"","10 First listing live",IF(O80&lt;&gt;"","9 Profile completed",IF(N80&lt;&gt;"","8 Approved",IF(M80&lt;&gt;"","7 KYC submitted",IF(L80&lt;&gt;"","6 Registration completed",IF(K80&lt;&gt;"","5b Registration started",IF(H80&lt;&gt;"","5a Information sent",IF(G80&lt;&gt;"","5 Interested","—"))))))))))))</f>
        <v/>
      </c>
      <c r="AC80" s="10">
        <f>IF(A80="","",(COUNT(G80,H80,K80,L80,M80,N80,O80,Q80,R80)+(I80="Y")+(P80="Y")+(S80="Y"))/12)</f>
        <v/>
      </c>
      <c r="AD80">
        <f>IF(OR(A80="",COUNT(G80:X80)=0),"",TODAY()-MAX(G80,H80,K80,L80,M80,N80,O80,Q80,R80,W80,X80))</f>
        <v/>
      </c>
      <c r="AE80">
        <f>IF(A80="","",IF(AND(Z80&lt;&gt;"YES",AD80&lt;&gt;"",AD80&gt;THRESHOLDS!$B$12),"STUCK — act today",""))</f>
        <v/>
      </c>
      <c r="AF80">
        <f>IF(A80="","",IF(J80="Active (verified)","",IF(J80="","Ask GST status (readiness R2)","Escalate to founder: orders need verified GSTIN in current code — no tax advice")))</f>
        <v/>
      </c>
      <c r="AG80">
        <f>IF(AND(G80&lt;&gt;"",L80&lt;&gt;""),L80-G80,"")</f>
        <v/>
      </c>
      <c r="AH80">
        <f>IF(AND(L80&lt;&gt;"",N80&lt;&gt;""),N80-L80,"")</f>
        <v/>
      </c>
      <c r="AI80">
        <f>IF(AND(N80&lt;&gt;"",AA80&lt;&gt;""),AA80-N80,"")</f>
        <v/>
      </c>
      <c r="AJ80">
        <f>IF(AND(L80&lt;&gt;"",N80&lt;&gt;"",Q80&lt;&gt;""),"Qualifies (if FP-QUAL adopted)","")</f>
        <v/>
      </c>
    </row>
    <row r="81">
      <c r="G81" s="9" t="n"/>
      <c r="H81" s="9" t="n"/>
      <c r="K81" s="9" t="n"/>
      <c r="L81" s="9" t="n"/>
      <c r="M81" s="9" t="n"/>
      <c r="N81" s="9" t="n"/>
      <c r="O81" s="9" t="n"/>
      <c r="Q81" s="9" t="n"/>
      <c r="R81" s="9" t="n"/>
      <c r="W81" s="9" t="n"/>
      <c r="X81" s="9" t="n"/>
      <c r="Z81">
        <f>IF(A81="","",IF(AND(N81&lt;&gt;"",O81&lt;&gt;"",Q81&lt;&gt;"",R81&lt;&gt;"",S81="Y"),"YES","no"))</f>
        <v/>
      </c>
      <c r="AA81" s="9">
        <f>IF(Z81="YES",MAX(N81,O81,Q81,R81),"")</f>
        <v/>
      </c>
      <c r="AB81">
        <f>IF(A81="","",IF(X81&lt;&gt;"","13 Repeat activity",IF(W81&lt;&gt;"","12 First enquiry/order/booking",IF(Z81="YES","11 ACTIVATED",IF(Q81&lt;&gt;"","10 First listing live",IF(O81&lt;&gt;"","9 Profile completed",IF(N81&lt;&gt;"","8 Approved",IF(M81&lt;&gt;"","7 KYC submitted",IF(L81&lt;&gt;"","6 Registration completed",IF(K81&lt;&gt;"","5b Registration started",IF(H81&lt;&gt;"","5a Information sent",IF(G81&lt;&gt;"","5 Interested","—"))))))))))))</f>
        <v/>
      </c>
      <c r="AC81" s="10">
        <f>IF(A81="","",(COUNT(G81,H81,K81,L81,M81,N81,O81,Q81,R81)+(I81="Y")+(P81="Y")+(S81="Y"))/12)</f>
        <v/>
      </c>
      <c r="AD81">
        <f>IF(OR(A81="",COUNT(G81:X81)=0),"",TODAY()-MAX(G81,H81,K81,L81,M81,N81,O81,Q81,R81,W81,X81))</f>
        <v/>
      </c>
      <c r="AE81">
        <f>IF(A81="","",IF(AND(Z81&lt;&gt;"YES",AD81&lt;&gt;"",AD81&gt;THRESHOLDS!$B$12),"STUCK — act today",""))</f>
        <v/>
      </c>
      <c r="AF81">
        <f>IF(A81="","",IF(J81="Active (verified)","",IF(J81="","Ask GST status (readiness R2)","Escalate to founder: orders need verified GSTIN in current code — no tax advice")))</f>
        <v/>
      </c>
      <c r="AG81">
        <f>IF(AND(G81&lt;&gt;"",L81&lt;&gt;""),L81-G81,"")</f>
        <v/>
      </c>
      <c r="AH81">
        <f>IF(AND(L81&lt;&gt;"",N81&lt;&gt;""),N81-L81,"")</f>
        <v/>
      </c>
      <c r="AI81">
        <f>IF(AND(N81&lt;&gt;"",AA81&lt;&gt;""),AA81-N81,"")</f>
        <v/>
      </c>
      <c r="AJ81">
        <f>IF(AND(L81&lt;&gt;"",N81&lt;&gt;"",Q81&lt;&gt;""),"Qualifies (if FP-QUAL adopted)","")</f>
        <v/>
      </c>
    </row>
    <row r="82">
      <c r="G82" s="9" t="n"/>
      <c r="H82" s="9" t="n"/>
      <c r="K82" s="9" t="n"/>
      <c r="L82" s="9" t="n"/>
      <c r="M82" s="9" t="n"/>
      <c r="N82" s="9" t="n"/>
      <c r="O82" s="9" t="n"/>
      <c r="Q82" s="9" t="n"/>
      <c r="R82" s="9" t="n"/>
      <c r="W82" s="9" t="n"/>
      <c r="X82" s="9" t="n"/>
      <c r="Z82">
        <f>IF(A82="","",IF(AND(N82&lt;&gt;"",O82&lt;&gt;"",Q82&lt;&gt;"",R82&lt;&gt;"",S82="Y"),"YES","no"))</f>
        <v/>
      </c>
      <c r="AA82" s="9">
        <f>IF(Z82="YES",MAX(N82,O82,Q82,R82),"")</f>
        <v/>
      </c>
      <c r="AB82">
        <f>IF(A82="","",IF(X82&lt;&gt;"","13 Repeat activity",IF(W82&lt;&gt;"","12 First enquiry/order/booking",IF(Z82="YES","11 ACTIVATED",IF(Q82&lt;&gt;"","10 First listing live",IF(O82&lt;&gt;"","9 Profile completed",IF(N82&lt;&gt;"","8 Approved",IF(M82&lt;&gt;"","7 KYC submitted",IF(L82&lt;&gt;"","6 Registration completed",IF(K82&lt;&gt;"","5b Registration started",IF(H82&lt;&gt;"","5a Information sent",IF(G82&lt;&gt;"","5 Interested","—"))))))))))))</f>
        <v/>
      </c>
      <c r="AC82" s="10">
        <f>IF(A82="","",(COUNT(G82,H82,K82,L82,M82,N82,O82,Q82,R82)+(I82="Y")+(P82="Y")+(S82="Y"))/12)</f>
        <v/>
      </c>
      <c r="AD82">
        <f>IF(OR(A82="",COUNT(G82:X82)=0),"",TODAY()-MAX(G82,H82,K82,L82,M82,N82,O82,Q82,R82,W82,X82))</f>
        <v/>
      </c>
      <c r="AE82">
        <f>IF(A82="","",IF(AND(Z82&lt;&gt;"YES",AD82&lt;&gt;"",AD82&gt;THRESHOLDS!$B$12),"STUCK — act today",""))</f>
        <v/>
      </c>
      <c r="AF82">
        <f>IF(A82="","",IF(J82="Active (verified)","",IF(J82="","Ask GST status (readiness R2)","Escalate to founder: orders need verified GSTIN in current code — no tax advice")))</f>
        <v/>
      </c>
      <c r="AG82">
        <f>IF(AND(G82&lt;&gt;"",L82&lt;&gt;""),L82-G82,"")</f>
        <v/>
      </c>
      <c r="AH82">
        <f>IF(AND(L82&lt;&gt;"",N82&lt;&gt;""),N82-L82,"")</f>
        <v/>
      </c>
      <c r="AI82">
        <f>IF(AND(N82&lt;&gt;"",AA82&lt;&gt;""),AA82-N82,"")</f>
        <v/>
      </c>
      <c r="AJ82">
        <f>IF(AND(L82&lt;&gt;"",N82&lt;&gt;"",Q82&lt;&gt;""),"Qualifies (if FP-QUAL adopted)","")</f>
        <v/>
      </c>
    </row>
    <row r="83">
      <c r="G83" s="9" t="n"/>
      <c r="H83" s="9" t="n"/>
      <c r="K83" s="9" t="n"/>
      <c r="L83" s="9" t="n"/>
      <c r="M83" s="9" t="n"/>
      <c r="N83" s="9" t="n"/>
      <c r="O83" s="9" t="n"/>
      <c r="Q83" s="9" t="n"/>
      <c r="R83" s="9" t="n"/>
      <c r="W83" s="9" t="n"/>
      <c r="X83" s="9" t="n"/>
      <c r="Z83">
        <f>IF(A83="","",IF(AND(N83&lt;&gt;"",O83&lt;&gt;"",Q83&lt;&gt;"",R83&lt;&gt;"",S83="Y"),"YES","no"))</f>
        <v/>
      </c>
      <c r="AA83" s="9">
        <f>IF(Z83="YES",MAX(N83,O83,Q83,R83),"")</f>
        <v/>
      </c>
      <c r="AB83">
        <f>IF(A83="","",IF(X83&lt;&gt;"","13 Repeat activity",IF(W83&lt;&gt;"","12 First enquiry/order/booking",IF(Z83="YES","11 ACTIVATED",IF(Q83&lt;&gt;"","10 First listing live",IF(O83&lt;&gt;"","9 Profile completed",IF(N83&lt;&gt;"","8 Approved",IF(M83&lt;&gt;"","7 KYC submitted",IF(L83&lt;&gt;"","6 Registration completed",IF(K83&lt;&gt;"","5b Registration started",IF(H83&lt;&gt;"","5a Information sent",IF(G83&lt;&gt;"","5 Interested","—"))))))))))))</f>
        <v/>
      </c>
      <c r="AC83" s="10">
        <f>IF(A83="","",(COUNT(G83,H83,K83,L83,M83,N83,O83,Q83,R83)+(I83="Y")+(P83="Y")+(S83="Y"))/12)</f>
        <v/>
      </c>
      <c r="AD83">
        <f>IF(OR(A83="",COUNT(G83:X83)=0),"",TODAY()-MAX(G83,H83,K83,L83,M83,N83,O83,Q83,R83,W83,X83))</f>
        <v/>
      </c>
      <c r="AE83">
        <f>IF(A83="","",IF(AND(Z83&lt;&gt;"YES",AD83&lt;&gt;"",AD83&gt;THRESHOLDS!$B$12),"STUCK — act today",""))</f>
        <v/>
      </c>
      <c r="AF83">
        <f>IF(A83="","",IF(J83="Active (verified)","",IF(J83="","Ask GST status (readiness R2)","Escalate to founder: orders need verified GSTIN in current code — no tax advice")))</f>
        <v/>
      </c>
      <c r="AG83">
        <f>IF(AND(G83&lt;&gt;"",L83&lt;&gt;""),L83-G83,"")</f>
        <v/>
      </c>
      <c r="AH83">
        <f>IF(AND(L83&lt;&gt;"",N83&lt;&gt;""),N83-L83,"")</f>
        <v/>
      </c>
      <c r="AI83">
        <f>IF(AND(N83&lt;&gt;"",AA83&lt;&gt;""),AA83-N83,"")</f>
        <v/>
      </c>
      <c r="AJ83">
        <f>IF(AND(L83&lt;&gt;"",N83&lt;&gt;"",Q83&lt;&gt;""),"Qualifies (if FP-QUAL adopted)","")</f>
        <v/>
      </c>
    </row>
    <row r="84">
      <c r="G84" s="9" t="n"/>
      <c r="H84" s="9" t="n"/>
      <c r="K84" s="9" t="n"/>
      <c r="L84" s="9" t="n"/>
      <c r="M84" s="9" t="n"/>
      <c r="N84" s="9" t="n"/>
      <c r="O84" s="9" t="n"/>
      <c r="Q84" s="9" t="n"/>
      <c r="R84" s="9" t="n"/>
      <c r="W84" s="9" t="n"/>
      <c r="X84" s="9" t="n"/>
      <c r="Z84">
        <f>IF(A84="","",IF(AND(N84&lt;&gt;"",O84&lt;&gt;"",Q84&lt;&gt;"",R84&lt;&gt;"",S84="Y"),"YES","no"))</f>
        <v/>
      </c>
      <c r="AA84" s="9">
        <f>IF(Z84="YES",MAX(N84,O84,Q84,R84),"")</f>
        <v/>
      </c>
      <c r="AB84">
        <f>IF(A84="","",IF(X84&lt;&gt;"","13 Repeat activity",IF(W84&lt;&gt;"","12 First enquiry/order/booking",IF(Z84="YES","11 ACTIVATED",IF(Q84&lt;&gt;"","10 First listing live",IF(O84&lt;&gt;"","9 Profile completed",IF(N84&lt;&gt;"","8 Approved",IF(M84&lt;&gt;"","7 KYC submitted",IF(L84&lt;&gt;"","6 Registration completed",IF(K84&lt;&gt;"","5b Registration started",IF(H84&lt;&gt;"","5a Information sent",IF(G84&lt;&gt;"","5 Interested","—"))))))))))))</f>
        <v/>
      </c>
      <c r="AC84" s="10">
        <f>IF(A84="","",(COUNT(G84,H84,K84,L84,M84,N84,O84,Q84,R84)+(I84="Y")+(P84="Y")+(S84="Y"))/12)</f>
        <v/>
      </c>
      <c r="AD84">
        <f>IF(OR(A84="",COUNT(G84:X84)=0),"",TODAY()-MAX(G84,H84,K84,L84,M84,N84,O84,Q84,R84,W84,X84))</f>
        <v/>
      </c>
      <c r="AE84">
        <f>IF(A84="","",IF(AND(Z84&lt;&gt;"YES",AD84&lt;&gt;"",AD84&gt;THRESHOLDS!$B$12),"STUCK — act today",""))</f>
        <v/>
      </c>
      <c r="AF84">
        <f>IF(A84="","",IF(J84="Active (verified)","",IF(J84="","Ask GST status (readiness R2)","Escalate to founder: orders need verified GSTIN in current code — no tax advice")))</f>
        <v/>
      </c>
      <c r="AG84">
        <f>IF(AND(G84&lt;&gt;"",L84&lt;&gt;""),L84-G84,"")</f>
        <v/>
      </c>
      <c r="AH84">
        <f>IF(AND(L84&lt;&gt;"",N84&lt;&gt;""),N84-L84,"")</f>
        <v/>
      </c>
      <c r="AI84">
        <f>IF(AND(N84&lt;&gt;"",AA84&lt;&gt;""),AA84-N84,"")</f>
        <v/>
      </c>
      <c r="AJ84">
        <f>IF(AND(L84&lt;&gt;"",N84&lt;&gt;"",Q84&lt;&gt;""),"Qualifies (if FP-QUAL adopted)","")</f>
        <v/>
      </c>
    </row>
    <row r="85">
      <c r="G85" s="9" t="n"/>
      <c r="H85" s="9" t="n"/>
      <c r="K85" s="9" t="n"/>
      <c r="L85" s="9" t="n"/>
      <c r="M85" s="9" t="n"/>
      <c r="N85" s="9" t="n"/>
      <c r="O85" s="9" t="n"/>
      <c r="Q85" s="9" t="n"/>
      <c r="R85" s="9" t="n"/>
      <c r="W85" s="9" t="n"/>
      <c r="X85" s="9" t="n"/>
      <c r="Z85">
        <f>IF(A85="","",IF(AND(N85&lt;&gt;"",O85&lt;&gt;"",Q85&lt;&gt;"",R85&lt;&gt;"",S85="Y"),"YES","no"))</f>
        <v/>
      </c>
      <c r="AA85" s="9">
        <f>IF(Z85="YES",MAX(N85,O85,Q85,R85),"")</f>
        <v/>
      </c>
      <c r="AB85">
        <f>IF(A85="","",IF(X85&lt;&gt;"","13 Repeat activity",IF(W85&lt;&gt;"","12 First enquiry/order/booking",IF(Z85="YES","11 ACTIVATED",IF(Q85&lt;&gt;"","10 First listing live",IF(O85&lt;&gt;"","9 Profile completed",IF(N85&lt;&gt;"","8 Approved",IF(M85&lt;&gt;"","7 KYC submitted",IF(L85&lt;&gt;"","6 Registration completed",IF(K85&lt;&gt;"","5b Registration started",IF(H85&lt;&gt;"","5a Information sent",IF(G85&lt;&gt;"","5 Interested","—"))))))))))))</f>
        <v/>
      </c>
      <c r="AC85" s="10">
        <f>IF(A85="","",(COUNT(G85,H85,K85,L85,M85,N85,O85,Q85,R85)+(I85="Y")+(P85="Y")+(S85="Y"))/12)</f>
        <v/>
      </c>
      <c r="AD85">
        <f>IF(OR(A85="",COUNT(G85:X85)=0),"",TODAY()-MAX(G85,H85,K85,L85,M85,N85,O85,Q85,R85,W85,X85))</f>
        <v/>
      </c>
      <c r="AE85">
        <f>IF(A85="","",IF(AND(Z85&lt;&gt;"YES",AD85&lt;&gt;"",AD85&gt;THRESHOLDS!$B$12),"STUCK — act today",""))</f>
        <v/>
      </c>
      <c r="AF85">
        <f>IF(A85="","",IF(J85="Active (verified)","",IF(J85="","Ask GST status (readiness R2)","Escalate to founder: orders need verified GSTIN in current code — no tax advice")))</f>
        <v/>
      </c>
      <c r="AG85">
        <f>IF(AND(G85&lt;&gt;"",L85&lt;&gt;""),L85-G85,"")</f>
        <v/>
      </c>
      <c r="AH85">
        <f>IF(AND(L85&lt;&gt;"",N85&lt;&gt;""),N85-L85,"")</f>
        <v/>
      </c>
      <c r="AI85">
        <f>IF(AND(N85&lt;&gt;"",AA85&lt;&gt;""),AA85-N85,"")</f>
        <v/>
      </c>
      <c r="AJ85">
        <f>IF(AND(L85&lt;&gt;"",N85&lt;&gt;"",Q85&lt;&gt;""),"Qualifies (if FP-QUAL adopted)","")</f>
        <v/>
      </c>
    </row>
    <row r="86">
      <c r="G86" s="9" t="n"/>
      <c r="H86" s="9" t="n"/>
      <c r="K86" s="9" t="n"/>
      <c r="L86" s="9" t="n"/>
      <c r="M86" s="9" t="n"/>
      <c r="N86" s="9" t="n"/>
      <c r="O86" s="9" t="n"/>
      <c r="Q86" s="9" t="n"/>
      <c r="R86" s="9" t="n"/>
      <c r="W86" s="9" t="n"/>
      <c r="X86" s="9" t="n"/>
      <c r="Z86">
        <f>IF(A86="","",IF(AND(N86&lt;&gt;"",O86&lt;&gt;"",Q86&lt;&gt;"",R86&lt;&gt;"",S86="Y"),"YES","no"))</f>
        <v/>
      </c>
      <c r="AA86" s="9">
        <f>IF(Z86="YES",MAX(N86,O86,Q86,R86),"")</f>
        <v/>
      </c>
      <c r="AB86">
        <f>IF(A86="","",IF(X86&lt;&gt;"","13 Repeat activity",IF(W86&lt;&gt;"","12 First enquiry/order/booking",IF(Z86="YES","11 ACTIVATED",IF(Q86&lt;&gt;"","10 First listing live",IF(O86&lt;&gt;"","9 Profile completed",IF(N86&lt;&gt;"","8 Approved",IF(M86&lt;&gt;"","7 KYC submitted",IF(L86&lt;&gt;"","6 Registration completed",IF(K86&lt;&gt;"","5b Registration started",IF(H86&lt;&gt;"","5a Information sent",IF(G86&lt;&gt;"","5 Interested","—"))))))))))))</f>
        <v/>
      </c>
      <c r="AC86" s="10">
        <f>IF(A86="","",(COUNT(G86,H86,K86,L86,M86,N86,O86,Q86,R86)+(I86="Y")+(P86="Y")+(S86="Y"))/12)</f>
        <v/>
      </c>
      <c r="AD86">
        <f>IF(OR(A86="",COUNT(G86:X86)=0),"",TODAY()-MAX(G86,H86,K86,L86,M86,N86,O86,Q86,R86,W86,X86))</f>
        <v/>
      </c>
      <c r="AE86">
        <f>IF(A86="","",IF(AND(Z86&lt;&gt;"YES",AD86&lt;&gt;"",AD86&gt;THRESHOLDS!$B$12),"STUCK — act today",""))</f>
        <v/>
      </c>
      <c r="AF86">
        <f>IF(A86="","",IF(J86="Active (verified)","",IF(J86="","Ask GST status (readiness R2)","Escalate to founder: orders need verified GSTIN in current code — no tax advice")))</f>
        <v/>
      </c>
      <c r="AG86">
        <f>IF(AND(G86&lt;&gt;"",L86&lt;&gt;""),L86-G86,"")</f>
        <v/>
      </c>
      <c r="AH86">
        <f>IF(AND(L86&lt;&gt;"",N86&lt;&gt;""),N86-L86,"")</f>
        <v/>
      </c>
      <c r="AI86">
        <f>IF(AND(N86&lt;&gt;"",AA86&lt;&gt;""),AA86-N86,"")</f>
        <v/>
      </c>
      <c r="AJ86">
        <f>IF(AND(L86&lt;&gt;"",N86&lt;&gt;"",Q86&lt;&gt;""),"Qualifies (if FP-QUAL adopted)","")</f>
        <v/>
      </c>
    </row>
    <row r="87">
      <c r="G87" s="9" t="n"/>
      <c r="H87" s="9" t="n"/>
      <c r="K87" s="9" t="n"/>
      <c r="L87" s="9" t="n"/>
      <c r="M87" s="9" t="n"/>
      <c r="N87" s="9" t="n"/>
      <c r="O87" s="9" t="n"/>
      <c r="Q87" s="9" t="n"/>
      <c r="R87" s="9" t="n"/>
      <c r="W87" s="9" t="n"/>
      <c r="X87" s="9" t="n"/>
      <c r="Z87">
        <f>IF(A87="","",IF(AND(N87&lt;&gt;"",O87&lt;&gt;"",Q87&lt;&gt;"",R87&lt;&gt;"",S87="Y"),"YES","no"))</f>
        <v/>
      </c>
      <c r="AA87" s="9">
        <f>IF(Z87="YES",MAX(N87,O87,Q87,R87),"")</f>
        <v/>
      </c>
      <c r="AB87">
        <f>IF(A87="","",IF(X87&lt;&gt;"","13 Repeat activity",IF(W87&lt;&gt;"","12 First enquiry/order/booking",IF(Z87="YES","11 ACTIVATED",IF(Q87&lt;&gt;"","10 First listing live",IF(O87&lt;&gt;"","9 Profile completed",IF(N87&lt;&gt;"","8 Approved",IF(M87&lt;&gt;"","7 KYC submitted",IF(L87&lt;&gt;"","6 Registration completed",IF(K87&lt;&gt;"","5b Registration started",IF(H87&lt;&gt;"","5a Information sent",IF(G87&lt;&gt;"","5 Interested","—"))))))))))))</f>
        <v/>
      </c>
      <c r="AC87" s="10">
        <f>IF(A87="","",(COUNT(G87,H87,K87,L87,M87,N87,O87,Q87,R87)+(I87="Y")+(P87="Y")+(S87="Y"))/12)</f>
        <v/>
      </c>
      <c r="AD87">
        <f>IF(OR(A87="",COUNT(G87:X87)=0),"",TODAY()-MAX(G87,H87,K87,L87,M87,N87,O87,Q87,R87,W87,X87))</f>
        <v/>
      </c>
      <c r="AE87">
        <f>IF(A87="","",IF(AND(Z87&lt;&gt;"YES",AD87&lt;&gt;"",AD87&gt;THRESHOLDS!$B$12),"STUCK — act today",""))</f>
        <v/>
      </c>
      <c r="AF87">
        <f>IF(A87="","",IF(J87="Active (verified)","",IF(J87="","Ask GST status (readiness R2)","Escalate to founder: orders need verified GSTIN in current code — no tax advice")))</f>
        <v/>
      </c>
      <c r="AG87">
        <f>IF(AND(G87&lt;&gt;"",L87&lt;&gt;""),L87-G87,"")</f>
        <v/>
      </c>
      <c r="AH87">
        <f>IF(AND(L87&lt;&gt;"",N87&lt;&gt;""),N87-L87,"")</f>
        <v/>
      </c>
      <c r="AI87">
        <f>IF(AND(N87&lt;&gt;"",AA87&lt;&gt;""),AA87-N87,"")</f>
        <v/>
      </c>
      <c r="AJ87">
        <f>IF(AND(L87&lt;&gt;"",N87&lt;&gt;"",Q87&lt;&gt;""),"Qualifies (if FP-QUAL adopted)","")</f>
        <v/>
      </c>
    </row>
    <row r="88">
      <c r="G88" s="9" t="n"/>
      <c r="H88" s="9" t="n"/>
      <c r="K88" s="9" t="n"/>
      <c r="L88" s="9" t="n"/>
      <c r="M88" s="9" t="n"/>
      <c r="N88" s="9" t="n"/>
      <c r="O88" s="9" t="n"/>
      <c r="Q88" s="9" t="n"/>
      <c r="R88" s="9" t="n"/>
      <c r="W88" s="9" t="n"/>
      <c r="X88" s="9" t="n"/>
      <c r="Z88">
        <f>IF(A88="","",IF(AND(N88&lt;&gt;"",O88&lt;&gt;"",Q88&lt;&gt;"",R88&lt;&gt;"",S88="Y"),"YES","no"))</f>
        <v/>
      </c>
      <c r="AA88" s="9">
        <f>IF(Z88="YES",MAX(N88,O88,Q88,R88),"")</f>
        <v/>
      </c>
      <c r="AB88">
        <f>IF(A88="","",IF(X88&lt;&gt;"","13 Repeat activity",IF(W88&lt;&gt;"","12 First enquiry/order/booking",IF(Z88="YES","11 ACTIVATED",IF(Q88&lt;&gt;"","10 First listing live",IF(O88&lt;&gt;"","9 Profile completed",IF(N88&lt;&gt;"","8 Approved",IF(M88&lt;&gt;"","7 KYC submitted",IF(L88&lt;&gt;"","6 Registration completed",IF(K88&lt;&gt;"","5b Registration started",IF(H88&lt;&gt;"","5a Information sent",IF(G88&lt;&gt;"","5 Interested","—"))))))))))))</f>
        <v/>
      </c>
      <c r="AC88" s="10">
        <f>IF(A88="","",(COUNT(G88,H88,K88,L88,M88,N88,O88,Q88,R88)+(I88="Y")+(P88="Y")+(S88="Y"))/12)</f>
        <v/>
      </c>
      <c r="AD88">
        <f>IF(OR(A88="",COUNT(G88:X88)=0),"",TODAY()-MAX(G88,H88,K88,L88,M88,N88,O88,Q88,R88,W88,X88))</f>
        <v/>
      </c>
      <c r="AE88">
        <f>IF(A88="","",IF(AND(Z88&lt;&gt;"YES",AD88&lt;&gt;"",AD88&gt;THRESHOLDS!$B$12),"STUCK — act today",""))</f>
        <v/>
      </c>
      <c r="AF88">
        <f>IF(A88="","",IF(J88="Active (verified)","",IF(J88="","Ask GST status (readiness R2)","Escalate to founder: orders need verified GSTIN in current code — no tax advice")))</f>
        <v/>
      </c>
      <c r="AG88">
        <f>IF(AND(G88&lt;&gt;"",L88&lt;&gt;""),L88-G88,"")</f>
        <v/>
      </c>
      <c r="AH88">
        <f>IF(AND(L88&lt;&gt;"",N88&lt;&gt;""),N88-L88,"")</f>
        <v/>
      </c>
      <c r="AI88">
        <f>IF(AND(N88&lt;&gt;"",AA88&lt;&gt;""),AA88-N88,"")</f>
        <v/>
      </c>
      <c r="AJ88">
        <f>IF(AND(L88&lt;&gt;"",N88&lt;&gt;"",Q88&lt;&gt;""),"Qualifies (if FP-QUAL adopted)","")</f>
        <v/>
      </c>
    </row>
    <row r="89">
      <c r="G89" s="9" t="n"/>
      <c r="H89" s="9" t="n"/>
      <c r="K89" s="9" t="n"/>
      <c r="L89" s="9" t="n"/>
      <c r="M89" s="9" t="n"/>
      <c r="N89" s="9" t="n"/>
      <c r="O89" s="9" t="n"/>
      <c r="Q89" s="9" t="n"/>
      <c r="R89" s="9" t="n"/>
      <c r="W89" s="9" t="n"/>
      <c r="X89" s="9" t="n"/>
      <c r="Z89">
        <f>IF(A89="","",IF(AND(N89&lt;&gt;"",O89&lt;&gt;"",Q89&lt;&gt;"",R89&lt;&gt;"",S89="Y"),"YES","no"))</f>
        <v/>
      </c>
      <c r="AA89" s="9">
        <f>IF(Z89="YES",MAX(N89,O89,Q89,R89),"")</f>
        <v/>
      </c>
      <c r="AB89">
        <f>IF(A89="","",IF(X89&lt;&gt;"","13 Repeat activity",IF(W89&lt;&gt;"","12 First enquiry/order/booking",IF(Z89="YES","11 ACTIVATED",IF(Q89&lt;&gt;"","10 First listing live",IF(O89&lt;&gt;"","9 Profile completed",IF(N89&lt;&gt;"","8 Approved",IF(M89&lt;&gt;"","7 KYC submitted",IF(L89&lt;&gt;"","6 Registration completed",IF(K89&lt;&gt;"","5b Registration started",IF(H89&lt;&gt;"","5a Information sent",IF(G89&lt;&gt;"","5 Interested","—"))))))))))))</f>
        <v/>
      </c>
      <c r="AC89" s="10">
        <f>IF(A89="","",(COUNT(G89,H89,K89,L89,M89,N89,O89,Q89,R89)+(I89="Y")+(P89="Y")+(S89="Y"))/12)</f>
        <v/>
      </c>
      <c r="AD89">
        <f>IF(OR(A89="",COUNT(G89:X89)=0),"",TODAY()-MAX(G89,H89,K89,L89,M89,N89,O89,Q89,R89,W89,X89))</f>
        <v/>
      </c>
      <c r="AE89">
        <f>IF(A89="","",IF(AND(Z89&lt;&gt;"YES",AD89&lt;&gt;"",AD89&gt;THRESHOLDS!$B$12),"STUCK — act today",""))</f>
        <v/>
      </c>
      <c r="AF89">
        <f>IF(A89="","",IF(J89="Active (verified)","",IF(J89="","Ask GST status (readiness R2)","Escalate to founder: orders need verified GSTIN in current code — no tax advice")))</f>
        <v/>
      </c>
      <c r="AG89">
        <f>IF(AND(G89&lt;&gt;"",L89&lt;&gt;""),L89-G89,"")</f>
        <v/>
      </c>
      <c r="AH89">
        <f>IF(AND(L89&lt;&gt;"",N89&lt;&gt;""),N89-L89,"")</f>
        <v/>
      </c>
      <c r="AI89">
        <f>IF(AND(N89&lt;&gt;"",AA89&lt;&gt;""),AA89-N89,"")</f>
        <v/>
      </c>
      <c r="AJ89">
        <f>IF(AND(L89&lt;&gt;"",N89&lt;&gt;"",Q89&lt;&gt;""),"Qualifies (if FP-QUAL adopted)","")</f>
        <v/>
      </c>
    </row>
    <row r="90">
      <c r="G90" s="9" t="n"/>
      <c r="H90" s="9" t="n"/>
      <c r="K90" s="9" t="n"/>
      <c r="L90" s="9" t="n"/>
      <c r="M90" s="9" t="n"/>
      <c r="N90" s="9" t="n"/>
      <c r="O90" s="9" t="n"/>
      <c r="Q90" s="9" t="n"/>
      <c r="R90" s="9" t="n"/>
      <c r="W90" s="9" t="n"/>
      <c r="X90" s="9" t="n"/>
      <c r="Z90">
        <f>IF(A90="","",IF(AND(N90&lt;&gt;"",O90&lt;&gt;"",Q90&lt;&gt;"",R90&lt;&gt;"",S90="Y"),"YES","no"))</f>
        <v/>
      </c>
      <c r="AA90" s="9">
        <f>IF(Z90="YES",MAX(N90,O90,Q90,R90),"")</f>
        <v/>
      </c>
      <c r="AB90">
        <f>IF(A90="","",IF(X90&lt;&gt;"","13 Repeat activity",IF(W90&lt;&gt;"","12 First enquiry/order/booking",IF(Z90="YES","11 ACTIVATED",IF(Q90&lt;&gt;"","10 First listing live",IF(O90&lt;&gt;"","9 Profile completed",IF(N90&lt;&gt;"","8 Approved",IF(M90&lt;&gt;"","7 KYC submitted",IF(L90&lt;&gt;"","6 Registration completed",IF(K90&lt;&gt;"","5b Registration started",IF(H90&lt;&gt;"","5a Information sent",IF(G90&lt;&gt;"","5 Interested","—"))))))))))))</f>
        <v/>
      </c>
      <c r="AC90" s="10">
        <f>IF(A90="","",(COUNT(G90,H90,K90,L90,M90,N90,O90,Q90,R90)+(I90="Y")+(P90="Y")+(S90="Y"))/12)</f>
        <v/>
      </c>
      <c r="AD90">
        <f>IF(OR(A90="",COUNT(G90:X90)=0),"",TODAY()-MAX(G90,H90,K90,L90,M90,N90,O90,Q90,R90,W90,X90))</f>
        <v/>
      </c>
      <c r="AE90">
        <f>IF(A90="","",IF(AND(Z90&lt;&gt;"YES",AD90&lt;&gt;"",AD90&gt;THRESHOLDS!$B$12),"STUCK — act today",""))</f>
        <v/>
      </c>
      <c r="AF90">
        <f>IF(A90="","",IF(J90="Active (verified)","",IF(J90="","Ask GST status (readiness R2)","Escalate to founder: orders need verified GSTIN in current code — no tax advice")))</f>
        <v/>
      </c>
      <c r="AG90">
        <f>IF(AND(G90&lt;&gt;"",L90&lt;&gt;""),L90-G90,"")</f>
        <v/>
      </c>
      <c r="AH90">
        <f>IF(AND(L90&lt;&gt;"",N90&lt;&gt;""),N90-L90,"")</f>
        <v/>
      </c>
      <c r="AI90">
        <f>IF(AND(N90&lt;&gt;"",AA90&lt;&gt;""),AA90-N90,"")</f>
        <v/>
      </c>
      <c r="AJ90">
        <f>IF(AND(L90&lt;&gt;"",N90&lt;&gt;"",Q90&lt;&gt;""),"Qualifies (if FP-QUAL adopted)","")</f>
        <v/>
      </c>
    </row>
    <row r="91">
      <c r="G91" s="9" t="n"/>
      <c r="H91" s="9" t="n"/>
      <c r="K91" s="9" t="n"/>
      <c r="L91" s="9" t="n"/>
      <c r="M91" s="9" t="n"/>
      <c r="N91" s="9" t="n"/>
      <c r="O91" s="9" t="n"/>
      <c r="Q91" s="9" t="n"/>
      <c r="R91" s="9" t="n"/>
      <c r="W91" s="9" t="n"/>
      <c r="X91" s="9" t="n"/>
      <c r="Z91">
        <f>IF(A91="","",IF(AND(N91&lt;&gt;"",O91&lt;&gt;"",Q91&lt;&gt;"",R91&lt;&gt;"",S91="Y"),"YES","no"))</f>
        <v/>
      </c>
      <c r="AA91" s="9">
        <f>IF(Z91="YES",MAX(N91,O91,Q91,R91),"")</f>
        <v/>
      </c>
      <c r="AB91">
        <f>IF(A91="","",IF(X91&lt;&gt;"","13 Repeat activity",IF(W91&lt;&gt;"","12 First enquiry/order/booking",IF(Z91="YES","11 ACTIVATED",IF(Q91&lt;&gt;"","10 First listing live",IF(O91&lt;&gt;"","9 Profile completed",IF(N91&lt;&gt;"","8 Approved",IF(M91&lt;&gt;"","7 KYC submitted",IF(L91&lt;&gt;"","6 Registration completed",IF(K91&lt;&gt;"","5b Registration started",IF(H91&lt;&gt;"","5a Information sent",IF(G91&lt;&gt;"","5 Interested","—"))))))))))))</f>
        <v/>
      </c>
      <c r="AC91" s="10">
        <f>IF(A91="","",(COUNT(G91,H91,K91,L91,M91,N91,O91,Q91,R91)+(I91="Y")+(P91="Y")+(S91="Y"))/12)</f>
        <v/>
      </c>
      <c r="AD91">
        <f>IF(OR(A91="",COUNT(G91:X91)=0),"",TODAY()-MAX(G91,H91,K91,L91,M91,N91,O91,Q91,R91,W91,X91))</f>
        <v/>
      </c>
      <c r="AE91">
        <f>IF(A91="","",IF(AND(Z91&lt;&gt;"YES",AD91&lt;&gt;"",AD91&gt;THRESHOLDS!$B$12),"STUCK — act today",""))</f>
        <v/>
      </c>
      <c r="AF91">
        <f>IF(A91="","",IF(J91="Active (verified)","",IF(J91="","Ask GST status (readiness R2)","Escalate to founder: orders need verified GSTIN in current code — no tax advice")))</f>
        <v/>
      </c>
      <c r="AG91">
        <f>IF(AND(G91&lt;&gt;"",L91&lt;&gt;""),L91-G91,"")</f>
        <v/>
      </c>
      <c r="AH91">
        <f>IF(AND(L91&lt;&gt;"",N91&lt;&gt;""),N91-L91,"")</f>
        <v/>
      </c>
      <c r="AI91">
        <f>IF(AND(N91&lt;&gt;"",AA91&lt;&gt;""),AA91-N91,"")</f>
        <v/>
      </c>
      <c r="AJ91">
        <f>IF(AND(L91&lt;&gt;"",N91&lt;&gt;"",Q91&lt;&gt;""),"Qualifies (if FP-QUAL adopted)","")</f>
        <v/>
      </c>
    </row>
    <row r="92">
      <c r="G92" s="9" t="n"/>
      <c r="H92" s="9" t="n"/>
      <c r="K92" s="9" t="n"/>
      <c r="L92" s="9" t="n"/>
      <c r="M92" s="9" t="n"/>
      <c r="N92" s="9" t="n"/>
      <c r="O92" s="9" t="n"/>
      <c r="Q92" s="9" t="n"/>
      <c r="R92" s="9" t="n"/>
      <c r="W92" s="9" t="n"/>
      <c r="X92" s="9" t="n"/>
      <c r="Z92">
        <f>IF(A92="","",IF(AND(N92&lt;&gt;"",O92&lt;&gt;"",Q92&lt;&gt;"",R92&lt;&gt;"",S92="Y"),"YES","no"))</f>
        <v/>
      </c>
      <c r="AA92" s="9">
        <f>IF(Z92="YES",MAX(N92,O92,Q92,R92),"")</f>
        <v/>
      </c>
      <c r="AB92">
        <f>IF(A92="","",IF(X92&lt;&gt;"","13 Repeat activity",IF(W92&lt;&gt;"","12 First enquiry/order/booking",IF(Z92="YES","11 ACTIVATED",IF(Q92&lt;&gt;"","10 First listing live",IF(O92&lt;&gt;"","9 Profile completed",IF(N92&lt;&gt;"","8 Approved",IF(M92&lt;&gt;"","7 KYC submitted",IF(L92&lt;&gt;"","6 Registration completed",IF(K92&lt;&gt;"","5b Registration started",IF(H92&lt;&gt;"","5a Information sent",IF(G92&lt;&gt;"","5 Interested","—"))))))))))))</f>
        <v/>
      </c>
      <c r="AC92" s="10">
        <f>IF(A92="","",(COUNT(G92,H92,K92,L92,M92,N92,O92,Q92,R92)+(I92="Y")+(P92="Y")+(S92="Y"))/12)</f>
        <v/>
      </c>
      <c r="AD92">
        <f>IF(OR(A92="",COUNT(G92:X92)=0),"",TODAY()-MAX(G92,H92,K92,L92,M92,N92,O92,Q92,R92,W92,X92))</f>
        <v/>
      </c>
      <c r="AE92">
        <f>IF(A92="","",IF(AND(Z92&lt;&gt;"YES",AD92&lt;&gt;"",AD92&gt;THRESHOLDS!$B$12),"STUCK — act today",""))</f>
        <v/>
      </c>
      <c r="AF92">
        <f>IF(A92="","",IF(J92="Active (verified)","",IF(J92="","Ask GST status (readiness R2)","Escalate to founder: orders need verified GSTIN in current code — no tax advice")))</f>
        <v/>
      </c>
      <c r="AG92">
        <f>IF(AND(G92&lt;&gt;"",L92&lt;&gt;""),L92-G92,"")</f>
        <v/>
      </c>
      <c r="AH92">
        <f>IF(AND(L92&lt;&gt;"",N92&lt;&gt;""),N92-L92,"")</f>
        <v/>
      </c>
      <c r="AI92">
        <f>IF(AND(N92&lt;&gt;"",AA92&lt;&gt;""),AA92-N92,"")</f>
        <v/>
      </c>
      <c r="AJ92">
        <f>IF(AND(L92&lt;&gt;"",N92&lt;&gt;"",Q92&lt;&gt;""),"Qualifies (if FP-QUAL adopted)","")</f>
        <v/>
      </c>
    </row>
    <row r="93">
      <c r="G93" s="9" t="n"/>
      <c r="H93" s="9" t="n"/>
      <c r="K93" s="9" t="n"/>
      <c r="L93" s="9" t="n"/>
      <c r="M93" s="9" t="n"/>
      <c r="N93" s="9" t="n"/>
      <c r="O93" s="9" t="n"/>
      <c r="Q93" s="9" t="n"/>
      <c r="R93" s="9" t="n"/>
      <c r="W93" s="9" t="n"/>
      <c r="X93" s="9" t="n"/>
      <c r="Z93">
        <f>IF(A93="","",IF(AND(N93&lt;&gt;"",O93&lt;&gt;"",Q93&lt;&gt;"",R93&lt;&gt;"",S93="Y"),"YES","no"))</f>
        <v/>
      </c>
      <c r="AA93" s="9">
        <f>IF(Z93="YES",MAX(N93,O93,Q93,R93),"")</f>
        <v/>
      </c>
      <c r="AB93">
        <f>IF(A93="","",IF(X93&lt;&gt;"","13 Repeat activity",IF(W93&lt;&gt;"","12 First enquiry/order/booking",IF(Z93="YES","11 ACTIVATED",IF(Q93&lt;&gt;"","10 First listing live",IF(O93&lt;&gt;"","9 Profile completed",IF(N93&lt;&gt;"","8 Approved",IF(M93&lt;&gt;"","7 KYC submitted",IF(L93&lt;&gt;"","6 Registration completed",IF(K93&lt;&gt;"","5b Registration started",IF(H93&lt;&gt;"","5a Information sent",IF(G93&lt;&gt;"","5 Interested","—"))))))))))))</f>
        <v/>
      </c>
      <c r="AC93" s="10">
        <f>IF(A93="","",(COUNT(G93,H93,K93,L93,M93,N93,O93,Q93,R93)+(I93="Y")+(P93="Y")+(S93="Y"))/12)</f>
        <v/>
      </c>
      <c r="AD93">
        <f>IF(OR(A93="",COUNT(G93:X93)=0),"",TODAY()-MAX(G93,H93,K93,L93,M93,N93,O93,Q93,R93,W93,X93))</f>
        <v/>
      </c>
      <c r="AE93">
        <f>IF(A93="","",IF(AND(Z93&lt;&gt;"YES",AD93&lt;&gt;"",AD93&gt;THRESHOLDS!$B$12),"STUCK — act today",""))</f>
        <v/>
      </c>
      <c r="AF93">
        <f>IF(A93="","",IF(J93="Active (verified)","",IF(J93="","Ask GST status (readiness R2)","Escalate to founder: orders need verified GSTIN in current code — no tax advice")))</f>
        <v/>
      </c>
      <c r="AG93">
        <f>IF(AND(G93&lt;&gt;"",L93&lt;&gt;""),L93-G93,"")</f>
        <v/>
      </c>
      <c r="AH93">
        <f>IF(AND(L93&lt;&gt;"",N93&lt;&gt;""),N93-L93,"")</f>
        <v/>
      </c>
      <c r="AI93">
        <f>IF(AND(N93&lt;&gt;"",AA93&lt;&gt;""),AA93-N93,"")</f>
        <v/>
      </c>
      <c r="AJ93">
        <f>IF(AND(L93&lt;&gt;"",N93&lt;&gt;"",Q93&lt;&gt;""),"Qualifies (if FP-QUAL adopted)","")</f>
        <v/>
      </c>
    </row>
    <row r="94">
      <c r="G94" s="9" t="n"/>
      <c r="H94" s="9" t="n"/>
      <c r="K94" s="9" t="n"/>
      <c r="L94" s="9" t="n"/>
      <c r="M94" s="9" t="n"/>
      <c r="N94" s="9" t="n"/>
      <c r="O94" s="9" t="n"/>
      <c r="Q94" s="9" t="n"/>
      <c r="R94" s="9" t="n"/>
      <c r="W94" s="9" t="n"/>
      <c r="X94" s="9" t="n"/>
      <c r="Z94">
        <f>IF(A94="","",IF(AND(N94&lt;&gt;"",O94&lt;&gt;"",Q94&lt;&gt;"",R94&lt;&gt;"",S94="Y"),"YES","no"))</f>
        <v/>
      </c>
      <c r="AA94" s="9">
        <f>IF(Z94="YES",MAX(N94,O94,Q94,R94),"")</f>
        <v/>
      </c>
      <c r="AB94">
        <f>IF(A94="","",IF(X94&lt;&gt;"","13 Repeat activity",IF(W94&lt;&gt;"","12 First enquiry/order/booking",IF(Z94="YES","11 ACTIVATED",IF(Q94&lt;&gt;"","10 First listing live",IF(O94&lt;&gt;"","9 Profile completed",IF(N94&lt;&gt;"","8 Approved",IF(M94&lt;&gt;"","7 KYC submitted",IF(L94&lt;&gt;"","6 Registration completed",IF(K94&lt;&gt;"","5b Registration started",IF(H94&lt;&gt;"","5a Information sent",IF(G94&lt;&gt;"","5 Interested","—"))))))))))))</f>
        <v/>
      </c>
      <c r="AC94" s="10">
        <f>IF(A94="","",(COUNT(G94,H94,K94,L94,M94,N94,O94,Q94,R94)+(I94="Y")+(P94="Y")+(S94="Y"))/12)</f>
        <v/>
      </c>
      <c r="AD94">
        <f>IF(OR(A94="",COUNT(G94:X94)=0),"",TODAY()-MAX(G94,H94,K94,L94,M94,N94,O94,Q94,R94,W94,X94))</f>
        <v/>
      </c>
      <c r="AE94">
        <f>IF(A94="","",IF(AND(Z94&lt;&gt;"YES",AD94&lt;&gt;"",AD94&gt;THRESHOLDS!$B$12),"STUCK — act today",""))</f>
        <v/>
      </c>
      <c r="AF94">
        <f>IF(A94="","",IF(J94="Active (verified)","",IF(J94="","Ask GST status (readiness R2)","Escalate to founder: orders need verified GSTIN in current code — no tax advice")))</f>
        <v/>
      </c>
      <c r="AG94">
        <f>IF(AND(G94&lt;&gt;"",L94&lt;&gt;""),L94-G94,"")</f>
        <v/>
      </c>
      <c r="AH94">
        <f>IF(AND(L94&lt;&gt;"",N94&lt;&gt;""),N94-L94,"")</f>
        <v/>
      </c>
      <c r="AI94">
        <f>IF(AND(N94&lt;&gt;"",AA94&lt;&gt;""),AA94-N94,"")</f>
        <v/>
      </c>
      <c r="AJ94">
        <f>IF(AND(L94&lt;&gt;"",N94&lt;&gt;"",Q94&lt;&gt;""),"Qualifies (if FP-QUAL adopted)","")</f>
        <v/>
      </c>
    </row>
    <row r="95">
      <c r="G95" s="9" t="n"/>
      <c r="H95" s="9" t="n"/>
      <c r="K95" s="9" t="n"/>
      <c r="L95" s="9" t="n"/>
      <c r="M95" s="9" t="n"/>
      <c r="N95" s="9" t="n"/>
      <c r="O95" s="9" t="n"/>
      <c r="Q95" s="9" t="n"/>
      <c r="R95" s="9" t="n"/>
      <c r="W95" s="9" t="n"/>
      <c r="X95" s="9" t="n"/>
      <c r="Z95">
        <f>IF(A95="","",IF(AND(N95&lt;&gt;"",O95&lt;&gt;"",Q95&lt;&gt;"",R95&lt;&gt;"",S95="Y"),"YES","no"))</f>
        <v/>
      </c>
      <c r="AA95" s="9">
        <f>IF(Z95="YES",MAX(N95,O95,Q95,R95),"")</f>
        <v/>
      </c>
      <c r="AB95">
        <f>IF(A95="","",IF(X95&lt;&gt;"","13 Repeat activity",IF(W95&lt;&gt;"","12 First enquiry/order/booking",IF(Z95="YES","11 ACTIVATED",IF(Q95&lt;&gt;"","10 First listing live",IF(O95&lt;&gt;"","9 Profile completed",IF(N95&lt;&gt;"","8 Approved",IF(M95&lt;&gt;"","7 KYC submitted",IF(L95&lt;&gt;"","6 Registration completed",IF(K95&lt;&gt;"","5b Registration started",IF(H95&lt;&gt;"","5a Information sent",IF(G95&lt;&gt;"","5 Interested","—"))))))))))))</f>
        <v/>
      </c>
      <c r="AC95" s="10">
        <f>IF(A95="","",(COUNT(G95,H95,K95,L95,M95,N95,O95,Q95,R95)+(I95="Y")+(P95="Y")+(S95="Y"))/12)</f>
        <v/>
      </c>
      <c r="AD95">
        <f>IF(OR(A95="",COUNT(G95:X95)=0),"",TODAY()-MAX(G95,H95,K95,L95,M95,N95,O95,Q95,R95,W95,X95))</f>
        <v/>
      </c>
      <c r="AE95">
        <f>IF(A95="","",IF(AND(Z95&lt;&gt;"YES",AD95&lt;&gt;"",AD95&gt;THRESHOLDS!$B$12),"STUCK — act today",""))</f>
        <v/>
      </c>
      <c r="AF95">
        <f>IF(A95="","",IF(J95="Active (verified)","",IF(J95="","Ask GST status (readiness R2)","Escalate to founder: orders need verified GSTIN in current code — no tax advice")))</f>
        <v/>
      </c>
      <c r="AG95">
        <f>IF(AND(G95&lt;&gt;"",L95&lt;&gt;""),L95-G95,"")</f>
        <v/>
      </c>
      <c r="AH95">
        <f>IF(AND(L95&lt;&gt;"",N95&lt;&gt;""),N95-L95,"")</f>
        <v/>
      </c>
      <c r="AI95">
        <f>IF(AND(N95&lt;&gt;"",AA95&lt;&gt;""),AA95-N95,"")</f>
        <v/>
      </c>
      <c r="AJ95">
        <f>IF(AND(L95&lt;&gt;"",N95&lt;&gt;"",Q95&lt;&gt;""),"Qualifies (if FP-QUAL adopted)","")</f>
        <v/>
      </c>
    </row>
    <row r="96">
      <c r="G96" s="9" t="n"/>
      <c r="H96" s="9" t="n"/>
      <c r="K96" s="9" t="n"/>
      <c r="L96" s="9" t="n"/>
      <c r="M96" s="9" t="n"/>
      <c r="N96" s="9" t="n"/>
      <c r="O96" s="9" t="n"/>
      <c r="Q96" s="9" t="n"/>
      <c r="R96" s="9" t="n"/>
      <c r="W96" s="9" t="n"/>
      <c r="X96" s="9" t="n"/>
      <c r="Z96">
        <f>IF(A96="","",IF(AND(N96&lt;&gt;"",O96&lt;&gt;"",Q96&lt;&gt;"",R96&lt;&gt;"",S96="Y"),"YES","no"))</f>
        <v/>
      </c>
      <c r="AA96" s="9">
        <f>IF(Z96="YES",MAX(N96,O96,Q96,R96),"")</f>
        <v/>
      </c>
      <c r="AB96">
        <f>IF(A96="","",IF(X96&lt;&gt;"","13 Repeat activity",IF(W96&lt;&gt;"","12 First enquiry/order/booking",IF(Z96="YES","11 ACTIVATED",IF(Q96&lt;&gt;"","10 First listing live",IF(O96&lt;&gt;"","9 Profile completed",IF(N96&lt;&gt;"","8 Approved",IF(M96&lt;&gt;"","7 KYC submitted",IF(L96&lt;&gt;"","6 Registration completed",IF(K96&lt;&gt;"","5b Registration started",IF(H96&lt;&gt;"","5a Information sent",IF(G96&lt;&gt;"","5 Interested","—"))))))))))))</f>
        <v/>
      </c>
      <c r="AC96" s="10">
        <f>IF(A96="","",(COUNT(G96,H96,K96,L96,M96,N96,O96,Q96,R96)+(I96="Y")+(P96="Y")+(S96="Y"))/12)</f>
        <v/>
      </c>
      <c r="AD96">
        <f>IF(OR(A96="",COUNT(G96:X96)=0),"",TODAY()-MAX(G96,H96,K96,L96,M96,N96,O96,Q96,R96,W96,X96))</f>
        <v/>
      </c>
      <c r="AE96">
        <f>IF(A96="","",IF(AND(Z96&lt;&gt;"YES",AD96&lt;&gt;"",AD96&gt;THRESHOLDS!$B$12),"STUCK — act today",""))</f>
        <v/>
      </c>
      <c r="AF96">
        <f>IF(A96="","",IF(J96="Active (verified)","",IF(J96="","Ask GST status (readiness R2)","Escalate to founder: orders need verified GSTIN in current code — no tax advice")))</f>
        <v/>
      </c>
      <c r="AG96">
        <f>IF(AND(G96&lt;&gt;"",L96&lt;&gt;""),L96-G96,"")</f>
        <v/>
      </c>
      <c r="AH96">
        <f>IF(AND(L96&lt;&gt;"",N96&lt;&gt;""),N96-L96,"")</f>
        <v/>
      </c>
      <c r="AI96">
        <f>IF(AND(N96&lt;&gt;"",AA96&lt;&gt;""),AA96-N96,"")</f>
        <v/>
      </c>
      <c r="AJ96">
        <f>IF(AND(L96&lt;&gt;"",N96&lt;&gt;"",Q96&lt;&gt;""),"Qualifies (if FP-QUAL adopted)","")</f>
        <v/>
      </c>
    </row>
    <row r="97">
      <c r="G97" s="9" t="n"/>
      <c r="H97" s="9" t="n"/>
      <c r="K97" s="9" t="n"/>
      <c r="L97" s="9" t="n"/>
      <c r="M97" s="9" t="n"/>
      <c r="N97" s="9" t="n"/>
      <c r="O97" s="9" t="n"/>
      <c r="Q97" s="9" t="n"/>
      <c r="R97" s="9" t="n"/>
      <c r="W97" s="9" t="n"/>
      <c r="X97" s="9" t="n"/>
      <c r="Z97">
        <f>IF(A97="","",IF(AND(N97&lt;&gt;"",O97&lt;&gt;"",Q97&lt;&gt;"",R97&lt;&gt;"",S97="Y"),"YES","no"))</f>
        <v/>
      </c>
      <c r="AA97" s="9">
        <f>IF(Z97="YES",MAX(N97,O97,Q97,R97),"")</f>
        <v/>
      </c>
      <c r="AB97">
        <f>IF(A97="","",IF(X97&lt;&gt;"","13 Repeat activity",IF(W97&lt;&gt;"","12 First enquiry/order/booking",IF(Z97="YES","11 ACTIVATED",IF(Q97&lt;&gt;"","10 First listing live",IF(O97&lt;&gt;"","9 Profile completed",IF(N97&lt;&gt;"","8 Approved",IF(M97&lt;&gt;"","7 KYC submitted",IF(L97&lt;&gt;"","6 Registration completed",IF(K97&lt;&gt;"","5b Registration started",IF(H97&lt;&gt;"","5a Information sent",IF(G97&lt;&gt;"","5 Interested","—"))))))))))))</f>
        <v/>
      </c>
      <c r="AC97" s="10">
        <f>IF(A97="","",(COUNT(G97,H97,K97,L97,M97,N97,O97,Q97,R97)+(I97="Y")+(P97="Y")+(S97="Y"))/12)</f>
        <v/>
      </c>
      <c r="AD97">
        <f>IF(OR(A97="",COUNT(G97:X97)=0),"",TODAY()-MAX(G97,H97,K97,L97,M97,N97,O97,Q97,R97,W97,X97))</f>
        <v/>
      </c>
      <c r="AE97">
        <f>IF(A97="","",IF(AND(Z97&lt;&gt;"YES",AD97&lt;&gt;"",AD97&gt;THRESHOLDS!$B$12),"STUCK — act today",""))</f>
        <v/>
      </c>
      <c r="AF97">
        <f>IF(A97="","",IF(J97="Active (verified)","",IF(J97="","Ask GST status (readiness R2)","Escalate to founder: orders need verified GSTIN in current code — no tax advice")))</f>
        <v/>
      </c>
      <c r="AG97">
        <f>IF(AND(G97&lt;&gt;"",L97&lt;&gt;""),L97-G97,"")</f>
        <v/>
      </c>
      <c r="AH97">
        <f>IF(AND(L97&lt;&gt;"",N97&lt;&gt;""),N97-L97,"")</f>
        <v/>
      </c>
      <c r="AI97">
        <f>IF(AND(N97&lt;&gt;"",AA97&lt;&gt;""),AA97-N97,"")</f>
        <v/>
      </c>
      <c r="AJ97">
        <f>IF(AND(L97&lt;&gt;"",N97&lt;&gt;"",Q97&lt;&gt;""),"Qualifies (if FP-QUAL adopted)","")</f>
        <v/>
      </c>
    </row>
    <row r="98">
      <c r="G98" s="9" t="n"/>
      <c r="H98" s="9" t="n"/>
      <c r="K98" s="9" t="n"/>
      <c r="L98" s="9" t="n"/>
      <c r="M98" s="9" t="n"/>
      <c r="N98" s="9" t="n"/>
      <c r="O98" s="9" t="n"/>
      <c r="Q98" s="9" t="n"/>
      <c r="R98" s="9" t="n"/>
      <c r="W98" s="9" t="n"/>
      <c r="X98" s="9" t="n"/>
      <c r="Z98">
        <f>IF(A98="","",IF(AND(N98&lt;&gt;"",O98&lt;&gt;"",Q98&lt;&gt;"",R98&lt;&gt;"",S98="Y"),"YES","no"))</f>
        <v/>
      </c>
      <c r="AA98" s="9">
        <f>IF(Z98="YES",MAX(N98,O98,Q98,R98),"")</f>
        <v/>
      </c>
      <c r="AB98">
        <f>IF(A98="","",IF(X98&lt;&gt;"","13 Repeat activity",IF(W98&lt;&gt;"","12 First enquiry/order/booking",IF(Z98="YES","11 ACTIVATED",IF(Q98&lt;&gt;"","10 First listing live",IF(O98&lt;&gt;"","9 Profile completed",IF(N98&lt;&gt;"","8 Approved",IF(M98&lt;&gt;"","7 KYC submitted",IF(L98&lt;&gt;"","6 Registration completed",IF(K98&lt;&gt;"","5b Registration started",IF(H98&lt;&gt;"","5a Information sent",IF(G98&lt;&gt;"","5 Interested","—"))))))))))))</f>
        <v/>
      </c>
      <c r="AC98" s="10">
        <f>IF(A98="","",(COUNT(G98,H98,K98,L98,M98,N98,O98,Q98,R98)+(I98="Y")+(P98="Y")+(S98="Y"))/12)</f>
        <v/>
      </c>
      <c r="AD98">
        <f>IF(OR(A98="",COUNT(G98:X98)=0),"",TODAY()-MAX(G98,H98,K98,L98,M98,N98,O98,Q98,R98,W98,X98))</f>
        <v/>
      </c>
      <c r="AE98">
        <f>IF(A98="","",IF(AND(Z98&lt;&gt;"YES",AD98&lt;&gt;"",AD98&gt;THRESHOLDS!$B$12),"STUCK — act today",""))</f>
        <v/>
      </c>
      <c r="AF98">
        <f>IF(A98="","",IF(J98="Active (verified)","",IF(J98="","Ask GST status (readiness R2)","Escalate to founder: orders need verified GSTIN in current code — no tax advice")))</f>
        <v/>
      </c>
      <c r="AG98">
        <f>IF(AND(G98&lt;&gt;"",L98&lt;&gt;""),L98-G98,"")</f>
        <v/>
      </c>
      <c r="AH98">
        <f>IF(AND(L98&lt;&gt;"",N98&lt;&gt;""),N98-L98,"")</f>
        <v/>
      </c>
      <c r="AI98">
        <f>IF(AND(N98&lt;&gt;"",AA98&lt;&gt;""),AA98-N98,"")</f>
        <v/>
      </c>
      <c r="AJ98">
        <f>IF(AND(L98&lt;&gt;"",N98&lt;&gt;"",Q98&lt;&gt;""),"Qualifies (if FP-QUAL adopted)","")</f>
        <v/>
      </c>
    </row>
    <row r="99">
      <c r="G99" s="9" t="n"/>
      <c r="H99" s="9" t="n"/>
      <c r="K99" s="9" t="n"/>
      <c r="L99" s="9" t="n"/>
      <c r="M99" s="9" t="n"/>
      <c r="N99" s="9" t="n"/>
      <c r="O99" s="9" t="n"/>
      <c r="Q99" s="9" t="n"/>
      <c r="R99" s="9" t="n"/>
      <c r="W99" s="9" t="n"/>
      <c r="X99" s="9" t="n"/>
      <c r="Z99">
        <f>IF(A99="","",IF(AND(N99&lt;&gt;"",O99&lt;&gt;"",Q99&lt;&gt;"",R99&lt;&gt;"",S99="Y"),"YES","no"))</f>
        <v/>
      </c>
      <c r="AA99" s="9">
        <f>IF(Z99="YES",MAX(N99,O99,Q99,R99),"")</f>
        <v/>
      </c>
      <c r="AB99">
        <f>IF(A99="","",IF(X99&lt;&gt;"","13 Repeat activity",IF(W99&lt;&gt;"","12 First enquiry/order/booking",IF(Z99="YES","11 ACTIVATED",IF(Q99&lt;&gt;"","10 First listing live",IF(O99&lt;&gt;"","9 Profile completed",IF(N99&lt;&gt;"","8 Approved",IF(M99&lt;&gt;"","7 KYC submitted",IF(L99&lt;&gt;"","6 Registration completed",IF(K99&lt;&gt;"","5b Registration started",IF(H99&lt;&gt;"","5a Information sent",IF(G99&lt;&gt;"","5 Interested","—"))))))))))))</f>
        <v/>
      </c>
      <c r="AC99" s="10">
        <f>IF(A99="","",(COUNT(G99,H99,K99,L99,M99,N99,O99,Q99,R99)+(I99="Y")+(P99="Y")+(S99="Y"))/12)</f>
        <v/>
      </c>
      <c r="AD99">
        <f>IF(OR(A99="",COUNT(G99:X99)=0),"",TODAY()-MAX(G99,H99,K99,L99,M99,N99,O99,Q99,R99,W99,X99))</f>
        <v/>
      </c>
      <c r="AE99">
        <f>IF(A99="","",IF(AND(Z99&lt;&gt;"YES",AD99&lt;&gt;"",AD99&gt;THRESHOLDS!$B$12),"STUCK — act today",""))</f>
        <v/>
      </c>
      <c r="AF99">
        <f>IF(A99="","",IF(J99="Active (verified)","",IF(J99="","Ask GST status (readiness R2)","Escalate to founder: orders need verified GSTIN in current code — no tax advice")))</f>
        <v/>
      </c>
      <c r="AG99">
        <f>IF(AND(G99&lt;&gt;"",L99&lt;&gt;""),L99-G99,"")</f>
        <v/>
      </c>
      <c r="AH99">
        <f>IF(AND(L99&lt;&gt;"",N99&lt;&gt;""),N99-L99,"")</f>
        <v/>
      </c>
      <c r="AI99">
        <f>IF(AND(N99&lt;&gt;"",AA99&lt;&gt;""),AA99-N99,"")</f>
        <v/>
      </c>
      <c r="AJ99">
        <f>IF(AND(L99&lt;&gt;"",N99&lt;&gt;"",Q99&lt;&gt;""),"Qualifies (if FP-QUAL adopted)","")</f>
        <v/>
      </c>
    </row>
    <row r="100">
      <c r="G100" s="9" t="n"/>
      <c r="H100" s="9" t="n"/>
      <c r="K100" s="9" t="n"/>
      <c r="L100" s="9" t="n"/>
      <c r="M100" s="9" t="n"/>
      <c r="N100" s="9" t="n"/>
      <c r="O100" s="9" t="n"/>
      <c r="Q100" s="9" t="n"/>
      <c r="R100" s="9" t="n"/>
      <c r="W100" s="9" t="n"/>
      <c r="X100" s="9" t="n"/>
      <c r="Z100">
        <f>IF(A100="","",IF(AND(N100&lt;&gt;"",O100&lt;&gt;"",Q100&lt;&gt;"",R100&lt;&gt;"",S100="Y"),"YES","no"))</f>
        <v/>
      </c>
      <c r="AA100" s="9">
        <f>IF(Z100="YES",MAX(N100,O100,Q100,R100),"")</f>
        <v/>
      </c>
      <c r="AB100">
        <f>IF(A100="","",IF(X100&lt;&gt;"","13 Repeat activity",IF(W100&lt;&gt;"","12 First enquiry/order/booking",IF(Z100="YES","11 ACTIVATED",IF(Q100&lt;&gt;"","10 First listing live",IF(O100&lt;&gt;"","9 Profile completed",IF(N100&lt;&gt;"","8 Approved",IF(M100&lt;&gt;"","7 KYC submitted",IF(L100&lt;&gt;"","6 Registration completed",IF(K100&lt;&gt;"","5b Registration started",IF(H100&lt;&gt;"","5a Information sent",IF(G100&lt;&gt;"","5 Interested","—"))))))))))))</f>
        <v/>
      </c>
      <c r="AC100" s="10">
        <f>IF(A100="","",(COUNT(G100,H100,K100,L100,M100,N100,O100,Q100,R100)+(I100="Y")+(P100="Y")+(S100="Y"))/12)</f>
        <v/>
      </c>
      <c r="AD100">
        <f>IF(OR(A100="",COUNT(G100:X100)=0),"",TODAY()-MAX(G100,H100,K100,L100,M100,N100,O100,Q100,R100,W100,X100))</f>
        <v/>
      </c>
      <c r="AE100">
        <f>IF(A100="","",IF(AND(Z100&lt;&gt;"YES",AD100&lt;&gt;"",AD100&gt;THRESHOLDS!$B$12),"STUCK — act today",""))</f>
        <v/>
      </c>
      <c r="AF100">
        <f>IF(A100="","",IF(J100="Active (verified)","",IF(J100="","Ask GST status (readiness R2)","Escalate to founder: orders need verified GSTIN in current code — no tax advice")))</f>
        <v/>
      </c>
      <c r="AG100">
        <f>IF(AND(G100&lt;&gt;"",L100&lt;&gt;""),L100-G100,"")</f>
        <v/>
      </c>
      <c r="AH100">
        <f>IF(AND(L100&lt;&gt;"",N100&lt;&gt;""),N100-L100,"")</f>
        <v/>
      </c>
      <c r="AI100">
        <f>IF(AND(N100&lt;&gt;"",AA100&lt;&gt;""),AA100-N100,"")</f>
        <v/>
      </c>
      <c r="AJ100">
        <f>IF(AND(L100&lt;&gt;"",N100&lt;&gt;"",Q100&lt;&gt;""),"Qualifies (if FP-QUAL adopted)","")</f>
        <v/>
      </c>
    </row>
    <row r="101">
      <c r="G101" s="9" t="n"/>
      <c r="H101" s="9" t="n"/>
      <c r="K101" s="9" t="n"/>
      <c r="L101" s="9" t="n"/>
      <c r="M101" s="9" t="n"/>
      <c r="N101" s="9" t="n"/>
      <c r="O101" s="9" t="n"/>
      <c r="Q101" s="9" t="n"/>
      <c r="R101" s="9" t="n"/>
      <c r="W101" s="9" t="n"/>
      <c r="X101" s="9" t="n"/>
      <c r="Z101">
        <f>IF(A101="","",IF(AND(N101&lt;&gt;"",O101&lt;&gt;"",Q101&lt;&gt;"",R101&lt;&gt;"",S101="Y"),"YES","no"))</f>
        <v/>
      </c>
      <c r="AA101" s="9">
        <f>IF(Z101="YES",MAX(N101,O101,Q101,R101),"")</f>
        <v/>
      </c>
      <c r="AB101">
        <f>IF(A101="","",IF(X101&lt;&gt;"","13 Repeat activity",IF(W101&lt;&gt;"","12 First enquiry/order/booking",IF(Z101="YES","11 ACTIVATED",IF(Q101&lt;&gt;"","10 First listing live",IF(O101&lt;&gt;"","9 Profile completed",IF(N101&lt;&gt;"","8 Approved",IF(M101&lt;&gt;"","7 KYC submitted",IF(L101&lt;&gt;"","6 Registration completed",IF(K101&lt;&gt;"","5b Registration started",IF(H101&lt;&gt;"","5a Information sent",IF(G101&lt;&gt;"","5 Interested","—"))))))))))))</f>
        <v/>
      </c>
      <c r="AC101" s="10">
        <f>IF(A101="","",(COUNT(G101,H101,K101,L101,M101,N101,O101,Q101,R101)+(I101="Y")+(P101="Y")+(S101="Y"))/12)</f>
        <v/>
      </c>
      <c r="AD101">
        <f>IF(OR(A101="",COUNT(G101:X101)=0),"",TODAY()-MAX(G101,H101,K101,L101,M101,N101,O101,Q101,R101,W101,X101))</f>
        <v/>
      </c>
      <c r="AE101">
        <f>IF(A101="","",IF(AND(Z101&lt;&gt;"YES",AD101&lt;&gt;"",AD101&gt;THRESHOLDS!$B$12),"STUCK — act today",""))</f>
        <v/>
      </c>
      <c r="AF101">
        <f>IF(A101="","",IF(J101="Active (verified)","",IF(J101="","Ask GST status (readiness R2)","Escalate to founder: orders need verified GSTIN in current code — no tax advice")))</f>
        <v/>
      </c>
      <c r="AG101">
        <f>IF(AND(G101&lt;&gt;"",L101&lt;&gt;""),L101-G101,"")</f>
        <v/>
      </c>
      <c r="AH101">
        <f>IF(AND(L101&lt;&gt;"",N101&lt;&gt;""),N101-L101,"")</f>
        <v/>
      </c>
      <c r="AI101">
        <f>IF(AND(N101&lt;&gt;"",AA101&lt;&gt;""),AA101-N101,"")</f>
        <v/>
      </c>
      <c r="AJ101">
        <f>IF(AND(L101&lt;&gt;"",N101&lt;&gt;"",Q101&lt;&gt;""),"Qualifies (if FP-QUAL adopted)","")</f>
        <v/>
      </c>
    </row>
    <row r="102">
      <c r="G102" s="9" t="n"/>
      <c r="H102" s="9" t="n"/>
      <c r="K102" s="9" t="n"/>
      <c r="L102" s="9" t="n"/>
      <c r="M102" s="9" t="n"/>
      <c r="N102" s="9" t="n"/>
      <c r="O102" s="9" t="n"/>
      <c r="Q102" s="9" t="n"/>
      <c r="R102" s="9" t="n"/>
      <c r="W102" s="9" t="n"/>
      <c r="X102" s="9" t="n"/>
      <c r="Z102">
        <f>IF(A102="","",IF(AND(N102&lt;&gt;"",O102&lt;&gt;"",Q102&lt;&gt;"",R102&lt;&gt;"",S102="Y"),"YES","no"))</f>
        <v/>
      </c>
      <c r="AA102" s="9">
        <f>IF(Z102="YES",MAX(N102,O102,Q102,R102),"")</f>
        <v/>
      </c>
      <c r="AB102">
        <f>IF(A102="","",IF(X102&lt;&gt;"","13 Repeat activity",IF(W102&lt;&gt;"","12 First enquiry/order/booking",IF(Z102="YES","11 ACTIVATED",IF(Q102&lt;&gt;"","10 First listing live",IF(O102&lt;&gt;"","9 Profile completed",IF(N102&lt;&gt;"","8 Approved",IF(M102&lt;&gt;"","7 KYC submitted",IF(L102&lt;&gt;"","6 Registration completed",IF(K102&lt;&gt;"","5b Registration started",IF(H102&lt;&gt;"","5a Information sent",IF(G102&lt;&gt;"","5 Interested","—"))))))))))))</f>
        <v/>
      </c>
      <c r="AC102" s="10">
        <f>IF(A102="","",(COUNT(G102,H102,K102,L102,M102,N102,O102,Q102,R102)+(I102="Y")+(P102="Y")+(S102="Y"))/12)</f>
        <v/>
      </c>
      <c r="AD102">
        <f>IF(OR(A102="",COUNT(G102:X102)=0),"",TODAY()-MAX(G102,H102,K102,L102,M102,N102,O102,Q102,R102,W102,X102))</f>
        <v/>
      </c>
      <c r="AE102">
        <f>IF(A102="","",IF(AND(Z102&lt;&gt;"YES",AD102&lt;&gt;"",AD102&gt;THRESHOLDS!$B$12),"STUCK — act today",""))</f>
        <v/>
      </c>
      <c r="AF102">
        <f>IF(A102="","",IF(J102="Active (verified)","",IF(J102="","Ask GST status (readiness R2)","Escalate to founder: orders need verified GSTIN in current code — no tax advice")))</f>
        <v/>
      </c>
      <c r="AG102">
        <f>IF(AND(G102&lt;&gt;"",L102&lt;&gt;""),L102-G102,"")</f>
        <v/>
      </c>
      <c r="AH102">
        <f>IF(AND(L102&lt;&gt;"",N102&lt;&gt;""),N102-L102,"")</f>
        <v/>
      </c>
      <c r="AI102">
        <f>IF(AND(N102&lt;&gt;"",AA102&lt;&gt;""),AA102-N102,"")</f>
        <v/>
      </c>
      <c r="AJ102">
        <f>IF(AND(L102&lt;&gt;"",N102&lt;&gt;"",Q102&lt;&gt;""),"Qualifies (if FP-QUAL adopted)","")</f>
        <v/>
      </c>
    </row>
    <row r="103">
      <c r="G103" s="9" t="n"/>
      <c r="H103" s="9" t="n"/>
      <c r="K103" s="9" t="n"/>
      <c r="L103" s="9" t="n"/>
      <c r="M103" s="9" t="n"/>
      <c r="N103" s="9" t="n"/>
      <c r="O103" s="9" t="n"/>
      <c r="Q103" s="9" t="n"/>
      <c r="R103" s="9" t="n"/>
      <c r="W103" s="9" t="n"/>
      <c r="X103" s="9" t="n"/>
      <c r="Z103">
        <f>IF(A103="","",IF(AND(N103&lt;&gt;"",O103&lt;&gt;"",Q103&lt;&gt;"",R103&lt;&gt;"",S103="Y"),"YES","no"))</f>
        <v/>
      </c>
      <c r="AA103" s="9">
        <f>IF(Z103="YES",MAX(N103,O103,Q103,R103),"")</f>
        <v/>
      </c>
      <c r="AB103">
        <f>IF(A103="","",IF(X103&lt;&gt;"","13 Repeat activity",IF(W103&lt;&gt;"","12 First enquiry/order/booking",IF(Z103="YES","11 ACTIVATED",IF(Q103&lt;&gt;"","10 First listing live",IF(O103&lt;&gt;"","9 Profile completed",IF(N103&lt;&gt;"","8 Approved",IF(M103&lt;&gt;"","7 KYC submitted",IF(L103&lt;&gt;"","6 Registration completed",IF(K103&lt;&gt;"","5b Registration started",IF(H103&lt;&gt;"","5a Information sent",IF(G103&lt;&gt;"","5 Interested","—"))))))))))))</f>
        <v/>
      </c>
      <c r="AC103" s="10">
        <f>IF(A103="","",(COUNT(G103,H103,K103,L103,M103,N103,O103,Q103,R103)+(I103="Y")+(P103="Y")+(S103="Y"))/12)</f>
        <v/>
      </c>
      <c r="AD103">
        <f>IF(OR(A103="",COUNT(G103:X103)=0),"",TODAY()-MAX(G103,H103,K103,L103,M103,N103,O103,Q103,R103,W103,X103))</f>
        <v/>
      </c>
      <c r="AE103">
        <f>IF(A103="","",IF(AND(Z103&lt;&gt;"YES",AD103&lt;&gt;"",AD103&gt;THRESHOLDS!$B$12),"STUCK — act today",""))</f>
        <v/>
      </c>
      <c r="AF103">
        <f>IF(A103="","",IF(J103="Active (verified)","",IF(J103="","Ask GST status (readiness R2)","Escalate to founder: orders need verified GSTIN in current code — no tax advice")))</f>
        <v/>
      </c>
      <c r="AG103">
        <f>IF(AND(G103&lt;&gt;"",L103&lt;&gt;""),L103-G103,"")</f>
        <v/>
      </c>
      <c r="AH103">
        <f>IF(AND(L103&lt;&gt;"",N103&lt;&gt;""),N103-L103,"")</f>
        <v/>
      </c>
      <c r="AI103">
        <f>IF(AND(N103&lt;&gt;"",AA103&lt;&gt;""),AA103-N103,"")</f>
        <v/>
      </c>
      <c r="AJ103">
        <f>IF(AND(L103&lt;&gt;"",N103&lt;&gt;"",Q103&lt;&gt;""),"Qualifies (if FP-QUAL adopted)","")</f>
        <v/>
      </c>
    </row>
    <row r="104">
      <c r="G104" s="9" t="n"/>
      <c r="H104" s="9" t="n"/>
      <c r="K104" s="9" t="n"/>
      <c r="L104" s="9" t="n"/>
      <c r="M104" s="9" t="n"/>
      <c r="N104" s="9" t="n"/>
      <c r="O104" s="9" t="n"/>
      <c r="Q104" s="9" t="n"/>
      <c r="R104" s="9" t="n"/>
      <c r="W104" s="9" t="n"/>
      <c r="X104" s="9" t="n"/>
      <c r="Z104">
        <f>IF(A104="","",IF(AND(N104&lt;&gt;"",O104&lt;&gt;"",Q104&lt;&gt;"",R104&lt;&gt;"",S104="Y"),"YES","no"))</f>
        <v/>
      </c>
      <c r="AA104" s="9">
        <f>IF(Z104="YES",MAX(N104,O104,Q104,R104),"")</f>
        <v/>
      </c>
      <c r="AB104">
        <f>IF(A104="","",IF(X104&lt;&gt;"","13 Repeat activity",IF(W104&lt;&gt;"","12 First enquiry/order/booking",IF(Z104="YES","11 ACTIVATED",IF(Q104&lt;&gt;"","10 First listing live",IF(O104&lt;&gt;"","9 Profile completed",IF(N104&lt;&gt;"","8 Approved",IF(M104&lt;&gt;"","7 KYC submitted",IF(L104&lt;&gt;"","6 Registration completed",IF(K104&lt;&gt;"","5b Registration started",IF(H104&lt;&gt;"","5a Information sent",IF(G104&lt;&gt;"","5 Interested","—"))))))))))))</f>
        <v/>
      </c>
      <c r="AC104" s="10">
        <f>IF(A104="","",(COUNT(G104,H104,K104,L104,M104,N104,O104,Q104,R104)+(I104="Y")+(P104="Y")+(S104="Y"))/12)</f>
        <v/>
      </c>
      <c r="AD104">
        <f>IF(OR(A104="",COUNT(G104:X104)=0),"",TODAY()-MAX(G104,H104,K104,L104,M104,N104,O104,Q104,R104,W104,X104))</f>
        <v/>
      </c>
      <c r="AE104">
        <f>IF(A104="","",IF(AND(Z104&lt;&gt;"YES",AD104&lt;&gt;"",AD104&gt;THRESHOLDS!$B$12),"STUCK — act today",""))</f>
        <v/>
      </c>
      <c r="AF104">
        <f>IF(A104="","",IF(J104="Active (verified)","",IF(J104="","Ask GST status (readiness R2)","Escalate to founder: orders need verified GSTIN in current code — no tax advice")))</f>
        <v/>
      </c>
      <c r="AG104">
        <f>IF(AND(G104&lt;&gt;"",L104&lt;&gt;""),L104-G104,"")</f>
        <v/>
      </c>
      <c r="AH104">
        <f>IF(AND(L104&lt;&gt;"",N104&lt;&gt;""),N104-L104,"")</f>
        <v/>
      </c>
      <c r="AI104">
        <f>IF(AND(N104&lt;&gt;"",AA104&lt;&gt;""),AA104-N104,"")</f>
        <v/>
      </c>
      <c r="AJ104">
        <f>IF(AND(L104&lt;&gt;"",N104&lt;&gt;"",Q104&lt;&gt;""),"Qualifies (if FP-QUAL adopted)","")</f>
        <v/>
      </c>
    </row>
    <row r="105">
      <c r="G105" s="9" t="n"/>
      <c r="H105" s="9" t="n"/>
      <c r="K105" s="9" t="n"/>
      <c r="L105" s="9" t="n"/>
      <c r="M105" s="9" t="n"/>
      <c r="N105" s="9" t="n"/>
      <c r="O105" s="9" t="n"/>
      <c r="Q105" s="9" t="n"/>
      <c r="R105" s="9" t="n"/>
      <c r="W105" s="9" t="n"/>
      <c r="X105" s="9" t="n"/>
      <c r="Z105">
        <f>IF(A105="","",IF(AND(N105&lt;&gt;"",O105&lt;&gt;"",Q105&lt;&gt;"",R105&lt;&gt;"",S105="Y"),"YES","no"))</f>
        <v/>
      </c>
      <c r="AA105" s="9">
        <f>IF(Z105="YES",MAX(N105,O105,Q105,R105),"")</f>
        <v/>
      </c>
      <c r="AB105">
        <f>IF(A105="","",IF(X105&lt;&gt;"","13 Repeat activity",IF(W105&lt;&gt;"","12 First enquiry/order/booking",IF(Z105="YES","11 ACTIVATED",IF(Q105&lt;&gt;"","10 First listing live",IF(O105&lt;&gt;"","9 Profile completed",IF(N105&lt;&gt;"","8 Approved",IF(M105&lt;&gt;"","7 KYC submitted",IF(L105&lt;&gt;"","6 Registration completed",IF(K105&lt;&gt;"","5b Registration started",IF(H105&lt;&gt;"","5a Information sent",IF(G105&lt;&gt;"","5 Interested","—"))))))))))))</f>
        <v/>
      </c>
      <c r="AC105" s="10">
        <f>IF(A105="","",(COUNT(G105,H105,K105,L105,M105,N105,O105,Q105,R105)+(I105="Y")+(P105="Y")+(S105="Y"))/12)</f>
        <v/>
      </c>
      <c r="AD105">
        <f>IF(OR(A105="",COUNT(G105:X105)=0),"",TODAY()-MAX(G105,H105,K105,L105,M105,N105,O105,Q105,R105,W105,X105))</f>
        <v/>
      </c>
      <c r="AE105">
        <f>IF(A105="","",IF(AND(Z105&lt;&gt;"YES",AD105&lt;&gt;"",AD105&gt;THRESHOLDS!$B$12),"STUCK — act today",""))</f>
        <v/>
      </c>
      <c r="AF105">
        <f>IF(A105="","",IF(J105="Active (verified)","",IF(J105="","Ask GST status (readiness R2)","Escalate to founder: orders need verified GSTIN in current code — no tax advice")))</f>
        <v/>
      </c>
      <c r="AG105">
        <f>IF(AND(G105&lt;&gt;"",L105&lt;&gt;""),L105-G105,"")</f>
        <v/>
      </c>
      <c r="AH105">
        <f>IF(AND(L105&lt;&gt;"",N105&lt;&gt;""),N105-L105,"")</f>
        <v/>
      </c>
      <c r="AI105">
        <f>IF(AND(N105&lt;&gt;"",AA105&lt;&gt;""),AA105-N105,"")</f>
        <v/>
      </c>
      <c r="AJ105">
        <f>IF(AND(L105&lt;&gt;"",N105&lt;&gt;"",Q105&lt;&gt;""),"Qualifies (if FP-QUAL adopted)","")</f>
        <v/>
      </c>
    </row>
    <row r="106">
      <c r="G106" s="9" t="n"/>
      <c r="H106" s="9" t="n"/>
      <c r="K106" s="9" t="n"/>
      <c r="L106" s="9" t="n"/>
      <c r="M106" s="9" t="n"/>
      <c r="N106" s="9" t="n"/>
      <c r="O106" s="9" t="n"/>
      <c r="Q106" s="9" t="n"/>
      <c r="R106" s="9" t="n"/>
      <c r="W106" s="9" t="n"/>
      <c r="X106" s="9" t="n"/>
      <c r="Z106">
        <f>IF(A106="","",IF(AND(N106&lt;&gt;"",O106&lt;&gt;"",Q106&lt;&gt;"",R106&lt;&gt;"",S106="Y"),"YES","no"))</f>
        <v/>
      </c>
      <c r="AA106" s="9">
        <f>IF(Z106="YES",MAX(N106,O106,Q106,R106),"")</f>
        <v/>
      </c>
      <c r="AB106">
        <f>IF(A106="","",IF(X106&lt;&gt;"","13 Repeat activity",IF(W106&lt;&gt;"","12 First enquiry/order/booking",IF(Z106="YES","11 ACTIVATED",IF(Q106&lt;&gt;"","10 First listing live",IF(O106&lt;&gt;"","9 Profile completed",IF(N106&lt;&gt;"","8 Approved",IF(M106&lt;&gt;"","7 KYC submitted",IF(L106&lt;&gt;"","6 Registration completed",IF(K106&lt;&gt;"","5b Registration started",IF(H106&lt;&gt;"","5a Information sent",IF(G106&lt;&gt;"","5 Interested","—"))))))))))))</f>
        <v/>
      </c>
      <c r="AC106" s="10">
        <f>IF(A106="","",(COUNT(G106,H106,K106,L106,M106,N106,O106,Q106,R106)+(I106="Y")+(P106="Y")+(S106="Y"))/12)</f>
        <v/>
      </c>
      <c r="AD106">
        <f>IF(OR(A106="",COUNT(G106:X106)=0),"",TODAY()-MAX(G106,H106,K106,L106,M106,N106,O106,Q106,R106,W106,X106))</f>
        <v/>
      </c>
      <c r="AE106">
        <f>IF(A106="","",IF(AND(Z106&lt;&gt;"YES",AD106&lt;&gt;"",AD106&gt;THRESHOLDS!$B$12),"STUCK — act today",""))</f>
        <v/>
      </c>
      <c r="AF106">
        <f>IF(A106="","",IF(J106="Active (verified)","",IF(J106="","Ask GST status (readiness R2)","Escalate to founder: orders need verified GSTIN in current code — no tax advice")))</f>
        <v/>
      </c>
      <c r="AG106">
        <f>IF(AND(G106&lt;&gt;"",L106&lt;&gt;""),L106-G106,"")</f>
        <v/>
      </c>
      <c r="AH106">
        <f>IF(AND(L106&lt;&gt;"",N106&lt;&gt;""),N106-L106,"")</f>
        <v/>
      </c>
      <c r="AI106">
        <f>IF(AND(N106&lt;&gt;"",AA106&lt;&gt;""),AA106-N106,"")</f>
        <v/>
      </c>
      <c r="AJ106">
        <f>IF(AND(L106&lt;&gt;"",N106&lt;&gt;"",Q106&lt;&gt;""),"Qualifies (if FP-QUAL adopted)","")</f>
        <v/>
      </c>
    </row>
    <row r="107">
      <c r="G107" s="9" t="n"/>
      <c r="H107" s="9" t="n"/>
      <c r="K107" s="9" t="n"/>
      <c r="L107" s="9" t="n"/>
      <c r="M107" s="9" t="n"/>
      <c r="N107" s="9" t="n"/>
      <c r="O107" s="9" t="n"/>
      <c r="Q107" s="9" t="n"/>
      <c r="R107" s="9" t="n"/>
      <c r="W107" s="9" t="n"/>
      <c r="X107" s="9" t="n"/>
      <c r="Z107">
        <f>IF(A107="","",IF(AND(N107&lt;&gt;"",O107&lt;&gt;"",Q107&lt;&gt;"",R107&lt;&gt;"",S107="Y"),"YES","no"))</f>
        <v/>
      </c>
      <c r="AA107" s="9">
        <f>IF(Z107="YES",MAX(N107,O107,Q107,R107),"")</f>
        <v/>
      </c>
      <c r="AB107">
        <f>IF(A107="","",IF(X107&lt;&gt;"","13 Repeat activity",IF(W107&lt;&gt;"","12 First enquiry/order/booking",IF(Z107="YES","11 ACTIVATED",IF(Q107&lt;&gt;"","10 First listing live",IF(O107&lt;&gt;"","9 Profile completed",IF(N107&lt;&gt;"","8 Approved",IF(M107&lt;&gt;"","7 KYC submitted",IF(L107&lt;&gt;"","6 Registration completed",IF(K107&lt;&gt;"","5b Registration started",IF(H107&lt;&gt;"","5a Information sent",IF(G107&lt;&gt;"","5 Interested","—"))))))))))))</f>
        <v/>
      </c>
      <c r="AC107" s="10">
        <f>IF(A107="","",(COUNT(G107,H107,K107,L107,M107,N107,O107,Q107,R107)+(I107="Y")+(P107="Y")+(S107="Y"))/12)</f>
        <v/>
      </c>
      <c r="AD107">
        <f>IF(OR(A107="",COUNT(G107:X107)=0),"",TODAY()-MAX(G107,H107,K107,L107,M107,N107,O107,Q107,R107,W107,X107))</f>
        <v/>
      </c>
      <c r="AE107">
        <f>IF(A107="","",IF(AND(Z107&lt;&gt;"YES",AD107&lt;&gt;"",AD107&gt;THRESHOLDS!$B$12),"STUCK — act today",""))</f>
        <v/>
      </c>
      <c r="AF107">
        <f>IF(A107="","",IF(J107="Active (verified)","",IF(J107="","Ask GST status (readiness R2)","Escalate to founder: orders need verified GSTIN in current code — no tax advice")))</f>
        <v/>
      </c>
      <c r="AG107">
        <f>IF(AND(G107&lt;&gt;"",L107&lt;&gt;""),L107-G107,"")</f>
        <v/>
      </c>
      <c r="AH107">
        <f>IF(AND(L107&lt;&gt;"",N107&lt;&gt;""),N107-L107,"")</f>
        <v/>
      </c>
      <c r="AI107">
        <f>IF(AND(N107&lt;&gt;"",AA107&lt;&gt;""),AA107-N107,"")</f>
        <v/>
      </c>
      <c r="AJ107">
        <f>IF(AND(L107&lt;&gt;"",N107&lt;&gt;"",Q107&lt;&gt;""),"Qualifies (if FP-QUAL adopted)","")</f>
        <v/>
      </c>
    </row>
    <row r="108">
      <c r="G108" s="9" t="n"/>
      <c r="H108" s="9" t="n"/>
      <c r="K108" s="9" t="n"/>
      <c r="L108" s="9" t="n"/>
      <c r="M108" s="9" t="n"/>
      <c r="N108" s="9" t="n"/>
      <c r="O108" s="9" t="n"/>
      <c r="Q108" s="9" t="n"/>
      <c r="R108" s="9" t="n"/>
      <c r="W108" s="9" t="n"/>
      <c r="X108" s="9" t="n"/>
      <c r="Z108">
        <f>IF(A108="","",IF(AND(N108&lt;&gt;"",O108&lt;&gt;"",Q108&lt;&gt;"",R108&lt;&gt;"",S108="Y"),"YES","no"))</f>
        <v/>
      </c>
      <c r="AA108" s="9">
        <f>IF(Z108="YES",MAX(N108,O108,Q108,R108),"")</f>
        <v/>
      </c>
      <c r="AB108">
        <f>IF(A108="","",IF(X108&lt;&gt;"","13 Repeat activity",IF(W108&lt;&gt;"","12 First enquiry/order/booking",IF(Z108="YES","11 ACTIVATED",IF(Q108&lt;&gt;"","10 First listing live",IF(O108&lt;&gt;"","9 Profile completed",IF(N108&lt;&gt;"","8 Approved",IF(M108&lt;&gt;"","7 KYC submitted",IF(L108&lt;&gt;"","6 Registration completed",IF(K108&lt;&gt;"","5b Registration started",IF(H108&lt;&gt;"","5a Information sent",IF(G108&lt;&gt;"","5 Interested","—"))))))))))))</f>
        <v/>
      </c>
      <c r="AC108" s="10">
        <f>IF(A108="","",(COUNT(G108,H108,K108,L108,M108,N108,O108,Q108,R108)+(I108="Y")+(P108="Y")+(S108="Y"))/12)</f>
        <v/>
      </c>
      <c r="AD108">
        <f>IF(OR(A108="",COUNT(G108:X108)=0),"",TODAY()-MAX(G108,H108,K108,L108,M108,N108,O108,Q108,R108,W108,X108))</f>
        <v/>
      </c>
      <c r="AE108">
        <f>IF(A108="","",IF(AND(Z108&lt;&gt;"YES",AD108&lt;&gt;"",AD108&gt;THRESHOLDS!$B$12),"STUCK — act today",""))</f>
        <v/>
      </c>
      <c r="AF108">
        <f>IF(A108="","",IF(J108="Active (verified)","",IF(J108="","Ask GST status (readiness R2)","Escalate to founder: orders need verified GSTIN in current code — no tax advice")))</f>
        <v/>
      </c>
      <c r="AG108">
        <f>IF(AND(G108&lt;&gt;"",L108&lt;&gt;""),L108-G108,"")</f>
        <v/>
      </c>
      <c r="AH108">
        <f>IF(AND(L108&lt;&gt;"",N108&lt;&gt;""),N108-L108,"")</f>
        <v/>
      </c>
      <c r="AI108">
        <f>IF(AND(N108&lt;&gt;"",AA108&lt;&gt;""),AA108-N108,"")</f>
        <v/>
      </c>
      <c r="AJ108">
        <f>IF(AND(L108&lt;&gt;"",N108&lt;&gt;"",Q108&lt;&gt;""),"Qualifies (if FP-QUAL adopted)","")</f>
        <v/>
      </c>
    </row>
    <row r="109">
      <c r="G109" s="9" t="n"/>
      <c r="H109" s="9" t="n"/>
      <c r="K109" s="9" t="n"/>
      <c r="L109" s="9" t="n"/>
      <c r="M109" s="9" t="n"/>
      <c r="N109" s="9" t="n"/>
      <c r="O109" s="9" t="n"/>
      <c r="Q109" s="9" t="n"/>
      <c r="R109" s="9" t="n"/>
      <c r="W109" s="9" t="n"/>
      <c r="X109" s="9" t="n"/>
      <c r="Z109">
        <f>IF(A109="","",IF(AND(N109&lt;&gt;"",O109&lt;&gt;"",Q109&lt;&gt;"",R109&lt;&gt;"",S109="Y"),"YES","no"))</f>
        <v/>
      </c>
      <c r="AA109" s="9">
        <f>IF(Z109="YES",MAX(N109,O109,Q109,R109),"")</f>
        <v/>
      </c>
      <c r="AB109">
        <f>IF(A109="","",IF(X109&lt;&gt;"","13 Repeat activity",IF(W109&lt;&gt;"","12 First enquiry/order/booking",IF(Z109="YES","11 ACTIVATED",IF(Q109&lt;&gt;"","10 First listing live",IF(O109&lt;&gt;"","9 Profile completed",IF(N109&lt;&gt;"","8 Approved",IF(M109&lt;&gt;"","7 KYC submitted",IF(L109&lt;&gt;"","6 Registration completed",IF(K109&lt;&gt;"","5b Registration started",IF(H109&lt;&gt;"","5a Information sent",IF(G109&lt;&gt;"","5 Interested","—"))))))))))))</f>
        <v/>
      </c>
      <c r="AC109" s="10">
        <f>IF(A109="","",(COUNT(G109,H109,K109,L109,M109,N109,O109,Q109,R109)+(I109="Y")+(P109="Y")+(S109="Y"))/12)</f>
        <v/>
      </c>
      <c r="AD109">
        <f>IF(OR(A109="",COUNT(G109:X109)=0),"",TODAY()-MAX(G109,H109,K109,L109,M109,N109,O109,Q109,R109,W109,X109))</f>
        <v/>
      </c>
      <c r="AE109">
        <f>IF(A109="","",IF(AND(Z109&lt;&gt;"YES",AD109&lt;&gt;"",AD109&gt;THRESHOLDS!$B$12),"STUCK — act today",""))</f>
        <v/>
      </c>
      <c r="AF109">
        <f>IF(A109="","",IF(J109="Active (verified)","",IF(J109="","Ask GST status (readiness R2)","Escalate to founder: orders need verified GSTIN in current code — no tax advice")))</f>
        <v/>
      </c>
      <c r="AG109">
        <f>IF(AND(G109&lt;&gt;"",L109&lt;&gt;""),L109-G109,"")</f>
        <v/>
      </c>
      <c r="AH109">
        <f>IF(AND(L109&lt;&gt;"",N109&lt;&gt;""),N109-L109,"")</f>
        <v/>
      </c>
      <c r="AI109">
        <f>IF(AND(N109&lt;&gt;"",AA109&lt;&gt;""),AA109-N109,"")</f>
        <v/>
      </c>
      <c r="AJ109">
        <f>IF(AND(L109&lt;&gt;"",N109&lt;&gt;"",Q109&lt;&gt;""),"Qualifies (if FP-QUAL adopted)","")</f>
        <v/>
      </c>
    </row>
    <row r="110">
      <c r="G110" s="9" t="n"/>
      <c r="H110" s="9" t="n"/>
      <c r="K110" s="9" t="n"/>
      <c r="L110" s="9" t="n"/>
      <c r="M110" s="9" t="n"/>
      <c r="N110" s="9" t="n"/>
      <c r="O110" s="9" t="n"/>
      <c r="Q110" s="9" t="n"/>
      <c r="R110" s="9" t="n"/>
      <c r="W110" s="9" t="n"/>
      <c r="X110" s="9" t="n"/>
      <c r="Z110">
        <f>IF(A110="","",IF(AND(N110&lt;&gt;"",O110&lt;&gt;"",Q110&lt;&gt;"",R110&lt;&gt;"",S110="Y"),"YES","no"))</f>
        <v/>
      </c>
      <c r="AA110" s="9">
        <f>IF(Z110="YES",MAX(N110,O110,Q110,R110),"")</f>
        <v/>
      </c>
      <c r="AB110">
        <f>IF(A110="","",IF(X110&lt;&gt;"","13 Repeat activity",IF(W110&lt;&gt;"","12 First enquiry/order/booking",IF(Z110="YES","11 ACTIVATED",IF(Q110&lt;&gt;"","10 First listing live",IF(O110&lt;&gt;"","9 Profile completed",IF(N110&lt;&gt;"","8 Approved",IF(M110&lt;&gt;"","7 KYC submitted",IF(L110&lt;&gt;"","6 Registration completed",IF(K110&lt;&gt;"","5b Registration started",IF(H110&lt;&gt;"","5a Information sent",IF(G110&lt;&gt;"","5 Interested","—"))))))))))))</f>
        <v/>
      </c>
      <c r="AC110" s="10">
        <f>IF(A110="","",(COUNT(G110,H110,K110,L110,M110,N110,O110,Q110,R110)+(I110="Y")+(P110="Y")+(S110="Y"))/12)</f>
        <v/>
      </c>
      <c r="AD110">
        <f>IF(OR(A110="",COUNT(G110:X110)=0),"",TODAY()-MAX(G110,H110,K110,L110,M110,N110,O110,Q110,R110,W110,X110))</f>
        <v/>
      </c>
      <c r="AE110">
        <f>IF(A110="","",IF(AND(Z110&lt;&gt;"YES",AD110&lt;&gt;"",AD110&gt;THRESHOLDS!$B$12),"STUCK — act today",""))</f>
        <v/>
      </c>
      <c r="AF110">
        <f>IF(A110="","",IF(J110="Active (verified)","",IF(J110="","Ask GST status (readiness R2)","Escalate to founder: orders need verified GSTIN in current code — no tax advice")))</f>
        <v/>
      </c>
      <c r="AG110">
        <f>IF(AND(G110&lt;&gt;"",L110&lt;&gt;""),L110-G110,"")</f>
        <v/>
      </c>
      <c r="AH110">
        <f>IF(AND(L110&lt;&gt;"",N110&lt;&gt;""),N110-L110,"")</f>
        <v/>
      </c>
      <c r="AI110">
        <f>IF(AND(N110&lt;&gt;"",AA110&lt;&gt;""),AA110-N110,"")</f>
        <v/>
      </c>
      <c r="AJ110">
        <f>IF(AND(L110&lt;&gt;"",N110&lt;&gt;"",Q110&lt;&gt;""),"Qualifies (if FP-QUAL adopted)","")</f>
        <v/>
      </c>
    </row>
    <row r="111">
      <c r="G111" s="9" t="n"/>
      <c r="H111" s="9" t="n"/>
      <c r="K111" s="9" t="n"/>
      <c r="L111" s="9" t="n"/>
      <c r="M111" s="9" t="n"/>
      <c r="N111" s="9" t="n"/>
      <c r="O111" s="9" t="n"/>
      <c r="Q111" s="9" t="n"/>
      <c r="R111" s="9" t="n"/>
      <c r="W111" s="9" t="n"/>
      <c r="X111" s="9" t="n"/>
      <c r="Z111">
        <f>IF(A111="","",IF(AND(N111&lt;&gt;"",O111&lt;&gt;"",Q111&lt;&gt;"",R111&lt;&gt;"",S111="Y"),"YES","no"))</f>
        <v/>
      </c>
      <c r="AA111" s="9">
        <f>IF(Z111="YES",MAX(N111,O111,Q111,R111),"")</f>
        <v/>
      </c>
      <c r="AB111">
        <f>IF(A111="","",IF(X111&lt;&gt;"","13 Repeat activity",IF(W111&lt;&gt;"","12 First enquiry/order/booking",IF(Z111="YES","11 ACTIVATED",IF(Q111&lt;&gt;"","10 First listing live",IF(O111&lt;&gt;"","9 Profile completed",IF(N111&lt;&gt;"","8 Approved",IF(M111&lt;&gt;"","7 KYC submitted",IF(L111&lt;&gt;"","6 Registration completed",IF(K111&lt;&gt;"","5b Registration started",IF(H111&lt;&gt;"","5a Information sent",IF(G111&lt;&gt;"","5 Interested","—"))))))))))))</f>
        <v/>
      </c>
      <c r="AC111" s="10">
        <f>IF(A111="","",(COUNT(G111,H111,K111,L111,M111,N111,O111,Q111,R111)+(I111="Y")+(P111="Y")+(S111="Y"))/12)</f>
        <v/>
      </c>
      <c r="AD111">
        <f>IF(OR(A111="",COUNT(G111:X111)=0),"",TODAY()-MAX(G111,H111,K111,L111,M111,N111,O111,Q111,R111,W111,X111))</f>
        <v/>
      </c>
      <c r="AE111">
        <f>IF(A111="","",IF(AND(Z111&lt;&gt;"YES",AD111&lt;&gt;"",AD111&gt;THRESHOLDS!$B$12),"STUCK — act today",""))</f>
        <v/>
      </c>
      <c r="AF111">
        <f>IF(A111="","",IF(J111="Active (verified)","",IF(J111="","Ask GST status (readiness R2)","Escalate to founder: orders need verified GSTIN in current code — no tax advice")))</f>
        <v/>
      </c>
      <c r="AG111">
        <f>IF(AND(G111&lt;&gt;"",L111&lt;&gt;""),L111-G111,"")</f>
        <v/>
      </c>
      <c r="AH111">
        <f>IF(AND(L111&lt;&gt;"",N111&lt;&gt;""),N111-L111,"")</f>
        <v/>
      </c>
      <c r="AI111">
        <f>IF(AND(N111&lt;&gt;"",AA111&lt;&gt;""),AA111-N111,"")</f>
        <v/>
      </c>
      <c r="AJ111">
        <f>IF(AND(L111&lt;&gt;"",N111&lt;&gt;"",Q111&lt;&gt;""),"Qualifies (if FP-QUAL adopted)","")</f>
        <v/>
      </c>
    </row>
    <row r="112">
      <c r="G112" s="9" t="n"/>
      <c r="H112" s="9" t="n"/>
      <c r="K112" s="9" t="n"/>
      <c r="L112" s="9" t="n"/>
      <c r="M112" s="9" t="n"/>
      <c r="N112" s="9" t="n"/>
      <c r="O112" s="9" t="n"/>
      <c r="Q112" s="9" t="n"/>
      <c r="R112" s="9" t="n"/>
      <c r="W112" s="9" t="n"/>
      <c r="X112" s="9" t="n"/>
      <c r="Z112">
        <f>IF(A112="","",IF(AND(N112&lt;&gt;"",O112&lt;&gt;"",Q112&lt;&gt;"",R112&lt;&gt;"",S112="Y"),"YES","no"))</f>
        <v/>
      </c>
      <c r="AA112" s="9">
        <f>IF(Z112="YES",MAX(N112,O112,Q112,R112),"")</f>
        <v/>
      </c>
      <c r="AB112">
        <f>IF(A112="","",IF(X112&lt;&gt;"","13 Repeat activity",IF(W112&lt;&gt;"","12 First enquiry/order/booking",IF(Z112="YES","11 ACTIVATED",IF(Q112&lt;&gt;"","10 First listing live",IF(O112&lt;&gt;"","9 Profile completed",IF(N112&lt;&gt;"","8 Approved",IF(M112&lt;&gt;"","7 KYC submitted",IF(L112&lt;&gt;"","6 Registration completed",IF(K112&lt;&gt;"","5b Registration started",IF(H112&lt;&gt;"","5a Information sent",IF(G112&lt;&gt;"","5 Interested","—"))))))))))))</f>
        <v/>
      </c>
      <c r="AC112" s="10">
        <f>IF(A112="","",(COUNT(G112,H112,K112,L112,M112,N112,O112,Q112,R112)+(I112="Y")+(P112="Y")+(S112="Y"))/12)</f>
        <v/>
      </c>
      <c r="AD112">
        <f>IF(OR(A112="",COUNT(G112:X112)=0),"",TODAY()-MAX(G112,H112,K112,L112,M112,N112,O112,Q112,R112,W112,X112))</f>
        <v/>
      </c>
      <c r="AE112">
        <f>IF(A112="","",IF(AND(Z112&lt;&gt;"YES",AD112&lt;&gt;"",AD112&gt;THRESHOLDS!$B$12),"STUCK — act today",""))</f>
        <v/>
      </c>
      <c r="AF112">
        <f>IF(A112="","",IF(J112="Active (verified)","",IF(J112="","Ask GST status (readiness R2)","Escalate to founder: orders need verified GSTIN in current code — no tax advice")))</f>
        <v/>
      </c>
      <c r="AG112">
        <f>IF(AND(G112&lt;&gt;"",L112&lt;&gt;""),L112-G112,"")</f>
        <v/>
      </c>
      <c r="AH112">
        <f>IF(AND(L112&lt;&gt;"",N112&lt;&gt;""),N112-L112,"")</f>
        <v/>
      </c>
      <c r="AI112">
        <f>IF(AND(N112&lt;&gt;"",AA112&lt;&gt;""),AA112-N112,"")</f>
        <v/>
      </c>
      <c r="AJ112">
        <f>IF(AND(L112&lt;&gt;"",N112&lt;&gt;"",Q112&lt;&gt;""),"Qualifies (if FP-QUAL adopted)","")</f>
        <v/>
      </c>
    </row>
    <row r="113">
      <c r="G113" s="9" t="n"/>
      <c r="H113" s="9" t="n"/>
      <c r="K113" s="9" t="n"/>
      <c r="L113" s="9" t="n"/>
      <c r="M113" s="9" t="n"/>
      <c r="N113" s="9" t="n"/>
      <c r="O113" s="9" t="n"/>
      <c r="Q113" s="9" t="n"/>
      <c r="R113" s="9" t="n"/>
      <c r="W113" s="9" t="n"/>
      <c r="X113" s="9" t="n"/>
      <c r="Z113">
        <f>IF(A113="","",IF(AND(N113&lt;&gt;"",O113&lt;&gt;"",Q113&lt;&gt;"",R113&lt;&gt;"",S113="Y"),"YES","no"))</f>
        <v/>
      </c>
      <c r="AA113" s="9">
        <f>IF(Z113="YES",MAX(N113,O113,Q113,R113),"")</f>
        <v/>
      </c>
      <c r="AB113">
        <f>IF(A113="","",IF(X113&lt;&gt;"","13 Repeat activity",IF(W113&lt;&gt;"","12 First enquiry/order/booking",IF(Z113="YES","11 ACTIVATED",IF(Q113&lt;&gt;"","10 First listing live",IF(O113&lt;&gt;"","9 Profile completed",IF(N113&lt;&gt;"","8 Approved",IF(M113&lt;&gt;"","7 KYC submitted",IF(L113&lt;&gt;"","6 Registration completed",IF(K113&lt;&gt;"","5b Registration started",IF(H113&lt;&gt;"","5a Information sent",IF(G113&lt;&gt;"","5 Interested","—"))))))))))))</f>
        <v/>
      </c>
      <c r="AC113" s="10">
        <f>IF(A113="","",(COUNT(G113,H113,K113,L113,M113,N113,O113,Q113,R113)+(I113="Y")+(P113="Y")+(S113="Y"))/12)</f>
        <v/>
      </c>
      <c r="AD113">
        <f>IF(OR(A113="",COUNT(G113:X113)=0),"",TODAY()-MAX(G113,H113,K113,L113,M113,N113,O113,Q113,R113,W113,X113))</f>
        <v/>
      </c>
      <c r="AE113">
        <f>IF(A113="","",IF(AND(Z113&lt;&gt;"YES",AD113&lt;&gt;"",AD113&gt;THRESHOLDS!$B$12),"STUCK — act today",""))</f>
        <v/>
      </c>
      <c r="AF113">
        <f>IF(A113="","",IF(J113="Active (verified)","",IF(J113="","Ask GST status (readiness R2)","Escalate to founder: orders need verified GSTIN in current code — no tax advice")))</f>
        <v/>
      </c>
      <c r="AG113">
        <f>IF(AND(G113&lt;&gt;"",L113&lt;&gt;""),L113-G113,"")</f>
        <v/>
      </c>
      <c r="AH113">
        <f>IF(AND(L113&lt;&gt;"",N113&lt;&gt;""),N113-L113,"")</f>
        <v/>
      </c>
      <c r="AI113">
        <f>IF(AND(N113&lt;&gt;"",AA113&lt;&gt;""),AA113-N113,"")</f>
        <v/>
      </c>
      <c r="AJ113">
        <f>IF(AND(L113&lt;&gt;"",N113&lt;&gt;"",Q113&lt;&gt;""),"Qualifies (if FP-QUAL adopted)","")</f>
        <v/>
      </c>
    </row>
    <row r="114">
      <c r="G114" s="9" t="n"/>
      <c r="H114" s="9" t="n"/>
      <c r="K114" s="9" t="n"/>
      <c r="L114" s="9" t="n"/>
      <c r="M114" s="9" t="n"/>
      <c r="N114" s="9" t="n"/>
      <c r="O114" s="9" t="n"/>
      <c r="Q114" s="9" t="n"/>
      <c r="R114" s="9" t="n"/>
      <c r="W114" s="9" t="n"/>
      <c r="X114" s="9" t="n"/>
      <c r="Z114">
        <f>IF(A114="","",IF(AND(N114&lt;&gt;"",O114&lt;&gt;"",Q114&lt;&gt;"",R114&lt;&gt;"",S114="Y"),"YES","no"))</f>
        <v/>
      </c>
      <c r="AA114" s="9">
        <f>IF(Z114="YES",MAX(N114,O114,Q114,R114),"")</f>
        <v/>
      </c>
      <c r="AB114">
        <f>IF(A114="","",IF(X114&lt;&gt;"","13 Repeat activity",IF(W114&lt;&gt;"","12 First enquiry/order/booking",IF(Z114="YES","11 ACTIVATED",IF(Q114&lt;&gt;"","10 First listing live",IF(O114&lt;&gt;"","9 Profile completed",IF(N114&lt;&gt;"","8 Approved",IF(M114&lt;&gt;"","7 KYC submitted",IF(L114&lt;&gt;"","6 Registration completed",IF(K114&lt;&gt;"","5b Registration started",IF(H114&lt;&gt;"","5a Information sent",IF(G114&lt;&gt;"","5 Interested","—"))))))))))))</f>
        <v/>
      </c>
      <c r="AC114" s="10">
        <f>IF(A114="","",(COUNT(G114,H114,K114,L114,M114,N114,O114,Q114,R114)+(I114="Y")+(P114="Y")+(S114="Y"))/12)</f>
        <v/>
      </c>
      <c r="AD114">
        <f>IF(OR(A114="",COUNT(G114:X114)=0),"",TODAY()-MAX(G114,H114,K114,L114,M114,N114,O114,Q114,R114,W114,X114))</f>
        <v/>
      </c>
      <c r="AE114">
        <f>IF(A114="","",IF(AND(Z114&lt;&gt;"YES",AD114&lt;&gt;"",AD114&gt;THRESHOLDS!$B$12),"STUCK — act today",""))</f>
        <v/>
      </c>
      <c r="AF114">
        <f>IF(A114="","",IF(J114="Active (verified)","",IF(J114="","Ask GST status (readiness R2)","Escalate to founder: orders need verified GSTIN in current code — no tax advice")))</f>
        <v/>
      </c>
      <c r="AG114">
        <f>IF(AND(G114&lt;&gt;"",L114&lt;&gt;""),L114-G114,"")</f>
        <v/>
      </c>
      <c r="AH114">
        <f>IF(AND(L114&lt;&gt;"",N114&lt;&gt;""),N114-L114,"")</f>
        <v/>
      </c>
      <c r="AI114">
        <f>IF(AND(N114&lt;&gt;"",AA114&lt;&gt;""),AA114-N114,"")</f>
        <v/>
      </c>
      <c r="AJ114">
        <f>IF(AND(L114&lt;&gt;"",N114&lt;&gt;"",Q114&lt;&gt;""),"Qualifies (if FP-QUAL adopted)","")</f>
        <v/>
      </c>
    </row>
    <row r="115">
      <c r="G115" s="9" t="n"/>
      <c r="H115" s="9" t="n"/>
      <c r="K115" s="9" t="n"/>
      <c r="L115" s="9" t="n"/>
      <c r="M115" s="9" t="n"/>
      <c r="N115" s="9" t="n"/>
      <c r="O115" s="9" t="n"/>
      <c r="Q115" s="9" t="n"/>
      <c r="R115" s="9" t="n"/>
      <c r="W115" s="9" t="n"/>
      <c r="X115" s="9" t="n"/>
      <c r="Z115">
        <f>IF(A115="","",IF(AND(N115&lt;&gt;"",O115&lt;&gt;"",Q115&lt;&gt;"",R115&lt;&gt;"",S115="Y"),"YES","no"))</f>
        <v/>
      </c>
      <c r="AA115" s="9">
        <f>IF(Z115="YES",MAX(N115,O115,Q115,R115),"")</f>
        <v/>
      </c>
      <c r="AB115">
        <f>IF(A115="","",IF(X115&lt;&gt;"","13 Repeat activity",IF(W115&lt;&gt;"","12 First enquiry/order/booking",IF(Z115="YES","11 ACTIVATED",IF(Q115&lt;&gt;"","10 First listing live",IF(O115&lt;&gt;"","9 Profile completed",IF(N115&lt;&gt;"","8 Approved",IF(M115&lt;&gt;"","7 KYC submitted",IF(L115&lt;&gt;"","6 Registration completed",IF(K115&lt;&gt;"","5b Registration started",IF(H115&lt;&gt;"","5a Information sent",IF(G115&lt;&gt;"","5 Interested","—"))))))))))))</f>
        <v/>
      </c>
      <c r="AC115" s="10">
        <f>IF(A115="","",(COUNT(G115,H115,K115,L115,M115,N115,O115,Q115,R115)+(I115="Y")+(P115="Y")+(S115="Y"))/12)</f>
        <v/>
      </c>
      <c r="AD115">
        <f>IF(OR(A115="",COUNT(G115:X115)=0),"",TODAY()-MAX(G115,H115,K115,L115,M115,N115,O115,Q115,R115,W115,X115))</f>
        <v/>
      </c>
      <c r="AE115">
        <f>IF(A115="","",IF(AND(Z115&lt;&gt;"YES",AD115&lt;&gt;"",AD115&gt;THRESHOLDS!$B$12),"STUCK — act today",""))</f>
        <v/>
      </c>
      <c r="AF115">
        <f>IF(A115="","",IF(J115="Active (verified)","",IF(J115="","Ask GST status (readiness R2)","Escalate to founder: orders need verified GSTIN in current code — no tax advice")))</f>
        <v/>
      </c>
      <c r="AG115">
        <f>IF(AND(G115&lt;&gt;"",L115&lt;&gt;""),L115-G115,"")</f>
        <v/>
      </c>
      <c r="AH115">
        <f>IF(AND(L115&lt;&gt;"",N115&lt;&gt;""),N115-L115,"")</f>
        <v/>
      </c>
      <c r="AI115">
        <f>IF(AND(N115&lt;&gt;"",AA115&lt;&gt;""),AA115-N115,"")</f>
        <v/>
      </c>
      <c r="AJ115">
        <f>IF(AND(L115&lt;&gt;"",N115&lt;&gt;"",Q115&lt;&gt;""),"Qualifies (if FP-QUAL adopted)","")</f>
        <v/>
      </c>
    </row>
    <row r="116">
      <c r="G116" s="9" t="n"/>
      <c r="H116" s="9" t="n"/>
      <c r="K116" s="9" t="n"/>
      <c r="L116" s="9" t="n"/>
      <c r="M116" s="9" t="n"/>
      <c r="N116" s="9" t="n"/>
      <c r="O116" s="9" t="n"/>
      <c r="Q116" s="9" t="n"/>
      <c r="R116" s="9" t="n"/>
      <c r="W116" s="9" t="n"/>
      <c r="X116" s="9" t="n"/>
      <c r="Z116">
        <f>IF(A116="","",IF(AND(N116&lt;&gt;"",O116&lt;&gt;"",Q116&lt;&gt;"",R116&lt;&gt;"",S116="Y"),"YES","no"))</f>
        <v/>
      </c>
      <c r="AA116" s="9">
        <f>IF(Z116="YES",MAX(N116,O116,Q116,R116),"")</f>
        <v/>
      </c>
      <c r="AB116">
        <f>IF(A116="","",IF(X116&lt;&gt;"","13 Repeat activity",IF(W116&lt;&gt;"","12 First enquiry/order/booking",IF(Z116="YES","11 ACTIVATED",IF(Q116&lt;&gt;"","10 First listing live",IF(O116&lt;&gt;"","9 Profile completed",IF(N116&lt;&gt;"","8 Approved",IF(M116&lt;&gt;"","7 KYC submitted",IF(L116&lt;&gt;"","6 Registration completed",IF(K116&lt;&gt;"","5b Registration started",IF(H116&lt;&gt;"","5a Information sent",IF(G116&lt;&gt;"","5 Interested","—"))))))))))))</f>
        <v/>
      </c>
      <c r="AC116" s="10">
        <f>IF(A116="","",(COUNT(G116,H116,K116,L116,M116,N116,O116,Q116,R116)+(I116="Y")+(P116="Y")+(S116="Y"))/12)</f>
        <v/>
      </c>
      <c r="AD116">
        <f>IF(OR(A116="",COUNT(G116:X116)=0),"",TODAY()-MAX(G116,H116,K116,L116,M116,N116,O116,Q116,R116,W116,X116))</f>
        <v/>
      </c>
      <c r="AE116">
        <f>IF(A116="","",IF(AND(Z116&lt;&gt;"YES",AD116&lt;&gt;"",AD116&gt;THRESHOLDS!$B$12),"STUCK — act today",""))</f>
        <v/>
      </c>
      <c r="AF116">
        <f>IF(A116="","",IF(J116="Active (verified)","",IF(J116="","Ask GST status (readiness R2)","Escalate to founder: orders need verified GSTIN in current code — no tax advice")))</f>
        <v/>
      </c>
      <c r="AG116">
        <f>IF(AND(G116&lt;&gt;"",L116&lt;&gt;""),L116-G116,"")</f>
        <v/>
      </c>
      <c r="AH116">
        <f>IF(AND(L116&lt;&gt;"",N116&lt;&gt;""),N116-L116,"")</f>
        <v/>
      </c>
      <c r="AI116">
        <f>IF(AND(N116&lt;&gt;"",AA116&lt;&gt;""),AA116-N116,"")</f>
        <v/>
      </c>
      <c r="AJ116">
        <f>IF(AND(L116&lt;&gt;"",N116&lt;&gt;"",Q116&lt;&gt;""),"Qualifies (if FP-QUAL adopted)","")</f>
        <v/>
      </c>
    </row>
    <row r="117">
      <c r="G117" s="9" t="n"/>
      <c r="H117" s="9" t="n"/>
      <c r="K117" s="9" t="n"/>
      <c r="L117" s="9" t="n"/>
      <c r="M117" s="9" t="n"/>
      <c r="N117" s="9" t="n"/>
      <c r="O117" s="9" t="n"/>
      <c r="Q117" s="9" t="n"/>
      <c r="R117" s="9" t="n"/>
      <c r="W117" s="9" t="n"/>
      <c r="X117" s="9" t="n"/>
      <c r="Z117">
        <f>IF(A117="","",IF(AND(N117&lt;&gt;"",O117&lt;&gt;"",Q117&lt;&gt;"",R117&lt;&gt;"",S117="Y"),"YES","no"))</f>
        <v/>
      </c>
      <c r="AA117" s="9">
        <f>IF(Z117="YES",MAX(N117,O117,Q117,R117),"")</f>
        <v/>
      </c>
      <c r="AB117">
        <f>IF(A117="","",IF(X117&lt;&gt;"","13 Repeat activity",IF(W117&lt;&gt;"","12 First enquiry/order/booking",IF(Z117="YES","11 ACTIVATED",IF(Q117&lt;&gt;"","10 First listing live",IF(O117&lt;&gt;"","9 Profile completed",IF(N117&lt;&gt;"","8 Approved",IF(M117&lt;&gt;"","7 KYC submitted",IF(L117&lt;&gt;"","6 Registration completed",IF(K117&lt;&gt;"","5b Registration started",IF(H117&lt;&gt;"","5a Information sent",IF(G117&lt;&gt;"","5 Interested","—"))))))))))))</f>
        <v/>
      </c>
      <c r="AC117" s="10">
        <f>IF(A117="","",(COUNT(G117,H117,K117,L117,M117,N117,O117,Q117,R117)+(I117="Y")+(P117="Y")+(S117="Y"))/12)</f>
        <v/>
      </c>
      <c r="AD117">
        <f>IF(OR(A117="",COUNT(G117:X117)=0),"",TODAY()-MAX(G117,H117,K117,L117,M117,N117,O117,Q117,R117,W117,X117))</f>
        <v/>
      </c>
      <c r="AE117">
        <f>IF(A117="","",IF(AND(Z117&lt;&gt;"YES",AD117&lt;&gt;"",AD117&gt;THRESHOLDS!$B$12),"STUCK — act today",""))</f>
        <v/>
      </c>
      <c r="AF117">
        <f>IF(A117="","",IF(J117="Active (verified)","",IF(J117="","Ask GST status (readiness R2)","Escalate to founder: orders need verified GSTIN in current code — no tax advice")))</f>
        <v/>
      </c>
      <c r="AG117">
        <f>IF(AND(G117&lt;&gt;"",L117&lt;&gt;""),L117-G117,"")</f>
        <v/>
      </c>
      <c r="AH117">
        <f>IF(AND(L117&lt;&gt;"",N117&lt;&gt;""),N117-L117,"")</f>
        <v/>
      </c>
      <c r="AI117">
        <f>IF(AND(N117&lt;&gt;"",AA117&lt;&gt;""),AA117-N117,"")</f>
        <v/>
      </c>
      <c r="AJ117">
        <f>IF(AND(L117&lt;&gt;"",N117&lt;&gt;"",Q117&lt;&gt;""),"Qualifies (if FP-QUAL adopted)","")</f>
        <v/>
      </c>
    </row>
    <row r="118">
      <c r="G118" s="9" t="n"/>
      <c r="H118" s="9" t="n"/>
      <c r="K118" s="9" t="n"/>
      <c r="L118" s="9" t="n"/>
      <c r="M118" s="9" t="n"/>
      <c r="N118" s="9" t="n"/>
      <c r="O118" s="9" t="n"/>
      <c r="Q118" s="9" t="n"/>
      <c r="R118" s="9" t="n"/>
      <c r="W118" s="9" t="n"/>
      <c r="X118" s="9" t="n"/>
      <c r="Z118">
        <f>IF(A118="","",IF(AND(N118&lt;&gt;"",O118&lt;&gt;"",Q118&lt;&gt;"",R118&lt;&gt;"",S118="Y"),"YES","no"))</f>
        <v/>
      </c>
      <c r="AA118" s="9">
        <f>IF(Z118="YES",MAX(N118,O118,Q118,R118),"")</f>
        <v/>
      </c>
      <c r="AB118">
        <f>IF(A118="","",IF(X118&lt;&gt;"","13 Repeat activity",IF(W118&lt;&gt;"","12 First enquiry/order/booking",IF(Z118="YES","11 ACTIVATED",IF(Q118&lt;&gt;"","10 First listing live",IF(O118&lt;&gt;"","9 Profile completed",IF(N118&lt;&gt;"","8 Approved",IF(M118&lt;&gt;"","7 KYC submitted",IF(L118&lt;&gt;"","6 Registration completed",IF(K118&lt;&gt;"","5b Registration started",IF(H118&lt;&gt;"","5a Information sent",IF(G118&lt;&gt;"","5 Interested","—"))))))))))))</f>
        <v/>
      </c>
      <c r="AC118" s="10">
        <f>IF(A118="","",(COUNT(G118,H118,K118,L118,M118,N118,O118,Q118,R118)+(I118="Y")+(P118="Y")+(S118="Y"))/12)</f>
        <v/>
      </c>
      <c r="AD118">
        <f>IF(OR(A118="",COUNT(G118:X118)=0),"",TODAY()-MAX(G118,H118,K118,L118,M118,N118,O118,Q118,R118,W118,X118))</f>
        <v/>
      </c>
      <c r="AE118">
        <f>IF(A118="","",IF(AND(Z118&lt;&gt;"YES",AD118&lt;&gt;"",AD118&gt;THRESHOLDS!$B$12),"STUCK — act today",""))</f>
        <v/>
      </c>
      <c r="AF118">
        <f>IF(A118="","",IF(J118="Active (verified)","",IF(J118="","Ask GST status (readiness R2)","Escalate to founder: orders need verified GSTIN in current code — no tax advice")))</f>
        <v/>
      </c>
      <c r="AG118">
        <f>IF(AND(G118&lt;&gt;"",L118&lt;&gt;""),L118-G118,"")</f>
        <v/>
      </c>
      <c r="AH118">
        <f>IF(AND(L118&lt;&gt;"",N118&lt;&gt;""),N118-L118,"")</f>
        <v/>
      </c>
      <c r="AI118">
        <f>IF(AND(N118&lt;&gt;"",AA118&lt;&gt;""),AA118-N118,"")</f>
        <v/>
      </c>
      <c r="AJ118">
        <f>IF(AND(L118&lt;&gt;"",N118&lt;&gt;"",Q118&lt;&gt;""),"Qualifies (if FP-QUAL adopted)","")</f>
        <v/>
      </c>
    </row>
    <row r="119">
      <c r="G119" s="9" t="n"/>
      <c r="H119" s="9" t="n"/>
      <c r="K119" s="9" t="n"/>
      <c r="L119" s="9" t="n"/>
      <c r="M119" s="9" t="n"/>
      <c r="N119" s="9" t="n"/>
      <c r="O119" s="9" t="n"/>
      <c r="Q119" s="9" t="n"/>
      <c r="R119" s="9" t="n"/>
      <c r="W119" s="9" t="n"/>
      <c r="X119" s="9" t="n"/>
      <c r="Z119">
        <f>IF(A119="","",IF(AND(N119&lt;&gt;"",O119&lt;&gt;"",Q119&lt;&gt;"",R119&lt;&gt;"",S119="Y"),"YES","no"))</f>
        <v/>
      </c>
      <c r="AA119" s="9">
        <f>IF(Z119="YES",MAX(N119,O119,Q119,R119),"")</f>
        <v/>
      </c>
      <c r="AB119">
        <f>IF(A119="","",IF(X119&lt;&gt;"","13 Repeat activity",IF(W119&lt;&gt;"","12 First enquiry/order/booking",IF(Z119="YES","11 ACTIVATED",IF(Q119&lt;&gt;"","10 First listing live",IF(O119&lt;&gt;"","9 Profile completed",IF(N119&lt;&gt;"","8 Approved",IF(M119&lt;&gt;"","7 KYC submitted",IF(L119&lt;&gt;"","6 Registration completed",IF(K119&lt;&gt;"","5b Registration started",IF(H119&lt;&gt;"","5a Information sent",IF(G119&lt;&gt;"","5 Interested","—"))))))))))))</f>
        <v/>
      </c>
      <c r="AC119" s="10">
        <f>IF(A119="","",(COUNT(G119,H119,K119,L119,M119,N119,O119,Q119,R119)+(I119="Y")+(P119="Y")+(S119="Y"))/12)</f>
        <v/>
      </c>
      <c r="AD119">
        <f>IF(OR(A119="",COUNT(G119:X119)=0),"",TODAY()-MAX(G119,H119,K119,L119,M119,N119,O119,Q119,R119,W119,X119))</f>
        <v/>
      </c>
      <c r="AE119">
        <f>IF(A119="","",IF(AND(Z119&lt;&gt;"YES",AD119&lt;&gt;"",AD119&gt;THRESHOLDS!$B$12),"STUCK — act today",""))</f>
        <v/>
      </c>
      <c r="AF119">
        <f>IF(A119="","",IF(J119="Active (verified)","",IF(J119="","Ask GST status (readiness R2)","Escalate to founder: orders need verified GSTIN in current code — no tax advice")))</f>
        <v/>
      </c>
      <c r="AG119">
        <f>IF(AND(G119&lt;&gt;"",L119&lt;&gt;""),L119-G119,"")</f>
        <v/>
      </c>
      <c r="AH119">
        <f>IF(AND(L119&lt;&gt;"",N119&lt;&gt;""),N119-L119,"")</f>
        <v/>
      </c>
      <c r="AI119">
        <f>IF(AND(N119&lt;&gt;"",AA119&lt;&gt;""),AA119-N119,"")</f>
        <v/>
      </c>
      <c r="AJ119">
        <f>IF(AND(L119&lt;&gt;"",N119&lt;&gt;"",Q119&lt;&gt;""),"Qualifies (if FP-QUAL adopted)","")</f>
        <v/>
      </c>
    </row>
    <row r="120">
      <c r="G120" s="9" t="n"/>
      <c r="H120" s="9" t="n"/>
      <c r="K120" s="9" t="n"/>
      <c r="L120" s="9" t="n"/>
      <c r="M120" s="9" t="n"/>
      <c r="N120" s="9" t="n"/>
      <c r="O120" s="9" t="n"/>
      <c r="Q120" s="9" t="n"/>
      <c r="R120" s="9" t="n"/>
      <c r="W120" s="9" t="n"/>
      <c r="X120" s="9" t="n"/>
      <c r="Z120">
        <f>IF(A120="","",IF(AND(N120&lt;&gt;"",O120&lt;&gt;"",Q120&lt;&gt;"",R120&lt;&gt;"",S120="Y"),"YES","no"))</f>
        <v/>
      </c>
      <c r="AA120" s="9">
        <f>IF(Z120="YES",MAX(N120,O120,Q120,R120),"")</f>
        <v/>
      </c>
      <c r="AB120">
        <f>IF(A120="","",IF(X120&lt;&gt;"","13 Repeat activity",IF(W120&lt;&gt;"","12 First enquiry/order/booking",IF(Z120="YES","11 ACTIVATED",IF(Q120&lt;&gt;"","10 First listing live",IF(O120&lt;&gt;"","9 Profile completed",IF(N120&lt;&gt;"","8 Approved",IF(M120&lt;&gt;"","7 KYC submitted",IF(L120&lt;&gt;"","6 Registration completed",IF(K120&lt;&gt;"","5b Registration started",IF(H120&lt;&gt;"","5a Information sent",IF(G120&lt;&gt;"","5 Interested","—"))))))))))))</f>
        <v/>
      </c>
      <c r="AC120" s="10">
        <f>IF(A120="","",(COUNT(G120,H120,K120,L120,M120,N120,O120,Q120,R120)+(I120="Y")+(P120="Y")+(S120="Y"))/12)</f>
        <v/>
      </c>
      <c r="AD120">
        <f>IF(OR(A120="",COUNT(G120:X120)=0),"",TODAY()-MAX(G120,H120,K120,L120,M120,N120,O120,Q120,R120,W120,X120))</f>
        <v/>
      </c>
      <c r="AE120">
        <f>IF(A120="","",IF(AND(Z120&lt;&gt;"YES",AD120&lt;&gt;"",AD120&gt;THRESHOLDS!$B$12),"STUCK — act today",""))</f>
        <v/>
      </c>
      <c r="AF120">
        <f>IF(A120="","",IF(J120="Active (verified)","",IF(J120="","Ask GST status (readiness R2)","Escalate to founder: orders need verified GSTIN in current code — no tax advice")))</f>
        <v/>
      </c>
      <c r="AG120">
        <f>IF(AND(G120&lt;&gt;"",L120&lt;&gt;""),L120-G120,"")</f>
        <v/>
      </c>
      <c r="AH120">
        <f>IF(AND(L120&lt;&gt;"",N120&lt;&gt;""),N120-L120,"")</f>
        <v/>
      </c>
      <c r="AI120">
        <f>IF(AND(N120&lt;&gt;"",AA120&lt;&gt;""),AA120-N120,"")</f>
        <v/>
      </c>
      <c r="AJ120">
        <f>IF(AND(L120&lt;&gt;"",N120&lt;&gt;"",Q120&lt;&gt;""),"Qualifies (if FP-QUAL adopted)","")</f>
        <v/>
      </c>
    </row>
    <row r="121">
      <c r="G121" s="9" t="n"/>
      <c r="H121" s="9" t="n"/>
      <c r="K121" s="9" t="n"/>
      <c r="L121" s="9" t="n"/>
      <c r="M121" s="9" t="n"/>
      <c r="N121" s="9" t="n"/>
      <c r="O121" s="9" t="n"/>
      <c r="Q121" s="9" t="n"/>
      <c r="R121" s="9" t="n"/>
      <c r="W121" s="9" t="n"/>
      <c r="X121" s="9" t="n"/>
      <c r="Z121">
        <f>IF(A121="","",IF(AND(N121&lt;&gt;"",O121&lt;&gt;"",Q121&lt;&gt;"",R121&lt;&gt;"",S121="Y"),"YES","no"))</f>
        <v/>
      </c>
      <c r="AA121" s="9">
        <f>IF(Z121="YES",MAX(N121,O121,Q121,R121),"")</f>
        <v/>
      </c>
      <c r="AB121">
        <f>IF(A121="","",IF(X121&lt;&gt;"","13 Repeat activity",IF(W121&lt;&gt;"","12 First enquiry/order/booking",IF(Z121="YES","11 ACTIVATED",IF(Q121&lt;&gt;"","10 First listing live",IF(O121&lt;&gt;"","9 Profile completed",IF(N121&lt;&gt;"","8 Approved",IF(M121&lt;&gt;"","7 KYC submitted",IF(L121&lt;&gt;"","6 Registration completed",IF(K121&lt;&gt;"","5b Registration started",IF(H121&lt;&gt;"","5a Information sent",IF(G121&lt;&gt;"","5 Interested","—"))))))))))))</f>
        <v/>
      </c>
      <c r="AC121" s="10">
        <f>IF(A121="","",(COUNT(G121,H121,K121,L121,M121,N121,O121,Q121,R121)+(I121="Y")+(P121="Y")+(S121="Y"))/12)</f>
        <v/>
      </c>
      <c r="AD121">
        <f>IF(OR(A121="",COUNT(G121:X121)=0),"",TODAY()-MAX(G121,H121,K121,L121,M121,N121,O121,Q121,R121,W121,X121))</f>
        <v/>
      </c>
      <c r="AE121">
        <f>IF(A121="","",IF(AND(Z121&lt;&gt;"YES",AD121&lt;&gt;"",AD121&gt;THRESHOLDS!$B$12),"STUCK — act today",""))</f>
        <v/>
      </c>
      <c r="AF121">
        <f>IF(A121="","",IF(J121="Active (verified)","",IF(J121="","Ask GST status (readiness R2)","Escalate to founder: orders need verified GSTIN in current code — no tax advice")))</f>
        <v/>
      </c>
      <c r="AG121">
        <f>IF(AND(G121&lt;&gt;"",L121&lt;&gt;""),L121-G121,"")</f>
        <v/>
      </c>
      <c r="AH121">
        <f>IF(AND(L121&lt;&gt;"",N121&lt;&gt;""),N121-L121,"")</f>
        <v/>
      </c>
      <c r="AI121">
        <f>IF(AND(N121&lt;&gt;"",AA121&lt;&gt;""),AA121-N121,"")</f>
        <v/>
      </c>
      <c r="AJ121">
        <f>IF(AND(L121&lt;&gt;"",N121&lt;&gt;"",Q121&lt;&gt;""),"Qualifies (if FP-QUAL adopted)","")</f>
        <v/>
      </c>
    </row>
    <row r="122">
      <c r="G122" s="9" t="n"/>
      <c r="H122" s="9" t="n"/>
      <c r="K122" s="9" t="n"/>
      <c r="L122" s="9" t="n"/>
      <c r="M122" s="9" t="n"/>
      <c r="N122" s="9" t="n"/>
      <c r="O122" s="9" t="n"/>
      <c r="Q122" s="9" t="n"/>
      <c r="R122" s="9" t="n"/>
      <c r="W122" s="9" t="n"/>
      <c r="X122" s="9" t="n"/>
      <c r="Z122">
        <f>IF(A122="","",IF(AND(N122&lt;&gt;"",O122&lt;&gt;"",Q122&lt;&gt;"",R122&lt;&gt;"",S122="Y"),"YES","no"))</f>
        <v/>
      </c>
      <c r="AA122" s="9">
        <f>IF(Z122="YES",MAX(N122,O122,Q122,R122),"")</f>
        <v/>
      </c>
      <c r="AB122">
        <f>IF(A122="","",IF(X122&lt;&gt;"","13 Repeat activity",IF(W122&lt;&gt;"","12 First enquiry/order/booking",IF(Z122="YES","11 ACTIVATED",IF(Q122&lt;&gt;"","10 First listing live",IF(O122&lt;&gt;"","9 Profile completed",IF(N122&lt;&gt;"","8 Approved",IF(M122&lt;&gt;"","7 KYC submitted",IF(L122&lt;&gt;"","6 Registration completed",IF(K122&lt;&gt;"","5b Registration started",IF(H122&lt;&gt;"","5a Information sent",IF(G122&lt;&gt;"","5 Interested","—"))))))))))))</f>
        <v/>
      </c>
      <c r="AC122" s="10">
        <f>IF(A122="","",(COUNT(G122,H122,K122,L122,M122,N122,O122,Q122,R122)+(I122="Y")+(P122="Y")+(S122="Y"))/12)</f>
        <v/>
      </c>
      <c r="AD122">
        <f>IF(OR(A122="",COUNT(G122:X122)=0),"",TODAY()-MAX(G122,H122,K122,L122,M122,N122,O122,Q122,R122,W122,X122))</f>
        <v/>
      </c>
      <c r="AE122">
        <f>IF(A122="","",IF(AND(Z122&lt;&gt;"YES",AD122&lt;&gt;"",AD122&gt;THRESHOLDS!$B$12),"STUCK — act today",""))</f>
        <v/>
      </c>
      <c r="AF122">
        <f>IF(A122="","",IF(J122="Active (verified)","",IF(J122="","Ask GST status (readiness R2)","Escalate to founder: orders need verified GSTIN in current code — no tax advice")))</f>
        <v/>
      </c>
      <c r="AG122">
        <f>IF(AND(G122&lt;&gt;"",L122&lt;&gt;""),L122-G122,"")</f>
        <v/>
      </c>
      <c r="AH122">
        <f>IF(AND(L122&lt;&gt;"",N122&lt;&gt;""),N122-L122,"")</f>
        <v/>
      </c>
      <c r="AI122">
        <f>IF(AND(N122&lt;&gt;"",AA122&lt;&gt;""),AA122-N122,"")</f>
        <v/>
      </c>
      <c r="AJ122">
        <f>IF(AND(L122&lt;&gt;"",N122&lt;&gt;"",Q122&lt;&gt;""),"Qualifies (if FP-QUAL adopted)","")</f>
        <v/>
      </c>
    </row>
    <row r="123">
      <c r="G123" s="9" t="n"/>
      <c r="H123" s="9" t="n"/>
      <c r="K123" s="9" t="n"/>
      <c r="L123" s="9" t="n"/>
      <c r="M123" s="9" t="n"/>
      <c r="N123" s="9" t="n"/>
      <c r="O123" s="9" t="n"/>
      <c r="Q123" s="9" t="n"/>
      <c r="R123" s="9" t="n"/>
      <c r="W123" s="9" t="n"/>
      <c r="X123" s="9" t="n"/>
      <c r="Z123">
        <f>IF(A123="","",IF(AND(N123&lt;&gt;"",O123&lt;&gt;"",Q123&lt;&gt;"",R123&lt;&gt;"",S123="Y"),"YES","no"))</f>
        <v/>
      </c>
      <c r="AA123" s="9">
        <f>IF(Z123="YES",MAX(N123,O123,Q123,R123),"")</f>
        <v/>
      </c>
      <c r="AB123">
        <f>IF(A123="","",IF(X123&lt;&gt;"","13 Repeat activity",IF(W123&lt;&gt;"","12 First enquiry/order/booking",IF(Z123="YES","11 ACTIVATED",IF(Q123&lt;&gt;"","10 First listing live",IF(O123&lt;&gt;"","9 Profile completed",IF(N123&lt;&gt;"","8 Approved",IF(M123&lt;&gt;"","7 KYC submitted",IF(L123&lt;&gt;"","6 Registration completed",IF(K123&lt;&gt;"","5b Registration started",IF(H123&lt;&gt;"","5a Information sent",IF(G123&lt;&gt;"","5 Interested","—"))))))))))))</f>
        <v/>
      </c>
      <c r="AC123" s="10">
        <f>IF(A123="","",(COUNT(G123,H123,K123,L123,M123,N123,O123,Q123,R123)+(I123="Y")+(P123="Y")+(S123="Y"))/12)</f>
        <v/>
      </c>
      <c r="AD123">
        <f>IF(OR(A123="",COUNT(G123:X123)=0),"",TODAY()-MAX(G123,H123,K123,L123,M123,N123,O123,Q123,R123,W123,X123))</f>
        <v/>
      </c>
      <c r="AE123">
        <f>IF(A123="","",IF(AND(Z123&lt;&gt;"YES",AD123&lt;&gt;"",AD123&gt;THRESHOLDS!$B$12),"STUCK — act today",""))</f>
        <v/>
      </c>
      <c r="AF123">
        <f>IF(A123="","",IF(J123="Active (verified)","",IF(J123="","Ask GST status (readiness R2)","Escalate to founder: orders need verified GSTIN in current code — no tax advice")))</f>
        <v/>
      </c>
      <c r="AG123">
        <f>IF(AND(G123&lt;&gt;"",L123&lt;&gt;""),L123-G123,"")</f>
        <v/>
      </c>
      <c r="AH123">
        <f>IF(AND(L123&lt;&gt;"",N123&lt;&gt;""),N123-L123,"")</f>
        <v/>
      </c>
      <c r="AI123">
        <f>IF(AND(N123&lt;&gt;"",AA123&lt;&gt;""),AA123-N123,"")</f>
        <v/>
      </c>
      <c r="AJ123">
        <f>IF(AND(L123&lt;&gt;"",N123&lt;&gt;"",Q123&lt;&gt;""),"Qualifies (if FP-QUAL adopted)","")</f>
        <v/>
      </c>
    </row>
    <row r="124">
      <c r="G124" s="9" t="n"/>
      <c r="H124" s="9" t="n"/>
      <c r="K124" s="9" t="n"/>
      <c r="L124" s="9" t="n"/>
      <c r="M124" s="9" t="n"/>
      <c r="N124" s="9" t="n"/>
      <c r="O124" s="9" t="n"/>
      <c r="Q124" s="9" t="n"/>
      <c r="R124" s="9" t="n"/>
      <c r="W124" s="9" t="n"/>
      <c r="X124" s="9" t="n"/>
      <c r="Z124">
        <f>IF(A124="","",IF(AND(N124&lt;&gt;"",O124&lt;&gt;"",Q124&lt;&gt;"",R124&lt;&gt;"",S124="Y"),"YES","no"))</f>
        <v/>
      </c>
      <c r="AA124" s="9">
        <f>IF(Z124="YES",MAX(N124,O124,Q124,R124),"")</f>
        <v/>
      </c>
      <c r="AB124">
        <f>IF(A124="","",IF(X124&lt;&gt;"","13 Repeat activity",IF(W124&lt;&gt;"","12 First enquiry/order/booking",IF(Z124="YES","11 ACTIVATED",IF(Q124&lt;&gt;"","10 First listing live",IF(O124&lt;&gt;"","9 Profile completed",IF(N124&lt;&gt;"","8 Approved",IF(M124&lt;&gt;"","7 KYC submitted",IF(L124&lt;&gt;"","6 Registration completed",IF(K124&lt;&gt;"","5b Registration started",IF(H124&lt;&gt;"","5a Information sent",IF(G124&lt;&gt;"","5 Interested","—"))))))))))))</f>
        <v/>
      </c>
      <c r="AC124" s="10">
        <f>IF(A124="","",(COUNT(G124,H124,K124,L124,M124,N124,O124,Q124,R124)+(I124="Y")+(P124="Y")+(S124="Y"))/12)</f>
        <v/>
      </c>
      <c r="AD124">
        <f>IF(OR(A124="",COUNT(G124:X124)=0),"",TODAY()-MAX(G124,H124,K124,L124,M124,N124,O124,Q124,R124,W124,X124))</f>
        <v/>
      </c>
      <c r="AE124">
        <f>IF(A124="","",IF(AND(Z124&lt;&gt;"YES",AD124&lt;&gt;"",AD124&gt;THRESHOLDS!$B$12),"STUCK — act today",""))</f>
        <v/>
      </c>
      <c r="AF124">
        <f>IF(A124="","",IF(J124="Active (verified)","",IF(J124="","Ask GST status (readiness R2)","Escalate to founder: orders need verified GSTIN in current code — no tax advice")))</f>
        <v/>
      </c>
      <c r="AG124">
        <f>IF(AND(G124&lt;&gt;"",L124&lt;&gt;""),L124-G124,"")</f>
        <v/>
      </c>
      <c r="AH124">
        <f>IF(AND(L124&lt;&gt;"",N124&lt;&gt;""),N124-L124,"")</f>
        <v/>
      </c>
      <c r="AI124">
        <f>IF(AND(N124&lt;&gt;"",AA124&lt;&gt;""),AA124-N124,"")</f>
        <v/>
      </c>
      <c r="AJ124">
        <f>IF(AND(L124&lt;&gt;"",N124&lt;&gt;"",Q124&lt;&gt;""),"Qualifies (if FP-QUAL adopted)","")</f>
        <v/>
      </c>
    </row>
    <row r="125">
      <c r="G125" s="9" t="n"/>
      <c r="H125" s="9" t="n"/>
      <c r="K125" s="9" t="n"/>
      <c r="L125" s="9" t="n"/>
      <c r="M125" s="9" t="n"/>
      <c r="N125" s="9" t="n"/>
      <c r="O125" s="9" t="n"/>
      <c r="Q125" s="9" t="n"/>
      <c r="R125" s="9" t="n"/>
      <c r="W125" s="9" t="n"/>
      <c r="X125" s="9" t="n"/>
      <c r="Z125">
        <f>IF(A125="","",IF(AND(N125&lt;&gt;"",O125&lt;&gt;"",Q125&lt;&gt;"",R125&lt;&gt;"",S125="Y"),"YES","no"))</f>
        <v/>
      </c>
      <c r="AA125" s="9">
        <f>IF(Z125="YES",MAX(N125,O125,Q125,R125),"")</f>
        <v/>
      </c>
      <c r="AB125">
        <f>IF(A125="","",IF(X125&lt;&gt;"","13 Repeat activity",IF(W125&lt;&gt;"","12 First enquiry/order/booking",IF(Z125="YES","11 ACTIVATED",IF(Q125&lt;&gt;"","10 First listing live",IF(O125&lt;&gt;"","9 Profile completed",IF(N125&lt;&gt;"","8 Approved",IF(M125&lt;&gt;"","7 KYC submitted",IF(L125&lt;&gt;"","6 Registration completed",IF(K125&lt;&gt;"","5b Registration started",IF(H125&lt;&gt;"","5a Information sent",IF(G125&lt;&gt;"","5 Interested","—"))))))))))))</f>
        <v/>
      </c>
      <c r="AC125" s="10">
        <f>IF(A125="","",(COUNT(G125,H125,K125,L125,M125,N125,O125,Q125,R125)+(I125="Y")+(P125="Y")+(S125="Y"))/12)</f>
        <v/>
      </c>
      <c r="AD125">
        <f>IF(OR(A125="",COUNT(G125:X125)=0),"",TODAY()-MAX(G125,H125,K125,L125,M125,N125,O125,Q125,R125,W125,X125))</f>
        <v/>
      </c>
      <c r="AE125">
        <f>IF(A125="","",IF(AND(Z125&lt;&gt;"YES",AD125&lt;&gt;"",AD125&gt;THRESHOLDS!$B$12),"STUCK — act today",""))</f>
        <v/>
      </c>
      <c r="AF125">
        <f>IF(A125="","",IF(J125="Active (verified)","",IF(J125="","Ask GST status (readiness R2)","Escalate to founder: orders need verified GSTIN in current code — no tax advice")))</f>
        <v/>
      </c>
      <c r="AG125">
        <f>IF(AND(G125&lt;&gt;"",L125&lt;&gt;""),L125-G125,"")</f>
        <v/>
      </c>
      <c r="AH125">
        <f>IF(AND(L125&lt;&gt;"",N125&lt;&gt;""),N125-L125,"")</f>
        <v/>
      </c>
      <c r="AI125">
        <f>IF(AND(N125&lt;&gt;"",AA125&lt;&gt;""),AA125-N125,"")</f>
        <v/>
      </c>
      <c r="AJ125">
        <f>IF(AND(L125&lt;&gt;"",N125&lt;&gt;"",Q125&lt;&gt;""),"Qualifies (if FP-QUAL adopted)","")</f>
        <v/>
      </c>
    </row>
    <row r="126">
      <c r="G126" s="9" t="n"/>
      <c r="H126" s="9" t="n"/>
      <c r="K126" s="9" t="n"/>
      <c r="L126" s="9" t="n"/>
      <c r="M126" s="9" t="n"/>
      <c r="N126" s="9" t="n"/>
      <c r="O126" s="9" t="n"/>
      <c r="Q126" s="9" t="n"/>
      <c r="R126" s="9" t="n"/>
      <c r="W126" s="9" t="n"/>
      <c r="X126" s="9" t="n"/>
      <c r="Z126">
        <f>IF(A126="","",IF(AND(N126&lt;&gt;"",O126&lt;&gt;"",Q126&lt;&gt;"",R126&lt;&gt;"",S126="Y"),"YES","no"))</f>
        <v/>
      </c>
      <c r="AA126" s="9">
        <f>IF(Z126="YES",MAX(N126,O126,Q126,R126),"")</f>
        <v/>
      </c>
      <c r="AB126">
        <f>IF(A126="","",IF(X126&lt;&gt;"","13 Repeat activity",IF(W126&lt;&gt;"","12 First enquiry/order/booking",IF(Z126="YES","11 ACTIVATED",IF(Q126&lt;&gt;"","10 First listing live",IF(O126&lt;&gt;"","9 Profile completed",IF(N126&lt;&gt;"","8 Approved",IF(M126&lt;&gt;"","7 KYC submitted",IF(L126&lt;&gt;"","6 Registration completed",IF(K126&lt;&gt;"","5b Registration started",IF(H126&lt;&gt;"","5a Information sent",IF(G126&lt;&gt;"","5 Interested","—"))))))))))))</f>
        <v/>
      </c>
      <c r="AC126" s="10">
        <f>IF(A126="","",(COUNT(G126,H126,K126,L126,M126,N126,O126,Q126,R126)+(I126="Y")+(P126="Y")+(S126="Y"))/12)</f>
        <v/>
      </c>
      <c r="AD126">
        <f>IF(OR(A126="",COUNT(G126:X126)=0),"",TODAY()-MAX(G126,H126,K126,L126,M126,N126,O126,Q126,R126,W126,X126))</f>
        <v/>
      </c>
      <c r="AE126">
        <f>IF(A126="","",IF(AND(Z126&lt;&gt;"YES",AD126&lt;&gt;"",AD126&gt;THRESHOLDS!$B$12),"STUCK — act today",""))</f>
        <v/>
      </c>
      <c r="AF126">
        <f>IF(A126="","",IF(J126="Active (verified)","",IF(J126="","Ask GST status (readiness R2)","Escalate to founder: orders need verified GSTIN in current code — no tax advice")))</f>
        <v/>
      </c>
      <c r="AG126">
        <f>IF(AND(G126&lt;&gt;"",L126&lt;&gt;""),L126-G126,"")</f>
        <v/>
      </c>
      <c r="AH126">
        <f>IF(AND(L126&lt;&gt;"",N126&lt;&gt;""),N126-L126,"")</f>
        <v/>
      </c>
      <c r="AI126">
        <f>IF(AND(N126&lt;&gt;"",AA126&lt;&gt;""),AA126-N126,"")</f>
        <v/>
      </c>
      <c r="AJ126">
        <f>IF(AND(L126&lt;&gt;"",N126&lt;&gt;"",Q126&lt;&gt;""),"Qualifies (if FP-QUAL adopted)","")</f>
        <v/>
      </c>
    </row>
    <row r="127">
      <c r="G127" s="9" t="n"/>
      <c r="H127" s="9" t="n"/>
      <c r="K127" s="9" t="n"/>
      <c r="L127" s="9" t="n"/>
      <c r="M127" s="9" t="n"/>
      <c r="N127" s="9" t="n"/>
      <c r="O127" s="9" t="n"/>
      <c r="Q127" s="9" t="n"/>
      <c r="R127" s="9" t="n"/>
      <c r="W127" s="9" t="n"/>
      <c r="X127" s="9" t="n"/>
      <c r="Z127">
        <f>IF(A127="","",IF(AND(N127&lt;&gt;"",O127&lt;&gt;"",Q127&lt;&gt;"",R127&lt;&gt;"",S127="Y"),"YES","no"))</f>
        <v/>
      </c>
      <c r="AA127" s="9">
        <f>IF(Z127="YES",MAX(N127,O127,Q127,R127),"")</f>
        <v/>
      </c>
      <c r="AB127">
        <f>IF(A127="","",IF(X127&lt;&gt;"","13 Repeat activity",IF(W127&lt;&gt;"","12 First enquiry/order/booking",IF(Z127="YES","11 ACTIVATED",IF(Q127&lt;&gt;"","10 First listing live",IF(O127&lt;&gt;"","9 Profile completed",IF(N127&lt;&gt;"","8 Approved",IF(M127&lt;&gt;"","7 KYC submitted",IF(L127&lt;&gt;"","6 Registration completed",IF(K127&lt;&gt;"","5b Registration started",IF(H127&lt;&gt;"","5a Information sent",IF(G127&lt;&gt;"","5 Interested","—"))))))))))))</f>
        <v/>
      </c>
      <c r="AC127" s="10">
        <f>IF(A127="","",(COUNT(G127,H127,K127,L127,M127,N127,O127,Q127,R127)+(I127="Y")+(P127="Y")+(S127="Y"))/12)</f>
        <v/>
      </c>
      <c r="AD127">
        <f>IF(OR(A127="",COUNT(G127:X127)=0),"",TODAY()-MAX(G127,H127,K127,L127,M127,N127,O127,Q127,R127,W127,X127))</f>
        <v/>
      </c>
      <c r="AE127">
        <f>IF(A127="","",IF(AND(Z127&lt;&gt;"YES",AD127&lt;&gt;"",AD127&gt;THRESHOLDS!$B$12),"STUCK — act today",""))</f>
        <v/>
      </c>
      <c r="AF127">
        <f>IF(A127="","",IF(J127="Active (verified)","",IF(J127="","Ask GST status (readiness R2)","Escalate to founder: orders need verified GSTIN in current code — no tax advice")))</f>
        <v/>
      </c>
      <c r="AG127">
        <f>IF(AND(G127&lt;&gt;"",L127&lt;&gt;""),L127-G127,"")</f>
        <v/>
      </c>
      <c r="AH127">
        <f>IF(AND(L127&lt;&gt;"",N127&lt;&gt;""),N127-L127,"")</f>
        <v/>
      </c>
      <c r="AI127">
        <f>IF(AND(N127&lt;&gt;"",AA127&lt;&gt;""),AA127-N127,"")</f>
        <v/>
      </c>
      <c r="AJ127">
        <f>IF(AND(L127&lt;&gt;"",N127&lt;&gt;"",Q127&lt;&gt;""),"Qualifies (if FP-QUAL adopted)","")</f>
        <v/>
      </c>
    </row>
    <row r="128">
      <c r="G128" s="9" t="n"/>
      <c r="H128" s="9" t="n"/>
      <c r="K128" s="9" t="n"/>
      <c r="L128" s="9" t="n"/>
      <c r="M128" s="9" t="n"/>
      <c r="N128" s="9" t="n"/>
      <c r="O128" s="9" t="n"/>
      <c r="Q128" s="9" t="n"/>
      <c r="R128" s="9" t="n"/>
      <c r="W128" s="9" t="n"/>
      <c r="X128" s="9" t="n"/>
      <c r="Z128">
        <f>IF(A128="","",IF(AND(N128&lt;&gt;"",O128&lt;&gt;"",Q128&lt;&gt;"",R128&lt;&gt;"",S128="Y"),"YES","no"))</f>
        <v/>
      </c>
      <c r="AA128" s="9">
        <f>IF(Z128="YES",MAX(N128,O128,Q128,R128),"")</f>
        <v/>
      </c>
      <c r="AB128">
        <f>IF(A128="","",IF(X128&lt;&gt;"","13 Repeat activity",IF(W128&lt;&gt;"","12 First enquiry/order/booking",IF(Z128="YES","11 ACTIVATED",IF(Q128&lt;&gt;"","10 First listing live",IF(O128&lt;&gt;"","9 Profile completed",IF(N128&lt;&gt;"","8 Approved",IF(M128&lt;&gt;"","7 KYC submitted",IF(L128&lt;&gt;"","6 Registration completed",IF(K128&lt;&gt;"","5b Registration started",IF(H128&lt;&gt;"","5a Information sent",IF(G128&lt;&gt;"","5 Interested","—"))))))))))))</f>
        <v/>
      </c>
      <c r="AC128" s="10">
        <f>IF(A128="","",(COUNT(G128,H128,K128,L128,M128,N128,O128,Q128,R128)+(I128="Y")+(P128="Y")+(S128="Y"))/12)</f>
        <v/>
      </c>
      <c r="AD128">
        <f>IF(OR(A128="",COUNT(G128:X128)=0),"",TODAY()-MAX(G128,H128,K128,L128,M128,N128,O128,Q128,R128,W128,X128))</f>
        <v/>
      </c>
      <c r="AE128">
        <f>IF(A128="","",IF(AND(Z128&lt;&gt;"YES",AD128&lt;&gt;"",AD128&gt;THRESHOLDS!$B$12),"STUCK — act today",""))</f>
        <v/>
      </c>
      <c r="AF128">
        <f>IF(A128="","",IF(J128="Active (verified)","",IF(J128="","Ask GST status (readiness R2)","Escalate to founder: orders need verified GSTIN in current code — no tax advice")))</f>
        <v/>
      </c>
      <c r="AG128">
        <f>IF(AND(G128&lt;&gt;"",L128&lt;&gt;""),L128-G128,"")</f>
        <v/>
      </c>
      <c r="AH128">
        <f>IF(AND(L128&lt;&gt;"",N128&lt;&gt;""),N128-L128,"")</f>
        <v/>
      </c>
      <c r="AI128">
        <f>IF(AND(N128&lt;&gt;"",AA128&lt;&gt;""),AA128-N128,"")</f>
        <v/>
      </c>
      <c r="AJ128">
        <f>IF(AND(L128&lt;&gt;"",N128&lt;&gt;"",Q128&lt;&gt;""),"Qualifies (if FP-QUAL adopted)","")</f>
        <v/>
      </c>
    </row>
    <row r="129">
      <c r="G129" s="9" t="n"/>
      <c r="H129" s="9" t="n"/>
      <c r="K129" s="9" t="n"/>
      <c r="L129" s="9" t="n"/>
      <c r="M129" s="9" t="n"/>
      <c r="N129" s="9" t="n"/>
      <c r="O129" s="9" t="n"/>
      <c r="Q129" s="9" t="n"/>
      <c r="R129" s="9" t="n"/>
      <c r="W129" s="9" t="n"/>
      <c r="X129" s="9" t="n"/>
      <c r="Z129">
        <f>IF(A129="","",IF(AND(N129&lt;&gt;"",O129&lt;&gt;"",Q129&lt;&gt;"",R129&lt;&gt;"",S129="Y"),"YES","no"))</f>
        <v/>
      </c>
      <c r="AA129" s="9">
        <f>IF(Z129="YES",MAX(N129,O129,Q129,R129),"")</f>
        <v/>
      </c>
      <c r="AB129">
        <f>IF(A129="","",IF(X129&lt;&gt;"","13 Repeat activity",IF(W129&lt;&gt;"","12 First enquiry/order/booking",IF(Z129="YES","11 ACTIVATED",IF(Q129&lt;&gt;"","10 First listing live",IF(O129&lt;&gt;"","9 Profile completed",IF(N129&lt;&gt;"","8 Approved",IF(M129&lt;&gt;"","7 KYC submitted",IF(L129&lt;&gt;"","6 Registration completed",IF(K129&lt;&gt;"","5b Registration started",IF(H129&lt;&gt;"","5a Information sent",IF(G129&lt;&gt;"","5 Interested","—"))))))))))))</f>
        <v/>
      </c>
      <c r="AC129" s="10">
        <f>IF(A129="","",(COUNT(G129,H129,K129,L129,M129,N129,O129,Q129,R129)+(I129="Y")+(P129="Y")+(S129="Y"))/12)</f>
        <v/>
      </c>
      <c r="AD129">
        <f>IF(OR(A129="",COUNT(G129:X129)=0),"",TODAY()-MAX(G129,H129,K129,L129,M129,N129,O129,Q129,R129,W129,X129))</f>
        <v/>
      </c>
      <c r="AE129">
        <f>IF(A129="","",IF(AND(Z129&lt;&gt;"YES",AD129&lt;&gt;"",AD129&gt;THRESHOLDS!$B$12),"STUCK — act today",""))</f>
        <v/>
      </c>
      <c r="AF129">
        <f>IF(A129="","",IF(J129="Active (verified)","",IF(J129="","Ask GST status (readiness R2)","Escalate to founder: orders need verified GSTIN in current code — no tax advice")))</f>
        <v/>
      </c>
      <c r="AG129">
        <f>IF(AND(G129&lt;&gt;"",L129&lt;&gt;""),L129-G129,"")</f>
        <v/>
      </c>
      <c r="AH129">
        <f>IF(AND(L129&lt;&gt;"",N129&lt;&gt;""),N129-L129,"")</f>
        <v/>
      </c>
      <c r="AI129">
        <f>IF(AND(N129&lt;&gt;"",AA129&lt;&gt;""),AA129-N129,"")</f>
        <v/>
      </c>
      <c r="AJ129">
        <f>IF(AND(L129&lt;&gt;"",N129&lt;&gt;"",Q129&lt;&gt;""),"Qualifies (if FP-QUAL adopted)","")</f>
        <v/>
      </c>
    </row>
    <row r="130">
      <c r="G130" s="9" t="n"/>
      <c r="H130" s="9" t="n"/>
      <c r="K130" s="9" t="n"/>
      <c r="L130" s="9" t="n"/>
      <c r="M130" s="9" t="n"/>
      <c r="N130" s="9" t="n"/>
      <c r="O130" s="9" t="n"/>
      <c r="Q130" s="9" t="n"/>
      <c r="R130" s="9" t="n"/>
      <c r="W130" s="9" t="n"/>
      <c r="X130" s="9" t="n"/>
      <c r="Z130">
        <f>IF(A130="","",IF(AND(N130&lt;&gt;"",O130&lt;&gt;"",Q130&lt;&gt;"",R130&lt;&gt;"",S130="Y"),"YES","no"))</f>
        <v/>
      </c>
      <c r="AA130" s="9">
        <f>IF(Z130="YES",MAX(N130,O130,Q130,R130),"")</f>
        <v/>
      </c>
      <c r="AB130">
        <f>IF(A130="","",IF(X130&lt;&gt;"","13 Repeat activity",IF(W130&lt;&gt;"","12 First enquiry/order/booking",IF(Z130="YES","11 ACTIVATED",IF(Q130&lt;&gt;"","10 First listing live",IF(O130&lt;&gt;"","9 Profile completed",IF(N130&lt;&gt;"","8 Approved",IF(M130&lt;&gt;"","7 KYC submitted",IF(L130&lt;&gt;"","6 Registration completed",IF(K130&lt;&gt;"","5b Registration started",IF(H130&lt;&gt;"","5a Information sent",IF(G130&lt;&gt;"","5 Interested","—"))))))))))))</f>
        <v/>
      </c>
      <c r="AC130" s="10">
        <f>IF(A130="","",(COUNT(G130,H130,K130,L130,M130,N130,O130,Q130,R130)+(I130="Y")+(P130="Y")+(S130="Y"))/12)</f>
        <v/>
      </c>
      <c r="AD130">
        <f>IF(OR(A130="",COUNT(G130:X130)=0),"",TODAY()-MAX(G130,H130,K130,L130,M130,N130,O130,Q130,R130,W130,X130))</f>
        <v/>
      </c>
      <c r="AE130">
        <f>IF(A130="","",IF(AND(Z130&lt;&gt;"YES",AD130&lt;&gt;"",AD130&gt;THRESHOLDS!$B$12),"STUCK — act today",""))</f>
        <v/>
      </c>
      <c r="AF130">
        <f>IF(A130="","",IF(J130="Active (verified)","",IF(J130="","Ask GST status (readiness R2)","Escalate to founder: orders need verified GSTIN in current code — no tax advice")))</f>
        <v/>
      </c>
      <c r="AG130">
        <f>IF(AND(G130&lt;&gt;"",L130&lt;&gt;""),L130-G130,"")</f>
        <v/>
      </c>
      <c r="AH130">
        <f>IF(AND(L130&lt;&gt;"",N130&lt;&gt;""),N130-L130,"")</f>
        <v/>
      </c>
      <c r="AI130">
        <f>IF(AND(N130&lt;&gt;"",AA130&lt;&gt;""),AA130-N130,"")</f>
        <v/>
      </c>
      <c r="AJ130">
        <f>IF(AND(L130&lt;&gt;"",N130&lt;&gt;"",Q130&lt;&gt;""),"Qualifies (if FP-QUAL adopted)","")</f>
        <v/>
      </c>
    </row>
    <row r="131">
      <c r="G131" s="9" t="n"/>
      <c r="H131" s="9" t="n"/>
      <c r="K131" s="9" t="n"/>
      <c r="L131" s="9" t="n"/>
      <c r="M131" s="9" t="n"/>
      <c r="N131" s="9" t="n"/>
      <c r="O131" s="9" t="n"/>
      <c r="Q131" s="9" t="n"/>
      <c r="R131" s="9" t="n"/>
      <c r="W131" s="9" t="n"/>
      <c r="X131" s="9" t="n"/>
      <c r="Z131">
        <f>IF(A131="","",IF(AND(N131&lt;&gt;"",O131&lt;&gt;"",Q131&lt;&gt;"",R131&lt;&gt;"",S131="Y"),"YES","no"))</f>
        <v/>
      </c>
      <c r="AA131" s="9">
        <f>IF(Z131="YES",MAX(N131,O131,Q131,R131),"")</f>
        <v/>
      </c>
      <c r="AB131">
        <f>IF(A131="","",IF(X131&lt;&gt;"","13 Repeat activity",IF(W131&lt;&gt;"","12 First enquiry/order/booking",IF(Z131="YES","11 ACTIVATED",IF(Q131&lt;&gt;"","10 First listing live",IF(O131&lt;&gt;"","9 Profile completed",IF(N131&lt;&gt;"","8 Approved",IF(M131&lt;&gt;"","7 KYC submitted",IF(L131&lt;&gt;"","6 Registration completed",IF(K131&lt;&gt;"","5b Registration started",IF(H131&lt;&gt;"","5a Information sent",IF(G131&lt;&gt;"","5 Interested","—"))))))))))))</f>
        <v/>
      </c>
      <c r="AC131" s="10">
        <f>IF(A131="","",(COUNT(G131,H131,K131,L131,M131,N131,O131,Q131,R131)+(I131="Y")+(P131="Y")+(S131="Y"))/12)</f>
        <v/>
      </c>
      <c r="AD131">
        <f>IF(OR(A131="",COUNT(G131:X131)=0),"",TODAY()-MAX(G131,H131,K131,L131,M131,N131,O131,Q131,R131,W131,X131))</f>
        <v/>
      </c>
      <c r="AE131">
        <f>IF(A131="","",IF(AND(Z131&lt;&gt;"YES",AD131&lt;&gt;"",AD131&gt;THRESHOLDS!$B$12),"STUCK — act today",""))</f>
        <v/>
      </c>
      <c r="AF131">
        <f>IF(A131="","",IF(J131="Active (verified)","",IF(J131="","Ask GST status (readiness R2)","Escalate to founder: orders need verified GSTIN in current code — no tax advice")))</f>
        <v/>
      </c>
      <c r="AG131">
        <f>IF(AND(G131&lt;&gt;"",L131&lt;&gt;""),L131-G131,"")</f>
        <v/>
      </c>
      <c r="AH131">
        <f>IF(AND(L131&lt;&gt;"",N131&lt;&gt;""),N131-L131,"")</f>
        <v/>
      </c>
      <c r="AI131">
        <f>IF(AND(N131&lt;&gt;"",AA131&lt;&gt;""),AA131-N131,"")</f>
        <v/>
      </c>
      <c r="AJ131">
        <f>IF(AND(L131&lt;&gt;"",N131&lt;&gt;"",Q131&lt;&gt;""),"Qualifies (if FP-QUAL adopted)","")</f>
        <v/>
      </c>
    </row>
    <row r="132">
      <c r="G132" s="9" t="n"/>
      <c r="H132" s="9" t="n"/>
      <c r="K132" s="9" t="n"/>
      <c r="L132" s="9" t="n"/>
      <c r="M132" s="9" t="n"/>
      <c r="N132" s="9" t="n"/>
      <c r="O132" s="9" t="n"/>
      <c r="Q132" s="9" t="n"/>
      <c r="R132" s="9" t="n"/>
      <c r="W132" s="9" t="n"/>
      <c r="X132" s="9" t="n"/>
      <c r="Z132">
        <f>IF(A132="","",IF(AND(N132&lt;&gt;"",O132&lt;&gt;"",Q132&lt;&gt;"",R132&lt;&gt;"",S132="Y"),"YES","no"))</f>
        <v/>
      </c>
      <c r="AA132" s="9">
        <f>IF(Z132="YES",MAX(N132,O132,Q132,R132),"")</f>
        <v/>
      </c>
      <c r="AB132">
        <f>IF(A132="","",IF(X132&lt;&gt;"","13 Repeat activity",IF(W132&lt;&gt;"","12 First enquiry/order/booking",IF(Z132="YES","11 ACTIVATED",IF(Q132&lt;&gt;"","10 First listing live",IF(O132&lt;&gt;"","9 Profile completed",IF(N132&lt;&gt;"","8 Approved",IF(M132&lt;&gt;"","7 KYC submitted",IF(L132&lt;&gt;"","6 Registration completed",IF(K132&lt;&gt;"","5b Registration started",IF(H132&lt;&gt;"","5a Information sent",IF(G132&lt;&gt;"","5 Interested","—"))))))))))))</f>
        <v/>
      </c>
      <c r="AC132" s="10">
        <f>IF(A132="","",(COUNT(G132,H132,K132,L132,M132,N132,O132,Q132,R132)+(I132="Y")+(P132="Y")+(S132="Y"))/12)</f>
        <v/>
      </c>
      <c r="AD132">
        <f>IF(OR(A132="",COUNT(G132:X132)=0),"",TODAY()-MAX(G132,H132,K132,L132,M132,N132,O132,Q132,R132,W132,X132))</f>
        <v/>
      </c>
      <c r="AE132">
        <f>IF(A132="","",IF(AND(Z132&lt;&gt;"YES",AD132&lt;&gt;"",AD132&gt;THRESHOLDS!$B$12),"STUCK — act today",""))</f>
        <v/>
      </c>
      <c r="AF132">
        <f>IF(A132="","",IF(J132="Active (verified)","",IF(J132="","Ask GST status (readiness R2)","Escalate to founder: orders need verified GSTIN in current code — no tax advice")))</f>
        <v/>
      </c>
      <c r="AG132">
        <f>IF(AND(G132&lt;&gt;"",L132&lt;&gt;""),L132-G132,"")</f>
        <v/>
      </c>
      <c r="AH132">
        <f>IF(AND(L132&lt;&gt;"",N132&lt;&gt;""),N132-L132,"")</f>
        <v/>
      </c>
      <c r="AI132">
        <f>IF(AND(N132&lt;&gt;"",AA132&lt;&gt;""),AA132-N132,"")</f>
        <v/>
      </c>
      <c r="AJ132">
        <f>IF(AND(L132&lt;&gt;"",N132&lt;&gt;"",Q132&lt;&gt;""),"Qualifies (if FP-QUAL adopted)","")</f>
        <v/>
      </c>
    </row>
    <row r="133">
      <c r="G133" s="9" t="n"/>
      <c r="H133" s="9" t="n"/>
      <c r="K133" s="9" t="n"/>
      <c r="L133" s="9" t="n"/>
      <c r="M133" s="9" t="n"/>
      <c r="N133" s="9" t="n"/>
      <c r="O133" s="9" t="n"/>
      <c r="Q133" s="9" t="n"/>
      <c r="R133" s="9" t="n"/>
      <c r="W133" s="9" t="n"/>
      <c r="X133" s="9" t="n"/>
      <c r="Z133">
        <f>IF(A133="","",IF(AND(N133&lt;&gt;"",O133&lt;&gt;"",Q133&lt;&gt;"",R133&lt;&gt;"",S133="Y"),"YES","no"))</f>
        <v/>
      </c>
      <c r="AA133" s="9">
        <f>IF(Z133="YES",MAX(N133,O133,Q133,R133),"")</f>
        <v/>
      </c>
      <c r="AB133">
        <f>IF(A133="","",IF(X133&lt;&gt;"","13 Repeat activity",IF(W133&lt;&gt;"","12 First enquiry/order/booking",IF(Z133="YES","11 ACTIVATED",IF(Q133&lt;&gt;"","10 First listing live",IF(O133&lt;&gt;"","9 Profile completed",IF(N133&lt;&gt;"","8 Approved",IF(M133&lt;&gt;"","7 KYC submitted",IF(L133&lt;&gt;"","6 Registration completed",IF(K133&lt;&gt;"","5b Registration started",IF(H133&lt;&gt;"","5a Information sent",IF(G133&lt;&gt;"","5 Interested","—"))))))))))))</f>
        <v/>
      </c>
      <c r="AC133" s="10">
        <f>IF(A133="","",(COUNT(G133,H133,K133,L133,M133,N133,O133,Q133,R133)+(I133="Y")+(P133="Y")+(S133="Y"))/12)</f>
        <v/>
      </c>
      <c r="AD133">
        <f>IF(OR(A133="",COUNT(G133:X133)=0),"",TODAY()-MAX(G133,H133,K133,L133,M133,N133,O133,Q133,R133,W133,X133))</f>
        <v/>
      </c>
      <c r="AE133">
        <f>IF(A133="","",IF(AND(Z133&lt;&gt;"YES",AD133&lt;&gt;"",AD133&gt;THRESHOLDS!$B$12),"STUCK — act today",""))</f>
        <v/>
      </c>
      <c r="AF133">
        <f>IF(A133="","",IF(J133="Active (verified)","",IF(J133="","Ask GST status (readiness R2)","Escalate to founder: orders need verified GSTIN in current code — no tax advice")))</f>
        <v/>
      </c>
      <c r="AG133">
        <f>IF(AND(G133&lt;&gt;"",L133&lt;&gt;""),L133-G133,"")</f>
        <v/>
      </c>
      <c r="AH133">
        <f>IF(AND(L133&lt;&gt;"",N133&lt;&gt;""),N133-L133,"")</f>
        <v/>
      </c>
      <c r="AI133">
        <f>IF(AND(N133&lt;&gt;"",AA133&lt;&gt;""),AA133-N133,"")</f>
        <v/>
      </c>
      <c r="AJ133">
        <f>IF(AND(L133&lt;&gt;"",N133&lt;&gt;"",Q133&lt;&gt;""),"Qualifies (if FP-QUAL adopted)","")</f>
        <v/>
      </c>
    </row>
    <row r="134">
      <c r="G134" s="9" t="n"/>
      <c r="H134" s="9" t="n"/>
      <c r="K134" s="9" t="n"/>
      <c r="L134" s="9" t="n"/>
      <c r="M134" s="9" t="n"/>
      <c r="N134" s="9" t="n"/>
      <c r="O134" s="9" t="n"/>
      <c r="Q134" s="9" t="n"/>
      <c r="R134" s="9" t="n"/>
      <c r="W134" s="9" t="n"/>
      <c r="X134" s="9" t="n"/>
      <c r="Z134">
        <f>IF(A134="","",IF(AND(N134&lt;&gt;"",O134&lt;&gt;"",Q134&lt;&gt;"",R134&lt;&gt;"",S134="Y"),"YES","no"))</f>
        <v/>
      </c>
      <c r="AA134" s="9">
        <f>IF(Z134="YES",MAX(N134,O134,Q134,R134),"")</f>
        <v/>
      </c>
      <c r="AB134">
        <f>IF(A134="","",IF(X134&lt;&gt;"","13 Repeat activity",IF(W134&lt;&gt;"","12 First enquiry/order/booking",IF(Z134="YES","11 ACTIVATED",IF(Q134&lt;&gt;"","10 First listing live",IF(O134&lt;&gt;"","9 Profile completed",IF(N134&lt;&gt;"","8 Approved",IF(M134&lt;&gt;"","7 KYC submitted",IF(L134&lt;&gt;"","6 Registration completed",IF(K134&lt;&gt;"","5b Registration started",IF(H134&lt;&gt;"","5a Information sent",IF(G134&lt;&gt;"","5 Interested","—"))))))))))))</f>
        <v/>
      </c>
      <c r="AC134" s="10">
        <f>IF(A134="","",(COUNT(G134,H134,K134,L134,M134,N134,O134,Q134,R134)+(I134="Y")+(P134="Y")+(S134="Y"))/12)</f>
        <v/>
      </c>
      <c r="AD134">
        <f>IF(OR(A134="",COUNT(G134:X134)=0),"",TODAY()-MAX(G134,H134,K134,L134,M134,N134,O134,Q134,R134,W134,X134))</f>
        <v/>
      </c>
      <c r="AE134">
        <f>IF(A134="","",IF(AND(Z134&lt;&gt;"YES",AD134&lt;&gt;"",AD134&gt;THRESHOLDS!$B$12),"STUCK — act today",""))</f>
        <v/>
      </c>
      <c r="AF134">
        <f>IF(A134="","",IF(J134="Active (verified)","",IF(J134="","Ask GST status (readiness R2)","Escalate to founder: orders need verified GSTIN in current code — no tax advice")))</f>
        <v/>
      </c>
      <c r="AG134">
        <f>IF(AND(G134&lt;&gt;"",L134&lt;&gt;""),L134-G134,"")</f>
        <v/>
      </c>
      <c r="AH134">
        <f>IF(AND(L134&lt;&gt;"",N134&lt;&gt;""),N134-L134,"")</f>
        <v/>
      </c>
      <c r="AI134">
        <f>IF(AND(N134&lt;&gt;"",AA134&lt;&gt;""),AA134-N134,"")</f>
        <v/>
      </c>
      <c r="AJ134">
        <f>IF(AND(L134&lt;&gt;"",N134&lt;&gt;"",Q134&lt;&gt;""),"Qualifies (if FP-QUAL adopted)","")</f>
        <v/>
      </c>
    </row>
    <row r="135">
      <c r="G135" s="9" t="n"/>
      <c r="H135" s="9" t="n"/>
      <c r="K135" s="9" t="n"/>
      <c r="L135" s="9" t="n"/>
      <c r="M135" s="9" t="n"/>
      <c r="N135" s="9" t="n"/>
      <c r="O135" s="9" t="n"/>
      <c r="Q135" s="9" t="n"/>
      <c r="R135" s="9" t="n"/>
      <c r="W135" s="9" t="n"/>
      <c r="X135" s="9" t="n"/>
      <c r="Z135">
        <f>IF(A135="","",IF(AND(N135&lt;&gt;"",O135&lt;&gt;"",Q135&lt;&gt;"",R135&lt;&gt;"",S135="Y"),"YES","no"))</f>
        <v/>
      </c>
      <c r="AA135" s="9">
        <f>IF(Z135="YES",MAX(N135,O135,Q135,R135),"")</f>
        <v/>
      </c>
      <c r="AB135">
        <f>IF(A135="","",IF(X135&lt;&gt;"","13 Repeat activity",IF(W135&lt;&gt;"","12 First enquiry/order/booking",IF(Z135="YES","11 ACTIVATED",IF(Q135&lt;&gt;"","10 First listing live",IF(O135&lt;&gt;"","9 Profile completed",IF(N135&lt;&gt;"","8 Approved",IF(M135&lt;&gt;"","7 KYC submitted",IF(L135&lt;&gt;"","6 Registration completed",IF(K135&lt;&gt;"","5b Registration started",IF(H135&lt;&gt;"","5a Information sent",IF(G135&lt;&gt;"","5 Interested","—"))))))))))))</f>
        <v/>
      </c>
      <c r="AC135" s="10">
        <f>IF(A135="","",(COUNT(G135,H135,K135,L135,M135,N135,O135,Q135,R135)+(I135="Y")+(P135="Y")+(S135="Y"))/12)</f>
        <v/>
      </c>
      <c r="AD135">
        <f>IF(OR(A135="",COUNT(G135:X135)=0),"",TODAY()-MAX(G135,H135,K135,L135,M135,N135,O135,Q135,R135,W135,X135))</f>
        <v/>
      </c>
      <c r="AE135">
        <f>IF(A135="","",IF(AND(Z135&lt;&gt;"YES",AD135&lt;&gt;"",AD135&gt;THRESHOLDS!$B$12),"STUCK — act today",""))</f>
        <v/>
      </c>
      <c r="AF135">
        <f>IF(A135="","",IF(J135="Active (verified)","",IF(J135="","Ask GST status (readiness R2)","Escalate to founder: orders need verified GSTIN in current code — no tax advice")))</f>
        <v/>
      </c>
      <c r="AG135">
        <f>IF(AND(G135&lt;&gt;"",L135&lt;&gt;""),L135-G135,"")</f>
        <v/>
      </c>
      <c r="AH135">
        <f>IF(AND(L135&lt;&gt;"",N135&lt;&gt;""),N135-L135,"")</f>
        <v/>
      </c>
      <c r="AI135">
        <f>IF(AND(N135&lt;&gt;"",AA135&lt;&gt;""),AA135-N135,"")</f>
        <v/>
      </c>
      <c r="AJ135">
        <f>IF(AND(L135&lt;&gt;"",N135&lt;&gt;"",Q135&lt;&gt;""),"Qualifies (if FP-QUAL adopted)","")</f>
        <v/>
      </c>
    </row>
    <row r="136">
      <c r="G136" s="9" t="n"/>
      <c r="H136" s="9" t="n"/>
      <c r="K136" s="9" t="n"/>
      <c r="L136" s="9" t="n"/>
      <c r="M136" s="9" t="n"/>
      <c r="N136" s="9" t="n"/>
      <c r="O136" s="9" t="n"/>
      <c r="Q136" s="9" t="n"/>
      <c r="R136" s="9" t="n"/>
      <c r="W136" s="9" t="n"/>
      <c r="X136" s="9" t="n"/>
      <c r="Z136">
        <f>IF(A136="","",IF(AND(N136&lt;&gt;"",O136&lt;&gt;"",Q136&lt;&gt;"",R136&lt;&gt;"",S136="Y"),"YES","no"))</f>
        <v/>
      </c>
      <c r="AA136" s="9">
        <f>IF(Z136="YES",MAX(N136,O136,Q136,R136),"")</f>
        <v/>
      </c>
      <c r="AB136">
        <f>IF(A136="","",IF(X136&lt;&gt;"","13 Repeat activity",IF(W136&lt;&gt;"","12 First enquiry/order/booking",IF(Z136="YES","11 ACTIVATED",IF(Q136&lt;&gt;"","10 First listing live",IF(O136&lt;&gt;"","9 Profile completed",IF(N136&lt;&gt;"","8 Approved",IF(M136&lt;&gt;"","7 KYC submitted",IF(L136&lt;&gt;"","6 Registration completed",IF(K136&lt;&gt;"","5b Registration started",IF(H136&lt;&gt;"","5a Information sent",IF(G136&lt;&gt;"","5 Interested","—"))))))))))))</f>
        <v/>
      </c>
      <c r="AC136" s="10">
        <f>IF(A136="","",(COUNT(G136,H136,K136,L136,M136,N136,O136,Q136,R136)+(I136="Y")+(P136="Y")+(S136="Y"))/12)</f>
        <v/>
      </c>
      <c r="AD136">
        <f>IF(OR(A136="",COUNT(G136:X136)=0),"",TODAY()-MAX(G136,H136,K136,L136,M136,N136,O136,Q136,R136,W136,X136))</f>
        <v/>
      </c>
      <c r="AE136">
        <f>IF(A136="","",IF(AND(Z136&lt;&gt;"YES",AD136&lt;&gt;"",AD136&gt;THRESHOLDS!$B$12),"STUCK — act today",""))</f>
        <v/>
      </c>
      <c r="AF136">
        <f>IF(A136="","",IF(J136="Active (verified)","",IF(J136="","Ask GST status (readiness R2)","Escalate to founder: orders need verified GSTIN in current code — no tax advice")))</f>
        <v/>
      </c>
      <c r="AG136">
        <f>IF(AND(G136&lt;&gt;"",L136&lt;&gt;""),L136-G136,"")</f>
        <v/>
      </c>
      <c r="AH136">
        <f>IF(AND(L136&lt;&gt;"",N136&lt;&gt;""),N136-L136,"")</f>
        <v/>
      </c>
      <c r="AI136">
        <f>IF(AND(N136&lt;&gt;"",AA136&lt;&gt;""),AA136-N136,"")</f>
        <v/>
      </c>
      <c r="AJ136">
        <f>IF(AND(L136&lt;&gt;"",N136&lt;&gt;"",Q136&lt;&gt;""),"Qualifies (if FP-QUAL adopted)","")</f>
        <v/>
      </c>
    </row>
    <row r="137">
      <c r="G137" s="9" t="n"/>
      <c r="H137" s="9" t="n"/>
      <c r="K137" s="9" t="n"/>
      <c r="L137" s="9" t="n"/>
      <c r="M137" s="9" t="n"/>
      <c r="N137" s="9" t="n"/>
      <c r="O137" s="9" t="n"/>
      <c r="Q137" s="9" t="n"/>
      <c r="R137" s="9" t="n"/>
      <c r="W137" s="9" t="n"/>
      <c r="X137" s="9" t="n"/>
      <c r="Z137">
        <f>IF(A137="","",IF(AND(N137&lt;&gt;"",O137&lt;&gt;"",Q137&lt;&gt;"",R137&lt;&gt;"",S137="Y"),"YES","no"))</f>
        <v/>
      </c>
      <c r="AA137" s="9">
        <f>IF(Z137="YES",MAX(N137,O137,Q137,R137),"")</f>
        <v/>
      </c>
      <c r="AB137">
        <f>IF(A137="","",IF(X137&lt;&gt;"","13 Repeat activity",IF(W137&lt;&gt;"","12 First enquiry/order/booking",IF(Z137="YES","11 ACTIVATED",IF(Q137&lt;&gt;"","10 First listing live",IF(O137&lt;&gt;"","9 Profile completed",IF(N137&lt;&gt;"","8 Approved",IF(M137&lt;&gt;"","7 KYC submitted",IF(L137&lt;&gt;"","6 Registration completed",IF(K137&lt;&gt;"","5b Registration started",IF(H137&lt;&gt;"","5a Information sent",IF(G137&lt;&gt;"","5 Interested","—"))))))))))))</f>
        <v/>
      </c>
      <c r="AC137" s="10">
        <f>IF(A137="","",(COUNT(G137,H137,K137,L137,M137,N137,O137,Q137,R137)+(I137="Y")+(P137="Y")+(S137="Y"))/12)</f>
        <v/>
      </c>
      <c r="AD137">
        <f>IF(OR(A137="",COUNT(G137:X137)=0),"",TODAY()-MAX(G137,H137,K137,L137,M137,N137,O137,Q137,R137,W137,X137))</f>
        <v/>
      </c>
      <c r="AE137">
        <f>IF(A137="","",IF(AND(Z137&lt;&gt;"YES",AD137&lt;&gt;"",AD137&gt;THRESHOLDS!$B$12),"STUCK — act today",""))</f>
        <v/>
      </c>
      <c r="AF137">
        <f>IF(A137="","",IF(J137="Active (verified)","",IF(J137="","Ask GST status (readiness R2)","Escalate to founder: orders need verified GSTIN in current code — no tax advice")))</f>
        <v/>
      </c>
      <c r="AG137">
        <f>IF(AND(G137&lt;&gt;"",L137&lt;&gt;""),L137-G137,"")</f>
        <v/>
      </c>
      <c r="AH137">
        <f>IF(AND(L137&lt;&gt;"",N137&lt;&gt;""),N137-L137,"")</f>
        <v/>
      </c>
      <c r="AI137">
        <f>IF(AND(N137&lt;&gt;"",AA137&lt;&gt;""),AA137-N137,"")</f>
        <v/>
      </c>
      <c r="AJ137">
        <f>IF(AND(L137&lt;&gt;"",N137&lt;&gt;"",Q137&lt;&gt;""),"Qualifies (if FP-QUAL adopted)","")</f>
        <v/>
      </c>
    </row>
    <row r="138">
      <c r="G138" s="9" t="n"/>
      <c r="H138" s="9" t="n"/>
      <c r="K138" s="9" t="n"/>
      <c r="L138" s="9" t="n"/>
      <c r="M138" s="9" t="n"/>
      <c r="N138" s="9" t="n"/>
      <c r="O138" s="9" t="n"/>
      <c r="Q138" s="9" t="n"/>
      <c r="R138" s="9" t="n"/>
      <c r="W138" s="9" t="n"/>
      <c r="X138" s="9" t="n"/>
      <c r="Z138">
        <f>IF(A138="","",IF(AND(N138&lt;&gt;"",O138&lt;&gt;"",Q138&lt;&gt;"",R138&lt;&gt;"",S138="Y"),"YES","no"))</f>
        <v/>
      </c>
      <c r="AA138" s="9">
        <f>IF(Z138="YES",MAX(N138,O138,Q138,R138),"")</f>
        <v/>
      </c>
      <c r="AB138">
        <f>IF(A138="","",IF(X138&lt;&gt;"","13 Repeat activity",IF(W138&lt;&gt;"","12 First enquiry/order/booking",IF(Z138="YES","11 ACTIVATED",IF(Q138&lt;&gt;"","10 First listing live",IF(O138&lt;&gt;"","9 Profile completed",IF(N138&lt;&gt;"","8 Approved",IF(M138&lt;&gt;"","7 KYC submitted",IF(L138&lt;&gt;"","6 Registration completed",IF(K138&lt;&gt;"","5b Registration started",IF(H138&lt;&gt;"","5a Information sent",IF(G138&lt;&gt;"","5 Interested","—"))))))))))))</f>
        <v/>
      </c>
      <c r="AC138" s="10">
        <f>IF(A138="","",(COUNT(G138,H138,K138,L138,M138,N138,O138,Q138,R138)+(I138="Y")+(P138="Y")+(S138="Y"))/12)</f>
        <v/>
      </c>
      <c r="AD138">
        <f>IF(OR(A138="",COUNT(G138:X138)=0),"",TODAY()-MAX(G138,H138,K138,L138,M138,N138,O138,Q138,R138,W138,X138))</f>
        <v/>
      </c>
      <c r="AE138">
        <f>IF(A138="","",IF(AND(Z138&lt;&gt;"YES",AD138&lt;&gt;"",AD138&gt;THRESHOLDS!$B$12),"STUCK — act today",""))</f>
        <v/>
      </c>
      <c r="AF138">
        <f>IF(A138="","",IF(J138="Active (verified)","",IF(J138="","Ask GST status (readiness R2)","Escalate to founder: orders need verified GSTIN in current code — no tax advice")))</f>
        <v/>
      </c>
      <c r="AG138">
        <f>IF(AND(G138&lt;&gt;"",L138&lt;&gt;""),L138-G138,"")</f>
        <v/>
      </c>
      <c r="AH138">
        <f>IF(AND(L138&lt;&gt;"",N138&lt;&gt;""),N138-L138,"")</f>
        <v/>
      </c>
      <c r="AI138">
        <f>IF(AND(N138&lt;&gt;"",AA138&lt;&gt;""),AA138-N138,"")</f>
        <v/>
      </c>
      <c r="AJ138">
        <f>IF(AND(L138&lt;&gt;"",N138&lt;&gt;"",Q138&lt;&gt;""),"Qualifies (if FP-QUAL adopted)","")</f>
        <v/>
      </c>
    </row>
    <row r="139">
      <c r="G139" s="9" t="n"/>
      <c r="H139" s="9" t="n"/>
      <c r="K139" s="9" t="n"/>
      <c r="L139" s="9" t="n"/>
      <c r="M139" s="9" t="n"/>
      <c r="N139" s="9" t="n"/>
      <c r="O139" s="9" t="n"/>
      <c r="Q139" s="9" t="n"/>
      <c r="R139" s="9" t="n"/>
      <c r="W139" s="9" t="n"/>
      <c r="X139" s="9" t="n"/>
      <c r="Z139">
        <f>IF(A139="","",IF(AND(N139&lt;&gt;"",O139&lt;&gt;"",Q139&lt;&gt;"",R139&lt;&gt;"",S139="Y"),"YES","no"))</f>
        <v/>
      </c>
      <c r="AA139" s="9">
        <f>IF(Z139="YES",MAX(N139,O139,Q139,R139),"")</f>
        <v/>
      </c>
      <c r="AB139">
        <f>IF(A139="","",IF(X139&lt;&gt;"","13 Repeat activity",IF(W139&lt;&gt;"","12 First enquiry/order/booking",IF(Z139="YES","11 ACTIVATED",IF(Q139&lt;&gt;"","10 First listing live",IF(O139&lt;&gt;"","9 Profile completed",IF(N139&lt;&gt;"","8 Approved",IF(M139&lt;&gt;"","7 KYC submitted",IF(L139&lt;&gt;"","6 Registration completed",IF(K139&lt;&gt;"","5b Registration started",IF(H139&lt;&gt;"","5a Information sent",IF(G139&lt;&gt;"","5 Interested","—"))))))))))))</f>
        <v/>
      </c>
      <c r="AC139" s="10">
        <f>IF(A139="","",(COUNT(G139,H139,K139,L139,M139,N139,O139,Q139,R139)+(I139="Y")+(P139="Y")+(S139="Y"))/12)</f>
        <v/>
      </c>
      <c r="AD139">
        <f>IF(OR(A139="",COUNT(G139:X139)=0),"",TODAY()-MAX(G139,H139,K139,L139,M139,N139,O139,Q139,R139,W139,X139))</f>
        <v/>
      </c>
      <c r="AE139">
        <f>IF(A139="","",IF(AND(Z139&lt;&gt;"YES",AD139&lt;&gt;"",AD139&gt;THRESHOLDS!$B$12),"STUCK — act today",""))</f>
        <v/>
      </c>
      <c r="AF139">
        <f>IF(A139="","",IF(J139="Active (verified)","",IF(J139="","Ask GST status (readiness R2)","Escalate to founder: orders need verified GSTIN in current code — no tax advice")))</f>
        <v/>
      </c>
      <c r="AG139">
        <f>IF(AND(G139&lt;&gt;"",L139&lt;&gt;""),L139-G139,"")</f>
        <v/>
      </c>
      <c r="AH139">
        <f>IF(AND(L139&lt;&gt;"",N139&lt;&gt;""),N139-L139,"")</f>
        <v/>
      </c>
      <c r="AI139">
        <f>IF(AND(N139&lt;&gt;"",AA139&lt;&gt;""),AA139-N139,"")</f>
        <v/>
      </c>
      <c r="AJ139">
        <f>IF(AND(L139&lt;&gt;"",N139&lt;&gt;"",Q139&lt;&gt;""),"Qualifies (if FP-QUAL adopted)","")</f>
        <v/>
      </c>
    </row>
    <row r="140">
      <c r="G140" s="9" t="n"/>
      <c r="H140" s="9" t="n"/>
      <c r="K140" s="9" t="n"/>
      <c r="L140" s="9" t="n"/>
      <c r="M140" s="9" t="n"/>
      <c r="N140" s="9" t="n"/>
      <c r="O140" s="9" t="n"/>
      <c r="Q140" s="9" t="n"/>
      <c r="R140" s="9" t="n"/>
      <c r="W140" s="9" t="n"/>
      <c r="X140" s="9" t="n"/>
      <c r="Z140">
        <f>IF(A140="","",IF(AND(N140&lt;&gt;"",O140&lt;&gt;"",Q140&lt;&gt;"",R140&lt;&gt;"",S140="Y"),"YES","no"))</f>
        <v/>
      </c>
      <c r="AA140" s="9">
        <f>IF(Z140="YES",MAX(N140,O140,Q140,R140),"")</f>
        <v/>
      </c>
      <c r="AB140">
        <f>IF(A140="","",IF(X140&lt;&gt;"","13 Repeat activity",IF(W140&lt;&gt;"","12 First enquiry/order/booking",IF(Z140="YES","11 ACTIVATED",IF(Q140&lt;&gt;"","10 First listing live",IF(O140&lt;&gt;"","9 Profile completed",IF(N140&lt;&gt;"","8 Approved",IF(M140&lt;&gt;"","7 KYC submitted",IF(L140&lt;&gt;"","6 Registration completed",IF(K140&lt;&gt;"","5b Registration started",IF(H140&lt;&gt;"","5a Information sent",IF(G140&lt;&gt;"","5 Interested","—"))))))))))))</f>
        <v/>
      </c>
      <c r="AC140" s="10">
        <f>IF(A140="","",(COUNT(G140,H140,K140,L140,M140,N140,O140,Q140,R140)+(I140="Y")+(P140="Y")+(S140="Y"))/12)</f>
        <v/>
      </c>
      <c r="AD140">
        <f>IF(OR(A140="",COUNT(G140:X140)=0),"",TODAY()-MAX(G140,H140,K140,L140,M140,N140,O140,Q140,R140,W140,X140))</f>
        <v/>
      </c>
      <c r="AE140">
        <f>IF(A140="","",IF(AND(Z140&lt;&gt;"YES",AD140&lt;&gt;"",AD140&gt;THRESHOLDS!$B$12),"STUCK — act today",""))</f>
        <v/>
      </c>
      <c r="AF140">
        <f>IF(A140="","",IF(J140="Active (verified)","",IF(J140="","Ask GST status (readiness R2)","Escalate to founder: orders need verified GSTIN in current code — no tax advice")))</f>
        <v/>
      </c>
      <c r="AG140">
        <f>IF(AND(G140&lt;&gt;"",L140&lt;&gt;""),L140-G140,"")</f>
        <v/>
      </c>
      <c r="AH140">
        <f>IF(AND(L140&lt;&gt;"",N140&lt;&gt;""),N140-L140,"")</f>
        <v/>
      </c>
      <c r="AI140">
        <f>IF(AND(N140&lt;&gt;"",AA140&lt;&gt;""),AA140-N140,"")</f>
        <v/>
      </c>
      <c r="AJ140">
        <f>IF(AND(L140&lt;&gt;"",N140&lt;&gt;"",Q140&lt;&gt;""),"Qualifies (if FP-QUAL adopted)","")</f>
        <v/>
      </c>
    </row>
    <row r="141">
      <c r="G141" s="9" t="n"/>
      <c r="H141" s="9" t="n"/>
      <c r="K141" s="9" t="n"/>
      <c r="L141" s="9" t="n"/>
      <c r="M141" s="9" t="n"/>
      <c r="N141" s="9" t="n"/>
      <c r="O141" s="9" t="n"/>
      <c r="Q141" s="9" t="n"/>
      <c r="R141" s="9" t="n"/>
      <c r="W141" s="9" t="n"/>
      <c r="X141" s="9" t="n"/>
      <c r="Z141">
        <f>IF(A141="","",IF(AND(N141&lt;&gt;"",O141&lt;&gt;"",Q141&lt;&gt;"",R141&lt;&gt;"",S141="Y"),"YES","no"))</f>
        <v/>
      </c>
      <c r="AA141" s="9">
        <f>IF(Z141="YES",MAX(N141,O141,Q141,R141),"")</f>
        <v/>
      </c>
      <c r="AB141">
        <f>IF(A141="","",IF(X141&lt;&gt;"","13 Repeat activity",IF(W141&lt;&gt;"","12 First enquiry/order/booking",IF(Z141="YES","11 ACTIVATED",IF(Q141&lt;&gt;"","10 First listing live",IF(O141&lt;&gt;"","9 Profile completed",IF(N141&lt;&gt;"","8 Approved",IF(M141&lt;&gt;"","7 KYC submitted",IF(L141&lt;&gt;"","6 Registration completed",IF(K141&lt;&gt;"","5b Registration started",IF(H141&lt;&gt;"","5a Information sent",IF(G141&lt;&gt;"","5 Interested","—"))))))))))))</f>
        <v/>
      </c>
      <c r="AC141" s="10">
        <f>IF(A141="","",(COUNT(G141,H141,K141,L141,M141,N141,O141,Q141,R141)+(I141="Y")+(P141="Y")+(S141="Y"))/12)</f>
        <v/>
      </c>
      <c r="AD141">
        <f>IF(OR(A141="",COUNT(G141:X141)=0),"",TODAY()-MAX(G141,H141,K141,L141,M141,N141,O141,Q141,R141,W141,X141))</f>
        <v/>
      </c>
      <c r="AE141">
        <f>IF(A141="","",IF(AND(Z141&lt;&gt;"YES",AD141&lt;&gt;"",AD141&gt;THRESHOLDS!$B$12),"STUCK — act today",""))</f>
        <v/>
      </c>
      <c r="AF141">
        <f>IF(A141="","",IF(J141="Active (verified)","",IF(J141="","Ask GST status (readiness R2)","Escalate to founder: orders need verified GSTIN in current code — no tax advice")))</f>
        <v/>
      </c>
      <c r="AG141">
        <f>IF(AND(G141&lt;&gt;"",L141&lt;&gt;""),L141-G141,"")</f>
        <v/>
      </c>
      <c r="AH141">
        <f>IF(AND(L141&lt;&gt;"",N141&lt;&gt;""),N141-L141,"")</f>
        <v/>
      </c>
      <c r="AI141">
        <f>IF(AND(N141&lt;&gt;"",AA141&lt;&gt;""),AA141-N141,"")</f>
        <v/>
      </c>
      <c r="AJ141">
        <f>IF(AND(L141&lt;&gt;"",N141&lt;&gt;"",Q141&lt;&gt;""),"Qualifies (if FP-QUAL adopted)","")</f>
        <v/>
      </c>
    </row>
    <row r="142">
      <c r="G142" s="9" t="n"/>
      <c r="H142" s="9" t="n"/>
      <c r="K142" s="9" t="n"/>
      <c r="L142" s="9" t="n"/>
      <c r="M142" s="9" t="n"/>
      <c r="N142" s="9" t="n"/>
      <c r="O142" s="9" t="n"/>
      <c r="Q142" s="9" t="n"/>
      <c r="R142" s="9" t="n"/>
      <c r="W142" s="9" t="n"/>
      <c r="X142" s="9" t="n"/>
      <c r="Z142">
        <f>IF(A142="","",IF(AND(N142&lt;&gt;"",O142&lt;&gt;"",Q142&lt;&gt;"",R142&lt;&gt;"",S142="Y"),"YES","no"))</f>
        <v/>
      </c>
      <c r="AA142" s="9">
        <f>IF(Z142="YES",MAX(N142,O142,Q142,R142),"")</f>
        <v/>
      </c>
      <c r="AB142">
        <f>IF(A142="","",IF(X142&lt;&gt;"","13 Repeat activity",IF(W142&lt;&gt;"","12 First enquiry/order/booking",IF(Z142="YES","11 ACTIVATED",IF(Q142&lt;&gt;"","10 First listing live",IF(O142&lt;&gt;"","9 Profile completed",IF(N142&lt;&gt;"","8 Approved",IF(M142&lt;&gt;"","7 KYC submitted",IF(L142&lt;&gt;"","6 Registration completed",IF(K142&lt;&gt;"","5b Registration started",IF(H142&lt;&gt;"","5a Information sent",IF(G142&lt;&gt;"","5 Interested","—"))))))))))))</f>
        <v/>
      </c>
      <c r="AC142" s="10">
        <f>IF(A142="","",(COUNT(G142,H142,K142,L142,M142,N142,O142,Q142,R142)+(I142="Y")+(P142="Y")+(S142="Y"))/12)</f>
        <v/>
      </c>
      <c r="AD142">
        <f>IF(OR(A142="",COUNT(G142:X142)=0),"",TODAY()-MAX(G142,H142,K142,L142,M142,N142,O142,Q142,R142,W142,X142))</f>
        <v/>
      </c>
      <c r="AE142">
        <f>IF(A142="","",IF(AND(Z142&lt;&gt;"YES",AD142&lt;&gt;"",AD142&gt;THRESHOLDS!$B$12),"STUCK — act today",""))</f>
        <v/>
      </c>
      <c r="AF142">
        <f>IF(A142="","",IF(J142="Active (verified)","",IF(J142="","Ask GST status (readiness R2)","Escalate to founder: orders need verified GSTIN in current code — no tax advice")))</f>
        <v/>
      </c>
      <c r="AG142">
        <f>IF(AND(G142&lt;&gt;"",L142&lt;&gt;""),L142-G142,"")</f>
        <v/>
      </c>
      <c r="AH142">
        <f>IF(AND(L142&lt;&gt;"",N142&lt;&gt;""),N142-L142,"")</f>
        <v/>
      </c>
      <c r="AI142">
        <f>IF(AND(N142&lt;&gt;"",AA142&lt;&gt;""),AA142-N142,"")</f>
        <v/>
      </c>
      <c r="AJ142">
        <f>IF(AND(L142&lt;&gt;"",N142&lt;&gt;"",Q142&lt;&gt;""),"Qualifies (if FP-QUAL adopted)","")</f>
        <v/>
      </c>
    </row>
    <row r="143">
      <c r="G143" s="9" t="n"/>
      <c r="H143" s="9" t="n"/>
      <c r="K143" s="9" t="n"/>
      <c r="L143" s="9" t="n"/>
      <c r="M143" s="9" t="n"/>
      <c r="N143" s="9" t="n"/>
      <c r="O143" s="9" t="n"/>
      <c r="Q143" s="9" t="n"/>
      <c r="R143" s="9" t="n"/>
      <c r="W143" s="9" t="n"/>
      <c r="X143" s="9" t="n"/>
      <c r="Z143">
        <f>IF(A143="","",IF(AND(N143&lt;&gt;"",O143&lt;&gt;"",Q143&lt;&gt;"",R143&lt;&gt;"",S143="Y"),"YES","no"))</f>
        <v/>
      </c>
      <c r="AA143" s="9">
        <f>IF(Z143="YES",MAX(N143,O143,Q143,R143),"")</f>
        <v/>
      </c>
      <c r="AB143">
        <f>IF(A143="","",IF(X143&lt;&gt;"","13 Repeat activity",IF(W143&lt;&gt;"","12 First enquiry/order/booking",IF(Z143="YES","11 ACTIVATED",IF(Q143&lt;&gt;"","10 First listing live",IF(O143&lt;&gt;"","9 Profile completed",IF(N143&lt;&gt;"","8 Approved",IF(M143&lt;&gt;"","7 KYC submitted",IF(L143&lt;&gt;"","6 Registration completed",IF(K143&lt;&gt;"","5b Registration started",IF(H143&lt;&gt;"","5a Information sent",IF(G143&lt;&gt;"","5 Interested","—"))))))))))))</f>
        <v/>
      </c>
      <c r="AC143" s="10">
        <f>IF(A143="","",(COUNT(G143,H143,K143,L143,M143,N143,O143,Q143,R143)+(I143="Y")+(P143="Y")+(S143="Y"))/12)</f>
        <v/>
      </c>
      <c r="AD143">
        <f>IF(OR(A143="",COUNT(G143:X143)=0),"",TODAY()-MAX(G143,H143,K143,L143,M143,N143,O143,Q143,R143,W143,X143))</f>
        <v/>
      </c>
      <c r="AE143">
        <f>IF(A143="","",IF(AND(Z143&lt;&gt;"YES",AD143&lt;&gt;"",AD143&gt;THRESHOLDS!$B$12),"STUCK — act today",""))</f>
        <v/>
      </c>
      <c r="AF143">
        <f>IF(A143="","",IF(J143="Active (verified)","",IF(J143="","Ask GST status (readiness R2)","Escalate to founder: orders need verified GSTIN in current code — no tax advice")))</f>
        <v/>
      </c>
      <c r="AG143">
        <f>IF(AND(G143&lt;&gt;"",L143&lt;&gt;""),L143-G143,"")</f>
        <v/>
      </c>
      <c r="AH143">
        <f>IF(AND(L143&lt;&gt;"",N143&lt;&gt;""),N143-L143,"")</f>
        <v/>
      </c>
      <c r="AI143">
        <f>IF(AND(N143&lt;&gt;"",AA143&lt;&gt;""),AA143-N143,"")</f>
        <v/>
      </c>
      <c r="AJ143">
        <f>IF(AND(L143&lt;&gt;"",N143&lt;&gt;"",Q143&lt;&gt;""),"Qualifies (if FP-QUAL adopted)","")</f>
        <v/>
      </c>
    </row>
    <row r="144">
      <c r="G144" s="9" t="n"/>
      <c r="H144" s="9" t="n"/>
      <c r="K144" s="9" t="n"/>
      <c r="L144" s="9" t="n"/>
      <c r="M144" s="9" t="n"/>
      <c r="N144" s="9" t="n"/>
      <c r="O144" s="9" t="n"/>
      <c r="Q144" s="9" t="n"/>
      <c r="R144" s="9" t="n"/>
      <c r="W144" s="9" t="n"/>
      <c r="X144" s="9" t="n"/>
      <c r="Z144">
        <f>IF(A144="","",IF(AND(N144&lt;&gt;"",O144&lt;&gt;"",Q144&lt;&gt;"",R144&lt;&gt;"",S144="Y"),"YES","no"))</f>
        <v/>
      </c>
      <c r="AA144" s="9">
        <f>IF(Z144="YES",MAX(N144,O144,Q144,R144),"")</f>
        <v/>
      </c>
      <c r="AB144">
        <f>IF(A144="","",IF(X144&lt;&gt;"","13 Repeat activity",IF(W144&lt;&gt;"","12 First enquiry/order/booking",IF(Z144="YES","11 ACTIVATED",IF(Q144&lt;&gt;"","10 First listing live",IF(O144&lt;&gt;"","9 Profile completed",IF(N144&lt;&gt;"","8 Approved",IF(M144&lt;&gt;"","7 KYC submitted",IF(L144&lt;&gt;"","6 Registration completed",IF(K144&lt;&gt;"","5b Registration started",IF(H144&lt;&gt;"","5a Information sent",IF(G144&lt;&gt;"","5 Interested","—"))))))))))))</f>
        <v/>
      </c>
      <c r="AC144" s="10">
        <f>IF(A144="","",(COUNT(G144,H144,K144,L144,M144,N144,O144,Q144,R144)+(I144="Y")+(P144="Y")+(S144="Y"))/12)</f>
        <v/>
      </c>
      <c r="AD144">
        <f>IF(OR(A144="",COUNT(G144:X144)=0),"",TODAY()-MAX(G144,H144,K144,L144,M144,N144,O144,Q144,R144,W144,X144))</f>
        <v/>
      </c>
      <c r="AE144">
        <f>IF(A144="","",IF(AND(Z144&lt;&gt;"YES",AD144&lt;&gt;"",AD144&gt;THRESHOLDS!$B$12),"STUCK — act today",""))</f>
        <v/>
      </c>
      <c r="AF144">
        <f>IF(A144="","",IF(J144="Active (verified)","",IF(J144="","Ask GST status (readiness R2)","Escalate to founder: orders need verified GSTIN in current code — no tax advice")))</f>
        <v/>
      </c>
      <c r="AG144">
        <f>IF(AND(G144&lt;&gt;"",L144&lt;&gt;""),L144-G144,"")</f>
        <v/>
      </c>
      <c r="AH144">
        <f>IF(AND(L144&lt;&gt;"",N144&lt;&gt;""),N144-L144,"")</f>
        <v/>
      </c>
      <c r="AI144">
        <f>IF(AND(N144&lt;&gt;"",AA144&lt;&gt;""),AA144-N144,"")</f>
        <v/>
      </c>
      <c r="AJ144">
        <f>IF(AND(L144&lt;&gt;"",N144&lt;&gt;"",Q144&lt;&gt;""),"Qualifies (if FP-QUAL adopted)","")</f>
        <v/>
      </c>
    </row>
    <row r="145">
      <c r="G145" s="9" t="n"/>
      <c r="H145" s="9" t="n"/>
      <c r="K145" s="9" t="n"/>
      <c r="L145" s="9" t="n"/>
      <c r="M145" s="9" t="n"/>
      <c r="N145" s="9" t="n"/>
      <c r="O145" s="9" t="n"/>
      <c r="Q145" s="9" t="n"/>
      <c r="R145" s="9" t="n"/>
      <c r="W145" s="9" t="n"/>
      <c r="X145" s="9" t="n"/>
      <c r="Z145">
        <f>IF(A145="","",IF(AND(N145&lt;&gt;"",O145&lt;&gt;"",Q145&lt;&gt;"",R145&lt;&gt;"",S145="Y"),"YES","no"))</f>
        <v/>
      </c>
      <c r="AA145" s="9">
        <f>IF(Z145="YES",MAX(N145,O145,Q145,R145),"")</f>
        <v/>
      </c>
      <c r="AB145">
        <f>IF(A145="","",IF(X145&lt;&gt;"","13 Repeat activity",IF(W145&lt;&gt;"","12 First enquiry/order/booking",IF(Z145="YES","11 ACTIVATED",IF(Q145&lt;&gt;"","10 First listing live",IF(O145&lt;&gt;"","9 Profile completed",IF(N145&lt;&gt;"","8 Approved",IF(M145&lt;&gt;"","7 KYC submitted",IF(L145&lt;&gt;"","6 Registration completed",IF(K145&lt;&gt;"","5b Registration started",IF(H145&lt;&gt;"","5a Information sent",IF(G145&lt;&gt;"","5 Interested","—"))))))))))))</f>
        <v/>
      </c>
      <c r="AC145" s="10">
        <f>IF(A145="","",(COUNT(G145,H145,K145,L145,M145,N145,O145,Q145,R145)+(I145="Y")+(P145="Y")+(S145="Y"))/12)</f>
        <v/>
      </c>
      <c r="AD145">
        <f>IF(OR(A145="",COUNT(G145:X145)=0),"",TODAY()-MAX(G145,H145,K145,L145,M145,N145,O145,Q145,R145,W145,X145))</f>
        <v/>
      </c>
      <c r="AE145">
        <f>IF(A145="","",IF(AND(Z145&lt;&gt;"YES",AD145&lt;&gt;"",AD145&gt;THRESHOLDS!$B$12),"STUCK — act today",""))</f>
        <v/>
      </c>
      <c r="AF145">
        <f>IF(A145="","",IF(J145="Active (verified)","",IF(J145="","Ask GST status (readiness R2)","Escalate to founder: orders need verified GSTIN in current code — no tax advice")))</f>
        <v/>
      </c>
      <c r="AG145">
        <f>IF(AND(G145&lt;&gt;"",L145&lt;&gt;""),L145-G145,"")</f>
        <v/>
      </c>
      <c r="AH145">
        <f>IF(AND(L145&lt;&gt;"",N145&lt;&gt;""),N145-L145,"")</f>
        <v/>
      </c>
      <c r="AI145">
        <f>IF(AND(N145&lt;&gt;"",AA145&lt;&gt;""),AA145-N145,"")</f>
        <v/>
      </c>
      <c r="AJ145">
        <f>IF(AND(L145&lt;&gt;"",N145&lt;&gt;"",Q145&lt;&gt;""),"Qualifies (if FP-QUAL adopted)","")</f>
        <v/>
      </c>
    </row>
    <row r="146">
      <c r="G146" s="9" t="n"/>
      <c r="H146" s="9" t="n"/>
      <c r="K146" s="9" t="n"/>
      <c r="L146" s="9" t="n"/>
      <c r="M146" s="9" t="n"/>
      <c r="N146" s="9" t="n"/>
      <c r="O146" s="9" t="n"/>
      <c r="Q146" s="9" t="n"/>
      <c r="R146" s="9" t="n"/>
      <c r="W146" s="9" t="n"/>
      <c r="X146" s="9" t="n"/>
      <c r="Z146">
        <f>IF(A146="","",IF(AND(N146&lt;&gt;"",O146&lt;&gt;"",Q146&lt;&gt;"",R146&lt;&gt;"",S146="Y"),"YES","no"))</f>
        <v/>
      </c>
      <c r="AA146" s="9">
        <f>IF(Z146="YES",MAX(N146,O146,Q146,R146),"")</f>
        <v/>
      </c>
      <c r="AB146">
        <f>IF(A146="","",IF(X146&lt;&gt;"","13 Repeat activity",IF(W146&lt;&gt;"","12 First enquiry/order/booking",IF(Z146="YES","11 ACTIVATED",IF(Q146&lt;&gt;"","10 First listing live",IF(O146&lt;&gt;"","9 Profile completed",IF(N146&lt;&gt;"","8 Approved",IF(M146&lt;&gt;"","7 KYC submitted",IF(L146&lt;&gt;"","6 Registration completed",IF(K146&lt;&gt;"","5b Registration started",IF(H146&lt;&gt;"","5a Information sent",IF(G146&lt;&gt;"","5 Interested","—"))))))))))))</f>
        <v/>
      </c>
      <c r="AC146" s="10">
        <f>IF(A146="","",(COUNT(G146,H146,K146,L146,M146,N146,O146,Q146,R146)+(I146="Y")+(P146="Y")+(S146="Y"))/12)</f>
        <v/>
      </c>
      <c r="AD146">
        <f>IF(OR(A146="",COUNT(G146:X146)=0),"",TODAY()-MAX(G146,H146,K146,L146,M146,N146,O146,Q146,R146,W146,X146))</f>
        <v/>
      </c>
      <c r="AE146">
        <f>IF(A146="","",IF(AND(Z146&lt;&gt;"YES",AD146&lt;&gt;"",AD146&gt;THRESHOLDS!$B$12),"STUCK — act today",""))</f>
        <v/>
      </c>
      <c r="AF146">
        <f>IF(A146="","",IF(J146="Active (verified)","",IF(J146="","Ask GST status (readiness R2)","Escalate to founder: orders need verified GSTIN in current code — no tax advice")))</f>
        <v/>
      </c>
      <c r="AG146">
        <f>IF(AND(G146&lt;&gt;"",L146&lt;&gt;""),L146-G146,"")</f>
        <v/>
      </c>
      <c r="AH146">
        <f>IF(AND(L146&lt;&gt;"",N146&lt;&gt;""),N146-L146,"")</f>
        <v/>
      </c>
      <c r="AI146">
        <f>IF(AND(N146&lt;&gt;"",AA146&lt;&gt;""),AA146-N146,"")</f>
        <v/>
      </c>
      <c r="AJ146">
        <f>IF(AND(L146&lt;&gt;"",N146&lt;&gt;"",Q146&lt;&gt;""),"Qualifies (if FP-QUAL adopted)","")</f>
        <v/>
      </c>
    </row>
    <row r="147">
      <c r="G147" s="9" t="n"/>
      <c r="H147" s="9" t="n"/>
      <c r="K147" s="9" t="n"/>
      <c r="L147" s="9" t="n"/>
      <c r="M147" s="9" t="n"/>
      <c r="N147" s="9" t="n"/>
      <c r="O147" s="9" t="n"/>
      <c r="Q147" s="9" t="n"/>
      <c r="R147" s="9" t="n"/>
      <c r="W147" s="9" t="n"/>
      <c r="X147" s="9" t="n"/>
      <c r="Z147">
        <f>IF(A147="","",IF(AND(N147&lt;&gt;"",O147&lt;&gt;"",Q147&lt;&gt;"",R147&lt;&gt;"",S147="Y"),"YES","no"))</f>
        <v/>
      </c>
      <c r="AA147" s="9">
        <f>IF(Z147="YES",MAX(N147,O147,Q147,R147),"")</f>
        <v/>
      </c>
      <c r="AB147">
        <f>IF(A147="","",IF(X147&lt;&gt;"","13 Repeat activity",IF(W147&lt;&gt;"","12 First enquiry/order/booking",IF(Z147="YES","11 ACTIVATED",IF(Q147&lt;&gt;"","10 First listing live",IF(O147&lt;&gt;"","9 Profile completed",IF(N147&lt;&gt;"","8 Approved",IF(M147&lt;&gt;"","7 KYC submitted",IF(L147&lt;&gt;"","6 Registration completed",IF(K147&lt;&gt;"","5b Registration started",IF(H147&lt;&gt;"","5a Information sent",IF(G147&lt;&gt;"","5 Interested","—"))))))))))))</f>
        <v/>
      </c>
      <c r="AC147" s="10">
        <f>IF(A147="","",(COUNT(G147,H147,K147,L147,M147,N147,O147,Q147,R147)+(I147="Y")+(P147="Y")+(S147="Y"))/12)</f>
        <v/>
      </c>
      <c r="AD147">
        <f>IF(OR(A147="",COUNT(G147:X147)=0),"",TODAY()-MAX(G147,H147,K147,L147,M147,N147,O147,Q147,R147,W147,X147))</f>
        <v/>
      </c>
      <c r="AE147">
        <f>IF(A147="","",IF(AND(Z147&lt;&gt;"YES",AD147&lt;&gt;"",AD147&gt;THRESHOLDS!$B$12),"STUCK — act today",""))</f>
        <v/>
      </c>
      <c r="AF147">
        <f>IF(A147="","",IF(J147="Active (verified)","",IF(J147="","Ask GST status (readiness R2)","Escalate to founder: orders need verified GSTIN in current code — no tax advice")))</f>
        <v/>
      </c>
      <c r="AG147">
        <f>IF(AND(G147&lt;&gt;"",L147&lt;&gt;""),L147-G147,"")</f>
        <v/>
      </c>
      <c r="AH147">
        <f>IF(AND(L147&lt;&gt;"",N147&lt;&gt;""),N147-L147,"")</f>
        <v/>
      </c>
      <c r="AI147">
        <f>IF(AND(N147&lt;&gt;"",AA147&lt;&gt;""),AA147-N147,"")</f>
        <v/>
      </c>
      <c r="AJ147">
        <f>IF(AND(L147&lt;&gt;"",N147&lt;&gt;"",Q147&lt;&gt;""),"Qualifies (if FP-QUAL adopted)","")</f>
        <v/>
      </c>
    </row>
    <row r="148">
      <c r="G148" s="9" t="n"/>
      <c r="H148" s="9" t="n"/>
      <c r="K148" s="9" t="n"/>
      <c r="L148" s="9" t="n"/>
      <c r="M148" s="9" t="n"/>
      <c r="N148" s="9" t="n"/>
      <c r="O148" s="9" t="n"/>
      <c r="Q148" s="9" t="n"/>
      <c r="R148" s="9" t="n"/>
      <c r="W148" s="9" t="n"/>
      <c r="X148" s="9" t="n"/>
      <c r="Z148">
        <f>IF(A148="","",IF(AND(N148&lt;&gt;"",O148&lt;&gt;"",Q148&lt;&gt;"",R148&lt;&gt;"",S148="Y"),"YES","no"))</f>
        <v/>
      </c>
      <c r="AA148" s="9">
        <f>IF(Z148="YES",MAX(N148,O148,Q148,R148),"")</f>
        <v/>
      </c>
      <c r="AB148">
        <f>IF(A148="","",IF(X148&lt;&gt;"","13 Repeat activity",IF(W148&lt;&gt;"","12 First enquiry/order/booking",IF(Z148="YES","11 ACTIVATED",IF(Q148&lt;&gt;"","10 First listing live",IF(O148&lt;&gt;"","9 Profile completed",IF(N148&lt;&gt;"","8 Approved",IF(M148&lt;&gt;"","7 KYC submitted",IF(L148&lt;&gt;"","6 Registration completed",IF(K148&lt;&gt;"","5b Registration started",IF(H148&lt;&gt;"","5a Information sent",IF(G148&lt;&gt;"","5 Interested","—"))))))))))))</f>
        <v/>
      </c>
      <c r="AC148" s="10">
        <f>IF(A148="","",(COUNT(G148,H148,K148,L148,M148,N148,O148,Q148,R148)+(I148="Y")+(P148="Y")+(S148="Y"))/12)</f>
        <v/>
      </c>
      <c r="AD148">
        <f>IF(OR(A148="",COUNT(G148:X148)=0),"",TODAY()-MAX(G148,H148,K148,L148,M148,N148,O148,Q148,R148,W148,X148))</f>
        <v/>
      </c>
      <c r="AE148">
        <f>IF(A148="","",IF(AND(Z148&lt;&gt;"YES",AD148&lt;&gt;"",AD148&gt;THRESHOLDS!$B$12),"STUCK — act today",""))</f>
        <v/>
      </c>
      <c r="AF148">
        <f>IF(A148="","",IF(J148="Active (verified)","",IF(J148="","Ask GST status (readiness R2)","Escalate to founder: orders need verified GSTIN in current code — no tax advice")))</f>
        <v/>
      </c>
      <c r="AG148">
        <f>IF(AND(G148&lt;&gt;"",L148&lt;&gt;""),L148-G148,"")</f>
        <v/>
      </c>
      <c r="AH148">
        <f>IF(AND(L148&lt;&gt;"",N148&lt;&gt;""),N148-L148,"")</f>
        <v/>
      </c>
      <c r="AI148">
        <f>IF(AND(N148&lt;&gt;"",AA148&lt;&gt;""),AA148-N148,"")</f>
        <v/>
      </c>
      <c r="AJ148">
        <f>IF(AND(L148&lt;&gt;"",N148&lt;&gt;"",Q148&lt;&gt;""),"Qualifies (if FP-QUAL adopted)","")</f>
        <v/>
      </c>
    </row>
    <row r="149">
      <c r="G149" s="9" t="n"/>
      <c r="H149" s="9" t="n"/>
      <c r="K149" s="9" t="n"/>
      <c r="L149" s="9" t="n"/>
      <c r="M149" s="9" t="n"/>
      <c r="N149" s="9" t="n"/>
      <c r="O149" s="9" t="n"/>
      <c r="Q149" s="9" t="n"/>
      <c r="R149" s="9" t="n"/>
      <c r="W149" s="9" t="n"/>
      <c r="X149" s="9" t="n"/>
      <c r="Z149">
        <f>IF(A149="","",IF(AND(N149&lt;&gt;"",O149&lt;&gt;"",Q149&lt;&gt;"",R149&lt;&gt;"",S149="Y"),"YES","no"))</f>
        <v/>
      </c>
      <c r="AA149" s="9">
        <f>IF(Z149="YES",MAX(N149,O149,Q149,R149),"")</f>
        <v/>
      </c>
      <c r="AB149">
        <f>IF(A149="","",IF(X149&lt;&gt;"","13 Repeat activity",IF(W149&lt;&gt;"","12 First enquiry/order/booking",IF(Z149="YES","11 ACTIVATED",IF(Q149&lt;&gt;"","10 First listing live",IF(O149&lt;&gt;"","9 Profile completed",IF(N149&lt;&gt;"","8 Approved",IF(M149&lt;&gt;"","7 KYC submitted",IF(L149&lt;&gt;"","6 Registration completed",IF(K149&lt;&gt;"","5b Registration started",IF(H149&lt;&gt;"","5a Information sent",IF(G149&lt;&gt;"","5 Interested","—"))))))))))))</f>
        <v/>
      </c>
      <c r="AC149" s="10">
        <f>IF(A149="","",(COUNT(G149,H149,K149,L149,M149,N149,O149,Q149,R149)+(I149="Y")+(P149="Y")+(S149="Y"))/12)</f>
        <v/>
      </c>
      <c r="AD149">
        <f>IF(OR(A149="",COUNT(G149:X149)=0),"",TODAY()-MAX(G149,H149,K149,L149,M149,N149,O149,Q149,R149,W149,X149))</f>
        <v/>
      </c>
      <c r="AE149">
        <f>IF(A149="","",IF(AND(Z149&lt;&gt;"YES",AD149&lt;&gt;"",AD149&gt;THRESHOLDS!$B$12),"STUCK — act today",""))</f>
        <v/>
      </c>
      <c r="AF149">
        <f>IF(A149="","",IF(J149="Active (verified)","",IF(J149="","Ask GST status (readiness R2)","Escalate to founder: orders need verified GSTIN in current code — no tax advice")))</f>
        <v/>
      </c>
      <c r="AG149">
        <f>IF(AND(G149&lt;&gt;"",L149&lt;&gt;""),L149-G149,"")</f>
        <v/>
      </c>
      <c r="AH149">
        <f>IF(AND(L149&lt;&gt;"",N149&lt;&gt;""),N149-L149,"")</f>
        <v/>
      </c>
      <c r="AI149">
        <f>IF(AND(N149&lt;&gt;"",AA149&lt;&gt;""),AA149-N149,"")</f>
        <v/>
      </c>
      <c r="AJ149">
        <f>IF(AND(L149&lt;&gt;"",N149&lt;&gt;"",Q149&lt;&gt;""),"Qualifies (if FP-QUAL adopted)","")</f>
        <v/>
      </c>
    </row>
    <row r="150">
      <c r="G150" s="9" t="n"/>
      <c r="H150" s="9" t="n"/>
      <c r="K150" s="9" t="n"/>
      <c r="L150" s="9" t="n"/>
      <c r="M150" s="9" t="n"/>
      <c r="N150" s="9" t="n"/>
      <c r="O150" s="9" t="n"/>
      <c r="Q150" s="9" t="n"/>
      <c r="R150" s="9" t="n"/>
      <c r="W150" s="9" t="n"/>
      <c r="X150" s="9" t="n"/>
      <c r="Z150">
        <f>IF(A150="","",IF(AND(N150&lt;&gt;"",O150&lt;&gt;"",Q150&lt;&gt;"",R150&lt;&gt;"",S150="Y"),"YES","no"))</f>
        <v/>
      </c>
      <c r="AA150" s="9">
        <f>IF(Z150="YES",MAX(N150,O150,Q150,R150),"")</f>
        <v/>
      </c>
      <c r="AB150">
        <f>IF(A150="","",IF(X150&lt;&gt;"","13 Repeat activity",IF(W150&lt;&gt;"","12 First enquiry/order/booking",IF(Z150="YES","11 ACTIVATED",IF(Q150&lt;&gt;"","10 First listing live",IF(O150&lt;&gt;"","9 Profile completed",IF(N150&lt;&gt;"","8 Approved",IF(M150&lt;&gt;"","7 KYC submitted",IF(L150&lt;&gt;"","6 Registration completed",IF(K150&lt;&gt;"","5b Registration started",IF(H150&lt;&gt;"","5a Information sent",IF(G150&lt;&gt;"","5 Interested","—"))))))))))))</f>
        <v/>
      </c>
      <c r="AC150" s="10">
        <f>IF(A150="","",(COUNT(G150,H150,K150,L150,M150,N150,O150,Q150,R150)+(I150="Y")+(P150="Y")+(S150="Y"))/12)</f>
        <v/>
      </c>
      <c r="AD150">
        <f>IF(OR(A150="",COUNT(G150:X150)=0),"",TODAY()-MAX(G150,H150,K150,L150,M150,N150,O150,Q150,R150,W150,X150))</f>
        <v/>
      </c>
      <c r="AE150">
        <f>IF(A150="","",IF(AND(Z150&lt;&gt;"YES",AD150&lt;&gt;"",AD150&gt;THRESHOLDS!$B$12),"STUCK — act today",""))</f>
        <v/>
      </c>
      <c r="AF150">
        <f>IF(A150="","",IF(J150="Active (verified)","",IF(J150="","Ask GST status (readiness R2)","Escalate to founder: orders need verified GSTIN in current code — no tax advice")))</f>
        <v/>
      </c>
      <c r="AG150">
        <f>IF(AND(G150&lt;&gt;"",L150&lt;&gt;""),L150-G150,"")</f>
        <v/>
      </c>
      <c r="AH150">
        <f>IF(AND(L150&lt;&gt;"",N150&lt;&gt;""),N150-L150,"")</f>
        <v/>
      </c>
      <c r="AI150">
        <f>IF(AND(N150&lt;&gt;"",AA150&lt;&gt;""),AA150-N150,"")</f>
        <v/>
      </c>
      <c r="AJ150">
        <f>IF(AND(L150&lt;&gt;"",N150&lt;&gt;"",Q150&lt;&gt;""),"Qualifies (if FP-QUAL adopted)","")</f>
        <v/>
      </c>
    </row>
    <row r="151">
      <c r="G151" s="9" t="n"/>
      <c r="H151" s="9" t="n"/>
      <c r="K151" s="9" t="n"/>
      <c r="L151" s="9" t="n"/>
      <c r="M151" s="9" t="n"/>
      <c r="N151" s="9" t="n"/>
      <c r="O151" s="9" t="n"/>
      <c r="Q151" s="9" t="n"/>
      <c r="R151" s="9" t="n"/>
      <c r="W151" s="9" t="n"/>
      <c r="X151" s="9" t="n"/>
      <c r="Z151">
        <f>IF(A151="","",IF(AND(N151&lt;&gt;"",O151&lt;&gt;"",Q151&lt;&gt;"",R151&lt;&gt;"",S151="Y"),"YES","no"))</f>
        <v/>
      </c>
      <c r="AA151" s="9">
        <f>IF(Z151="YES",MAX(N151,O151,Q151,R151),"")</f>
        <v/>
      </c>
      <c r="AB151">
        <f>IF(A151="","",IF(X151&lt;&gt;"","13 Repeat activity",IF(W151&lt;&gt;"","12 First enquiry/order/booking",IF(Z151="YES","11 ACTIVATED",IF(Q151&lt;&gt;"","10 First listing live",IF(O151&lt;&gt;"","9 Profile completed",IF(N151&lt;&gt;"","8 Approved",IF(M151&lt;&gt;"","7 KYC submitted",IF(L151&lt;&gt;"","6 Registration completed",IF(K151&lt;&gt;"","5b Registration started",IF(H151&lt;&gt;"","5a Information sent",IF(G151&lt;&gt;"","5 Interested","—"))))))))))))</f>
        <v/>
      </c>
      <c r="AC151" s="10">
        <f>IF(A151="","",(COUNT(G151,H151,K151,L151,M151,N151,O151,Q151,R151)+(I151="Y")+(P151="Y")+(S151="Y"))/12)</f>
        <v/>
      </c>
      <c r="AD151">
        <f>IF(OR(A151="",COUNT(G151:X151)=0),"",TODAY()-MAX(G151,H151,K151,L151,M151,N151,O151,Q151,R151,W151,X151))</f>
        <v/>
      </c>
      <c r="AE151">
        <f>IF(A151="","",IF(AND(Z151&lt;&gt;"YES",AD151&lt;&gt;"",AD151&gt;THRESHOLDS!$B$12),"STUCK — act today",""))</f>
        <v/>
      </c>
      <c r="AF151">
        <f>IF(A151="","",IF(J151="Active (verified)","",IF(J151="","Ask GST status (readiness R2)","Escalate to founder: orders need verified GSTIN in current code — no tax advice")))</f>
        <v/>
      </c>
      <c r="AG151">
        <f>IF(AND(G151&lt;&gt;"",L151&lt;&gt;""),L151-G151,"")</f>
        <v/>
      </c>
      <c r="AH151">
        <f>IF(AND(L151&lt;&gt;"",N151&lt;&gt;""),N151-L151,"")</f>
        <v/>
      </c>
      <c r="AI151">
        <f>IF(AND(N151&lt;&gt;"",AA151&lt;&gt;""),AA151-N151,"")</f>
        <v/>
      </c>
      <c r="AJ151">
        <f>IF(AND(L151&lt;&gt;"",N151&lt;&gt;"",Q151&lt;&gt;""),"Qualifies (if FP-QUAL adopted)","")</f>
        <v/>
      </c>
    </row>
    <row r="152">
      <c r="G152" s="9" t="n"/>
      <c r="H152" s="9" t="n"/>
      <c r="K152" s="9" t="n"/>
      <c r="L152" s="9" t="n"/>
      <c r="M152" s="9" t="n"/>
      <c r="N152" s="9" t="n"/>
      <c r="O152" s="9" t="n"/>
      <c r="Q152" s="9" t="n"/>
      <c r="R152" s="9" t="n"/>
      <c r="W152" s="9" t="n"/>
      <c r="X152" s="9" t="n"/>
      <c r="Z152">
        <f>IF(A152="","",IF(AND(N152&lt;&gt;"",O152&lt;&gt;"",Q152&lt;&gt;"",R152&lt;&gt;"",S152="Y"),"YES","no"))</f>
        <v/>
      </c>
      <c r="AA152" s="9">
        <f>IF(Z152="YES",MAX(N152,O152,Q152,R152),"")</f>
        <v/>
      </c>
      <c r="AB152">
        <f>IF(A152="","",IF(X152&lt;&gt;"","13 Repeat activity",IF(W152&lt;&gt;"","12 First enquiry/order/booking",IF(Z152="YES","11 ACTIVATED",IF(Q152&lt;&gt;"","10 First listing live",IF(O152&lt;&gt;"","9 Profile completed",IF(N152&lt;&gt;"","8 Approved",IF(M152&lt;&gt;"","7 KYC submitted",IF(L152&lt;&gt;"","6 Registration completed",IF(K152&lt;&gt;"","5b Registration started",IF(H152&lt;&gt;"","5a Information sent",IF(G152&lt;&gt;"","5 Interested","—"))))))))))))</f>
        <v/>
      </c>
      <c r="AC152" s="10">
        <f>IF(A152="","",(COUNT(G152,H152,K152,L152,M152,N152,O152,Q152,R152)+(I152="Y")+(P152="Y")+(S152="Y"))/12)</f>
        <v/>
      </c>
      <c r="AD152">
        <f>IF(OR(A152="",COUNT(G152:X152)=0),"",TODAY()-MAX(G152,H152,K152,L152,M152,N152,O152,Q152,R152,W152,X152))</f>
        <v/>
      </c>
      <c r="AE152">
        <f>IF(A152="","",IF(AND(Z152&lt;&gt;"YES",AD152&lt;&gt;"",AD152&gt;THRESHOLDS!$B$12),"STUCK — act today",""))</f>
        <v/>
      </c>
      <c r="AF152">
        <f>IF(A152="","",IF(J152="Active (verified)","",IF(J152="","Ask GST status (readiness R2)","Escalate to founder: orders need verified GSTIN in current code — no tax advice")))</f>
        <v/>
      </c>
      <c r="AG152">
        <f>IF(AND(G152&lt;&gt;"",L152&lt;&gt;""),L152-G152,"")</f>
        <v/>
      </c>
      <c r="AH152">
        <f>IF(AND(L152&lt;&gt;"",N152&lt;&gt;""),N152-L152,"")</f>
        <v/>
      </c>
      <c r="AI152">
        <f>IF(AND(N152&lt;&gt;"",AA152&lt;&gt;""),AA152-N152,"")</f>
        <v/>
      </c>
      <c r="AJ152">
        <f>IF(AND(L152&lt;&gt;"",N152&lt;&gt;"",Q152&lt;&gt;""),"Qualifies (if FP-QUAL adopted)","")</f>
        <v/>
      </c>
    </row>
    <row r="153">
      <c r="G153" s="9" t="n"/>
      <c r="H153" s="9" t="n"/>
      <c r="K153" s="9" t="n"/>
      <c r="L153" s="9" t="n"/>
      <c r="M153" s="9" t="n"/>
      <c r="N153" s="9" t="n"/>
      <c r="O153" s="9" t="n"/>
      <c r="Q153" s="9" t="n"/>
      <c r="R153" s="9" t="n"/>
      <c r="W153" s="9" t="n"/>
      <c r="X153" s="9" t="n"/>
      <c r="Z153">
        <f>IF(A153="","",IF(AND(N153&lt;&gt;"",O153&lt;&gt;"",Q153&lt;&gt;"",R153&lt;&gt;"",S153="Y"),"YES","no"))</f>
        <v/>
      </c>
      <c r="AA153" s="9">
        <f>IF(Z153="YES",MAX(N153,O153,Q153,R153),"")</f>
        <v/>
      </c>
      <c r="AB153">
        <f>IF(A153="","",IF(X153&lt;&gt;"","13 Repeat activity",IF(W153&lt;&gt;"","12 First enquiry/order/booking",IF(Z153="YES","11 ACTIVATED",IF(Q153&lt;&gt;"","10 First listing live",IF(O153&lt;&gt;"","9 Profile completed",IF(N153&lt;&gt;"","8 Approved",IF(M153&lt;&gt;"","7 KYC submitted",IF(L153&lt;&gt;"","6 Registration completed",IF(K153&lt;&gt;"","5b Registration started",IF(H153&lt;&gt;"","5a Information sent",IF(G153&lt;&gt;"","5 Interested","—"))))))))))))</f>
        <v/>
      </c>
      <c r="AC153" s="10">
        <f>IF(A153="","",(COUNT(G153,H153,K153,L153,M153,N153,O153,Q153,R153)+(I153="Y")+(P153="Y")+(S153="Y"))/12)</f>
        <v/>
      </c>
      <c r="AD153">
        <f>IF(OR(A153="",COUNT(G153:X153)=0),"",TODAY()-MAX(G153,H153,K153,L153,M153,N153,O153,Q153,R153,W153,X153))</f>
        <v/>
      </c>
      <c r="AE153">
        <f>IF(A153="","",IF(AND(Z153&lt;&gt;"YES",AD153&lt;&gt;"",AD153&gt;THRESHOLDS!$B$12),"STUCK — act today",""))</f>
        <v/>
      </c>
      <c r="AF153">
        <f>IF(A153="","",IF(J153="Active (verified)","",IF(J153="","Ask GST status (readiness R2)","Escalate to founder: orders need verified GSTIN in current code — no tax advice")))</f>
        <v/>
      </c>
      <c r="AG153">
        <f>IF(AND(G153&lt;&gt;"",L153&lt;&gt;""),L153-G153,"")</f>
        <v/>
      </c>
      <c r="AH153">
        <f>IF(AND(L153&lt;&gt;"",N153&lt;&gt;""),N153-L153,"")</f>
        <v/>
      </c>
      <c r="AI153">
        <f>IF(AND(N153&lt;&gt;"",AA153&lt;&gt;""),AA153-N153,"")</f>
        <v/>
      </c>
      <c r="AJ153">
        <f>IF(AND(L153&lt;&gt;"",N153&lt;&gt;"",Q153&lt;&gt;""),"Qualifies (if FP-QUAL adopted)","")</f>
        <v/>
      </c>
    </row>
    <row r="154">
      <c r="G154" s="9" t="n"/>
      <c r="H154" s="9" t="n"/>
      <c r="K154" s="9" t="n"/>
      <c r="L154" s="9" t="n"/>
      <c r="M154" s="9" t="n"/>
      <c r="N154" s="9" t="n"/>
      <c r="O154" s="9" t="n"/>
      <c r="Q154" s="9" t="n"/>
      <c r="R154" s="9" t="n"/>
      <c r="W154" s="9" t="n"/>
      <c r="X154" s="9" t="n"/>
      <c r="Z154">
        <f>IF(A154="","",IF(AND(N154&lt;&gt;"",O154&lt;&gt;"",Q154&lt;&gt;"",R154&lt;&gt;"",S154="Y"),"YES","no"))</f>
        <v/>
      </c>
      <c r="AA154" s="9">
        <f>IF(Z154="YES",MAX(N154,O154,Q154,R154),"")</f>
        <v/>
      </c>
      <c r="AB154">
        <f>IF(A154="","",IF(X154&lt;&gt;"","13 Repeat activity",IF(W154&lt;&gt;"","12 First enquiry/order/booking",IF(Z154="YES","11 ACTIVATED",IF(Q154&lt;&gt;"","10 First listing live",IF(O154&lt;&gt;"","9 Profile completed",IF(N154&lt;&gt;"","8 Approved",IF(M154&lt;&gt;"","7 KYC submitted",IF(L154&lt;&gt;"","6 Registration completed",IF(K154&lt;&gt;"","5b Registration started",IF(H154&lt;&gt;"","5a Information sent",IF(G154&lt;&gt;"","5 Interested","—"))))))))))))</f>
        <v/>
      </c>
      <c r="AC154" s="10">
        <f>IF(A154="","",(COUNT(G154,H154,K154,L154,M154,N154,O154,Q154,R154)+(I154="Y")+(P154="Y")+(S154="Y"))/12)</f>
        <v/>
      </c>
      <c r="AD154">
        <f>IF(OR(A154="",COUNT(G154:X154)=0),"",TODAY()-MAX(G154,H154,K154,L154,M154,N154,O154,Q154,R154,W154,X154))</f>
        <v/>
      </c>
      <c r="AE154">
        <f>IF(A154="","",IF(AND(Z154&lt;&gt;"YES",AD154&lt;&gt;"",AD154&gt;THRESHOLDS!$B$12),"STUCK — act today",""))</f>
        <v/>
      </c>
      <c r="AF154">
        <f>IF(A154="","",IF(J154="Active (verified)","",IF(J154="","Ask GST status (readiness R2)","Escalate to founder: orders need verified GSTIN in current code — no tax advice")))</f>
        <v/>
      </c>
      <c r="AG154">
        <f>IF(AND(G154&lt;&gt;"",L154&lt;&gt;""),L154-G154,"")</f>
        <v/>
      </c>
      <c r="AH154">
        <f>IF(AND(L154&lt;&gt;"",N154&lt;&gt;""),N154-L154,"")</f>
        <v/>
      </c>
      <c r="AI154">
        <f>IF(AND(N154&lt;&gt;"",AA154&lt;&gt;""),AA154-N154,"")</f>
        <v/>
      </c>
      <c r="AJ154">
        <f>IF(AND(L154&lt;&gt;"",N154&lt;&gt;"",Q154&lt;&gt;""),"Qualifies (if FP-QUAL adopted)","")</f>
        <v/>
      </c>
    </row>
    <row r="155">
      <c r="G155" s="9" t="n"/>
      <c r="H155" s="9" t="n"/>
      <c r="K155" s="9" t="n"/>
      <c r="L155" s="9" t="n"/>
      <c r="M155" s="9" t="n"/>
      <c r="N155" s="9" t="n"/>
      <c r="O155" s="9" t="n"/>
      <c r="Q155" s="9" t="n"/>
      <c r="R155" s="9" t="n"/>
      <c r="W155" s="9" t="n"/>
      <c r="X155" s="9" t="n"/>
      <c r="Z155">
        <f>IF(A155="","",IF(AND(N155&lt;&gt;"",O155&lt;&gt;"",Q155&lt;&gt;"",R155&lt;&gt;"",S155="Y"),"YES","no"))</f>
        <v/>
      </c>
      <c r="AA155" s="9">
        <f>IF(Z155="YES",MAX(N155,O155,Q155,R155),"")</f>
        <v/>
      </c>
      <c r="AB155">
        <f>IF(A155="","",IF(X155&lt;&gt;"","13 Repeat activity",IF(W155&lt;&gt;"","12 First enquiry/order/booking",IF(Z155="YES","11 ACTIVATED",IF(Q155&lt;&gt;"","10 First listing live",IF(O155&lt;&gt;"","9 Profile completed",IF(N155&lt;&gt;"","8 Approved",IF(M155&lt;&gt;"","7 KYC submitted",IF(L155&lt;&gt;"","6 Registration completed",IF(K155&lt;&gt;"","5b Registration started",IF(H155&lt;&gt;"","5a Information sent",IF(G155&lt;&gt;"","5 Interested","—"))))))))))))</f>
        <v/>
      </c>
      <c r="AC155" s="10">
        <f>IF(A155="","",(COUNT(G155,H155,K155,L155,M155,N155,O155,Q155,R155)+(I155="Y")+(P155="Y")+(S155="Y"))/12)</f>
        <v/>
      </c>
      <c r="AD155">
        <f>IF(OR(A155="",COUNT(G155:X155)=0),"",TODAY()-MAX(G155,H155,K155,L155,M155,N155,O155,Q155,R155,W155,X155))</f>
        <v/>
      </c>
      <c r="AE155">
        <f>IF(A155="","",IF(AND(Z155&lt;&gt;"YES",AD155&lt;&gt;"",AD155&gt;THRESHOLDS!$B$12),"STUCK — act today",""))</f>
        <v/>
      </c>
      <c r="AF155">
        <f>IF(A155="","",IF(J155="Active (verified)","",IF(J155="","Ask GST status (readiness R2)","Escalate to founder: orders need verified GSTIN in current code — no tax advice")))</f>
        <v/>
      </c>
      <c r="AG155">
        <f>IF(AND(G155&lt;&gt;"",L155&lt;&gt;""),L155-G155,"")</f>
        <v/>
      </c>
      <c r="AH155">
        <f>IF(AND(L155&lt;&gt;"",N155&lt;&gt;""),N155-L155,"")</f>
        <v/>
      </c>
      <c r="AI155">
        <f>IF(AND(N155&lt;&gt;"",AA155&lt;&gt;""),AA155-N155,"")</f>
        <v/>
      </c>
      <c r="AJ155">
        <f>IF(AND(L155&lt;&gt;"",N155&lt;&gt;"",Q155&lt;&gt;""),"Qualifies (if FP-QUAL adopted)","")</f>
        <v/>
      </c>
    </row>
    <row r="156">
      <c r="G156" s="9" t="n"/>
      <c r="H156" s="9" t="n"/>
      <c r="K156" s="9" t="n"/>
      <c r="L156" s="9" t="n"/>
      <c r="M156" s="9" t="n"/>
      <c r="N156" s="9" t="n"/>
      <c r="O156" s="9" t="n"/>
      <c r="Q156" s="9" t="n"/>
      <c r="R156" s="9" t="n"/>
      <c r="W156" s="9" t="n"/>
      <c r="X156" s="9" t="n"/>
      <c r="Z156">
        <f>IF(A156="","",IF(AND(N156&lt;&gt;"",O156&lt;&gt;"",Q156&lt;&gt;"",R156&lt;&gt;"",S156="Y"),"YES","no"))</f>
        <v/>
      </c>
      <c r="AA156" s="9">
        <f>IF(Z156="YES",MAX(N156,O156,Q156,R156),"")</f>
        <v/>
      </c>
      <c r="AB156">
        <f>IF(A156="","",IF(X156&lt;&gt;"","13 Repeat activity",IF(W156&lt;&gt;"","12 First enquiry/order/booking",IF(Z156="YES","11 ACTIVATED",IF(Q156&lt;&gt;"","10 First listing live",IF(O156&lt;&gt;"","9 Profile completed",IF(N156&lt;&gt;"","8 Approved",IF(M156&lt;&gt;"","7 KYC submitted",IF(L156&lt;&gt;"","6 Registration completed",IF(K156&lt;&gt;"","5b Registration started",IF(H156&lt;&gt;"","5a Information sent",IF(G156&lt;&gt;"","5 Interested","—"))))))))))))</f>
        <v/>
      </c>
      <c r="AC156" s="10">
        <f>IF(A156="","",(COUNT(G156,H156,K156,L156,M156,N156,O156,Q156,R156)+(I156="Y")+(P156="Y")+(S156="Y"))/12)</f>
        <v/>
      </c>
      <c r="AD156">
        <f>IF(OR(A156="",COUNT(G156:X156)=0),"",TODAY()-MAX(G156,H156,K156,L156,M156,N156,O156,Q156,R156,W156,X156))</f>
        <v/>
      </c>
      <c r="AE156">
        <f>IF(A156="","",IF(AND(Z156&lt;&gt;"YES",AD156&lt;&gt;"",AD156&gt;THRESHOLDS!$B$12),"STUCK — act today",""))</f>
        <v/>
      </c>
      <c r="AF156">
        <f>IF(A156="","",IF(J156="Active (verified)","",IF(J156="","Ask GST status (readiness R2)","Escalate to founder: orders need verified GSTIN in current code — no tax advice")))</f>
        <v/>
      </c>
      <c r="AG156">
        <f>IF(AND(G156&lt;&gt;"",L156&lt;&gt;""),L156-G156,"")</f>
        <v/>
      </c>
      <c r="AH156">
        <f>IF(AND(L156&lt;&gt;"",N156&lt;&gt;""),N156-L156,"")</f>
        <v/>
      </c>
      <c r="AI156">
        <f>IF(AND(N156&lt;&gt;"",AA156&lt;&gt;""),AA156-N156,"")</f>
        <v/>
      </c>
      <c r="AJ156">
        <f>IF(AND(L156&lt;&gt;"",N156&lt;&gt;"",Q156&lt;&gt;""),"Qualifies (if FP-QUAL adopted)","")</f>
        <v/>
      </c>
    </row>
    <row r="157">
      <c r="G157" s="9" t="n"/>
      <c r="H157" s="9" t="n"/>
      <c r="K157" s="9" t="n"/>
      <c r="L157" s="9" t="n"/>
      <c r="M157" s="9" t="n"/>
      <c r="N157" s="9" t="n"/>
      <c r="O157" s="9" t="n"/>
      <c r="Q157" s="9" t="n"/>
      <c r="R157" s="9" t="n"/>
      <c r="W157" s="9" t="n"/>
      <c r="X157" s="9" t="n"/>
      <c r="Z157">
        <f>IF(A157="","",IF(AND(N157&lt;&gt;"",O157&lt;&gt;"",Q157&lt;&gt;"",R157&lt;&gt;"",S157="Y"),"YES","no"))</f>
        <v/>
      </c>
      <c r="AA157" s="9">
        <f>IF(Z157="YES",MAX(N157,O157,Q157,R157),"")</f>
        <v/>
      </c>
      <c r="AB157">
        <f>IF(A157="","",IF(X157&lt;&gt;"","13 Repeat activity",IF(W157&lt;&gt;"","12 First enquiry/order/booking",IF(Z157="YES","11 ACTIVATED",IF(Q157&lt;&gt;"","10 First listing live",IF(O157&lt;&gt;"","9 Profile completed",IF(N157&lt;&gt;"","8 Approved",IF(M157&lt;&gt;"","7 KYC submitted",IF(L157&lt;&gt;"","6 Registration completed",IF(K157&lt;&gt;"","5b Registration started",IF(H157&lt;&gt;"","5a Information sent",IF(G157&lt;&gt;"","5 Interested","—"))))))))))))</f>
        <v/>
      </c>
      <c r="AC157" s="10">
        <f>IF(A157="","",(COUNT(G157,H157,K157,L157,M157,N157,O157,Q157,R157)+(I157="Y")+(P157="Y")+(S157="Y"))/12)</f>
        <v/>
      </c>
      <c r="AD157">
        <f>IF(OR(A157="",COUNT(G157:X157)=0),"",TODAY()-MAX(G157,H157,K157,L157,M157,N157,O157,Q157,R157,W157,X157))</f>
        <v/>
      </c>
      <c r="AE157">
        <f>IF(A157="","",IF(AND(Z157&lt;&gt;"YES",AD157&lt;&gt;"",AD157&gt;THRESHOLDS!$B$12),"STUCK — act today",""))</f>
        <v/>
      </c>
      <c r="AF157">
        <f>IF(A157="","",IF(J157="Active (verified)","",IF(J157="","Ask GST status (readiness R2)","Escalate to founder: orders need verified GSTIN in current code — no tax advice")))</f>
        <v/>
      </c>
      <c r="AG157">
        <f>IF(AND(G157&lt;&gt;"",L157&lt;&gt;""),L157-G157,"")</f>
        <v/>
      </c>
      <c r="AH157">
        <f>IF(AND(L157&lt;&gt;"",N157&lt;&gt;""),N157-L157,"")</f>
        <v/>
      </c>
      <c r="AI157">
        <f>IF(AND(N157&lt;&gt;"",AA157&lt;&gt;""),AA157-N157,"")</f>
        <v/>
      </c>
      <c r="AJ157">
        <f>IF(AND(L157&lt;&gt;"",N157&lt;&gt;"",Q157&lt;&gt;""),"Qualifies (if FP-QUAL adopted)","")</f>
        <v/>
      </c>
    </row>
    <row r="158">
      <c r="G158" s="9" t="n"/>
      <c r="H158" s="9" t="n"/>
      <c r="K158" s="9" t="n"/>
      <c r="L158" s="9" t="n"/>
      <c r="M158" s="9" t="n"/>
      <c r="N158" s="9" t="n"/>
      <c r="O158" s="9" t="n"/>
      <c r="Q158" s="9" t="n"/>
      <c r="R158" s="9" t="n"/>
      <c r="W158" s="9" t="n"/>
      <c r="X158" s="9" t="n"/>
      <c r="Z158">
        <f>IF(A158="","",IF(AND(N158&lt;&gt;"",O158&lt;&gt;"",Q158&lt;&gt;"",R158&lt;&gt;"",S158="Y"),"YES","no"))</f>
        <v/>
      </c>
      <c r="AA158" s="9">
        <f>IF(Z158="YES",MAX(N158,O158,Q158,R158),"")</f>
        <v/>
      </c>
      <c r="AB158">
        <f>IF(A158="","",IF(X158&lt;&gt;"","13 Repeat activity",IF(W158&lt;&gt;"","12 First enquiry/order/booking",IF(Z158="YES","11 ACTIVATED",IF(Q158&lt;&gt;"","10 First listing live",IF(O158&lt;&gt;"","9 Profile completed",IF(N158&lt;&gt;"","8 Approved",IF(M158&lt;&gt;"","7 KYC submitted",IF(L158&lt;&gt;"","6 Registration completed",IF(K158&lt;&gt;"","5b Registration started",IF(H158&lt;&gt;"","5a Information sent",IF(G158&lt;&gt;"","5 Interested","—"))))))))))))</f>
        <v/>
      </c>
      <c r="AC158" s="10">
        <f>IF(A158="","",(COUNT(G158,H158,K158,L158,M158,N158,O158,Q158,R158)+(I158="Y")+(P158="Y")+(S158="Y"))/12)</f>
        <v/>
      </c>
      <c r="AD158">
        <f>IF(OR(A158="",COUNT(G158:X158)=0),"",TODAY()-MAX(G158,H158,K158,L158,M158,N158,O158,Q158,R158,W158,X158))</f>
        <v/>
      </c>
      <c r="AE158">
        <f>IF(A158="","",IF(AND(Z158&lt;&gt;"YES",AD158&lt;&gt;"",AD158&gt;THRESHOLDS!$B$12),"STUCK — act today",""))</f>
        <v/>
      </c>
      <c r="AF158">
        <f>IF(A158="","",IF(J158="Active (verified)","",IF(J158="","Ask GST status (readiness R2)","Escalate to founder: orders need verified GSTIN in current code — no tax advice")))</f>
        <v/>
      </c>
      <c r="AG158">
        <f>IF(AND(G158&lt;&gt;"",L158&lt;&gt;""),L158-G158,"")</f>
        <v/>
      </c>
      <c r="AH158">
        <f>IF(AND(L158&lt;&gt;"",N158&lt;&gt;""),N158-L158,"")</f>
        <v/>
      </c>
      <c r="AI158">
        <f>IF(AND(N158&lt;&gt;"",AA158&lt;&gt;""),AA158-N158,"")</f>
        <v/>
      </c>
      <c r="AJ158">
        <f>IF(AND(L158&lt;&gt;"",N158&lt;&gt;"",Q158&lt;&gt;""),"Qualifies (if FP-QUAL adopted)","")</f>
        <v/>
      </c>
    </row>
    <row r="159">
      <c r="G159" s="9" t="n"/>
      <c r="H159" s="9" t="n"/>
      <c r="K159" s="9" t="n"/>
      <c r="L159" s="9" t="n"/>
      <c r="M159" s="9" t="n"/>
      <c r="N159" s="9" t="n"/>
      <c r="O159" s="9" t="n"/>
      <c r="Q159" s="9" t="n"/>
      <c r="R159" s="9" t="n"/>
      <c r="W159" s="9" t="n"/>
      <c r="X159" s="9" t="n"/>
      <c r="Z159">
        <f>IF(A159="","",IF(AND(N159&lt;&gt;"",O159&lt;&gt;"",Q159&lt;&gt;"",R159&lt;&gt;"",S159="Y"),"YES","no"))</f>
        <v/>
      </c>
      <c r="AA159" s="9">
        <f>IF(Z159="YES",MAX(N159,O159,Q159,R159),"")</f>
        <v/>
      </c>
      <c r="AB159">
        <f>IF(A159="","",IF(X159&lt;&gt;"","13 Repeat activity",IF(W159&lt;&gt;"","12 First enquiry/order/booking",IF(Z159="YES","11 ACTIVATED",IF(Q159&lt;&gt;"","10 First listing live",IF(O159&lt;&gt;"","9 Profile completed",IF(N159&lt;&gt;"","8 Approved",IF(M159&lt;&gt;"","7 KYC submitted",IF(L159&lt;&gt;"","6 Registration completed",IF(K159&lt;&gt;"","5b Registration started",IF(H159&lt;&gt;"","5a Information sent",IF(G159&lt;&gt;"","5 Interested","—"))))))))))))</f>
        <v/>
      </c>
      <c r="AC159" s="10">
        <f>IF(A159="","",(COUNT(G159,H159,K159,L159,M159,N159,O159,Q159,R159)+(I159="Y")+(P159="Y")+(S159="Y"))/12)</f>
        <v/>
      </c>
      <c r="AD159">
        <f>IF(OR(A159="",COUNT(G159:X159)=0),"",TODAY()-MAX(G159,H159,K159,L159,M159,N159,O159,Q159,R159,W159,X159))</f>
        <v/>
      </c>
      <c r="AE159">
        <f>IF(A159="","",IF(AND(Z159&lt;&gt;"YES",AD159&lt;&gt;"",AD159&gt;THRESHOLDS!$B$12),"STUCK — act today",""))</f>
        <v/>
      </c>
      <c r="AF159">
        <f>IF(A159="","",IF(J159="Active (verified)","",IF(J159="","Ask GST status (readiness R2)","Escalate to founder: orders need verified GSTIN in current code — no tax advice")))</f>
        <v/>
      </c>
      <c r="AG159">
        <f>IF(AND(G159&lt;&gt;"",L159&lt;&gt;""),L159-G159,"")</f>
        <v/>
      </c>
      <c r="AH159">
        <f>IF(AND(L159&lt;&gt;"",N159&lt;&gt;""),N159-L159,"")</f>
        <v/>
      </c>
      <c r="AI159">
        <f>IF(AND(N159&lt;&gt;"",AA159&lt;&gt;""),AA159-N159,"")</f>
        <v/>
      </c>
      <c r="AJ159">
        <f>IF(AND(L159&lt;&gt;"",N159&lt;&gt;"",Q159&lt;&gt;""),"Qualifies (if FP-QUAL adopted)","")</f>
        <v/>
      </c>
    </row>
    <row r="160">
      <c r="G160" s="9" t="n"/>
      <c r="H160" s="9" t="n"/>
      <c r="K160" s="9" t="n"/>
      <c r="L160" s="9" t="n"/>
      <c r="M160" s="9" t="n"/>
      <c r="N160" s="9" t="n"/>
      <c r="O160" s="9" t="n"/>
      <c r="Q160" s="9" t="n"/>
      <c r="R160" s="9" t="n"/>
      <c r="W160" s="9" t="n"/>
      <c r="X160" s="9" t="n"/>
      <c r="Z160">
        <f>IF(A160="","",IF(AND(N160&lt;&gt;"",O160&lt;&gt;"",Q160&lt;&gt;"",R160&lt;&gt;"",S160="Y"),"YES","no"))</f>
        <v/>
      </c>
      <c r="AA160" s="9">
        <f>IF(Z160="YES",MAX(N160,O160,Q160,R160),"")</f>
        <v/>
      </c>
      <c r="AB160">
        <f>IF(A160="","",IF(X160&lt;&gt;"","13 Repeat activity",IF(W160&lt;&gt;"","12 First enquiry/order/booking",IF(Z160="YES","11 ACTIVATED",IF(Q160&lt;&gt;"","10 First listing live",IF(O160&lt;&gt;"","9 Profile completed",IF(N160&lt;&gt;"","8 Approved",IF(M160&lt;&gt;"","7 KYC submitted",IF(L160&lt;&gt;"","6 Registration completed",IF(K160&lt;&gt;"","5b Registration started",IF(H160&lt;&gt;"","5a Information sent",IF(G160&lt;&gt;"","5 Interested","—"))))))))))))</f>
        <v/>
      </c>
      <c r="AC160" s="10">
        <f>IF(A160="","",(COUNT(G160,H160,K160,L160,M160,N160,O160,Q160,R160)+(I160="Y")+(P160="Y")+(S160="Y"))/12)</f>
        <v/>
      </c>
      <c r="AD160">
        <f>IF(OR(A160="",COUNT(G160:X160)=0),"",TODAY()-MAX(G160,H160,K160,L160,M160,N160,O160,Q160,R160,W160,X160))</f>
        <v/>
      </c>
      <c r="AE160">
        <f>IF(A160="","",IF(AND(Z160&lt;&gt;"YES",AD160&lt;&gt;"",AD160&gt;THRESHOLDS!$B$12),"STUCK — act today",""))</f>
        <v/>
      </c>
      <c r="AF160">
        <f>IF(A160="","",IF(J160="Active (verified)","",IF(J160="","Ask GST status (readiness R2)","Escalate to founder: orders need verified GSTIN in current code — no tax advice")))</f>
        <v/>
      </c>
      <c r="AG160">
        <f>IF(AND(G160&lt;&gt;"",L160&lt;&gt;""),L160-G160,"")</f>
        <v/>
      </c>
      <c r="AH160">
        <f>IF(AND(L160&lt;&gt;"",N160&lt;&gt;""),N160-L160,"")</f>
        <v/>
      </c>
      <c r="AI160">
        <f>IF(AND(N160&lt;&gt;"",AA160&lt;&gt;""),AA160-N160,"")</f>
        <v/>
      </c>
      <c r="AJ160">
        <f>IF(AND(L160&lt;&gt;"",N160&lt;&gt;"",Q160&lt;&gt;""),"Qualifies (if FP-QUAL adopted)","")</f>
        <v/>
      </c>
    </row>
    <row r="161">
      <c r="G161" s="9" t="n"/>
      <c r="H161" s="9" t="n"/>
      <c r="K161" s="9" t="n"/>
      <c r="L161" s="9" t="n"/>
      <c r="M161" s="9" t="n"/>
      <c r="N161" s="9" t="n"/>
      <c r="O161" s="9" t="n"/>
      <c r="Q161" s="9" t="n"/>
      <c r="R161" s="9" t="n"/>
      <c r="W161" s="9" t="n"/>
      <c r="X161" s="9" t="n"/>
      <c r="Z161">
        <f>IF(A161="","",IF(AND(N161&lt;&gt;"",O161&lt;&gt;"",Q161&lt;&gt;"",R161&lt;&gt;"",S161="Y"),"YES","no"))</f>
        <v/>
      </c>
      <c r="AA161" s="9">
        <f>IF(Z161="YES",MAX(N161,O161,Q161,R161),"")</f>
        <v/>
      </c>
      <c r="AB161">
        <f>IF(A161="","",IF(X161&lt;&gt;"","13 Repeat activity",IF(W161&lt;&gt;"","12 First enquiry/order/booking",IF(Z161="YES","11 ACTIVATED",IF(Q161&lt;&gt;"","10 First listing live",IF(O161&lt;&gt;"","9 Profile completed",IF(N161&lt;&gt;"","8 Approved",IF(M161&lt;&gt;"","7 KYC submitted",IF(L161&lt;&gt;"","6 Registration completed",IF(K161&lt;&gt;"","5b Registration started",IF(H161&lt;&gt;"","5a Information sent",IF(G161&lt;&gt;"","5 Interested","—"))))))))))))</f>
        <v/>
      </c>
      <c r="AC161" s="10">
        <f>IF(A161="","",(COUNT(G161,H161,K161,L161,M161,N161,O161,Q161,R161)+(I161="Y")+(P161="Y")+(S161="Y"))/12)</f>
        <v/>
      </c>
      <c r="AD161">
        <f>IF(OR(A161="",COUNT(G161:X161)=0),"",TODAY()-MAX(G161,H161,K161,L161,M161,N161,O161,Q161,R161,W161,X161))</f>
        <v/>
      </c>
      <c r="AE161">
        <f>IF(A161="","",IF(AND(Z161&lt;&gt;"YES",AD161&lt;&gt;"",AD161&gt;THRESHOLDS!$B$12),"STUCK — act today",""))</f>
        <v/>
      </c>
      <c r="AF161">
        <f>IF(A161="","",IF(J161="Active (verified)","",IF(J161="","Ask GST status (readiness R2)","Escalate to founder: orders need verified GSTIN in current code — no tax advice")))</f>
        <v/>
      </c>
      <c r="AG161">
        <f>IF(AND(G161&lt;&gt;"",L161&lt;&gt;""),L161-G161,"")</f>
        <v/>
      </c>
      <c r="AH161">
        <f>IF(AND(L161&lt;&gt;"",N161&lt;&gt;""),N161-L161,"")</f>
        <v/>
      </c>
      <c r="AI161">
        <f>IF(AND(N161&lt;&gt;"",AA161&lt;&gt;""),AA161-N161,"")</f>
        <v/>
      </c>
      <c r="AJ161">
        <f>IF(AND(L161&lt;&gt;"",N161&lt;&gt;"",Q161&lt;&gt;""),"Qualifies (if FP-QUAL adopted)","")</f>
        <v/>
      </c>
    </row>
    <row r="162">
      <c r="G162" s="9" t="n"/>
      <c r="H162" s="9" t="n"/>
      <c r="K162" s="9" t="n"/>
      <c r="L162" s="9" t="n"/>
      <c r="M162" s="9" t="n"/>
      <c r="N162" s="9" t="n"/>
      <c r="O162" s="9" t="n"/>
      <c r="Q162" s="9" t="n"/>
      <c r="R162" s="9" t="n"/>
      <c r="W162" s="9" t="n"/>
      <c r="X162" s="9" t="n"/>
      <c r="Z162">
        <f>IF(A162="","",IF(AND(N162&lt;&gt;"",O162&lt;&gt;"",Q162&lt;&gt;"",R162&lt;&gt;"",S162="Y"),"YES","no"))</f>
        <v/>
      </c>
      <c r="AA162" s="9">
        <f>IF(Z162="YES",MAX(N162,O162,Q162,R162),"")</f>
        <v/>
      </c>
      <c r="AB162">
        <f>IF(A162="","",IF(X162&lt;&gt;"","13 Repeat activity",IF(W162&lt;&gt;"","12 First enquiry/order/booking",IF(Z162="YES","11 ACTIVATED",IF(Q162&lt;&gt;"","10 First listing live",IF(O162&lt;&gt;"","9 Profile completed",IF(N162&lt;&gt;"","8 Approved",IF(M162&lt;&gt;"","7 KYC submitted",IF(L162&lt;&gt;"","6 Registration completed",IF(K162&lt;&gt;"","5b Registration started",IF(H162&lt;&gt;"","5a Information sent",IF(G162&lt;&gt;"","5 Interested","—"))))))))))))</f>
        <v/>
      </c>
      <c r="AC162" s="10">
        <f>IF(A162="","",(COUNT(G162,H162,K162,L162,M162,N162,O162,Q162,R162)+(I162="Y")+(P162="Y")+(S162="Y"))/12)</f>
        <v/>
      </c>
      <c r="AD162">
        <f>IF(OR(A162="",COUNT(G162:X162)=0),"",TODAY()-MAX(G162,H162,K162,L162,M162,N162,O162,Q162,R162,W162,X162))</f>
        <v/>
      </c>
      <c r="AE162">
        <f>IF(A162="","",IF(AND(Z162&lt;&gt;"YES",AD162&lt;&gt;"",AD162&gt;THRESHOLDS!$B$12),"STUCK — act today",""))</f>
        <v/>
      </c>
      <c r="AF162">
        <f>IF(A162="","",IF(J162="Active (verified)","",IF(J162="","Ask GST status (readiness R2)","Escalate to founder: orders need verified GSTIN in current code — no tax advice")))</f>
        <v/>
      </c>
      <c r="AG162">
        <f>IF(AND(G162&lt;&gt;"",L162&lt;&gt;""),L162-G162,"")</f>
        <v/>
      </c>
      <c r="AH162">
        <f>IF(AND(L162&lt;&gt;"",N162&lt;&gt;""),N162-L162,"")</f>
        <v/>
      </c>
      <c r="AI162">
        <f>IF(AND(N162&lt;&gt;"",AA162&lt;&gt;""),AA162-N162,"")</f>
        <v/>
      </c>
      <c r="AJ162">
        <f>IF(AND(L162&lt;&gt;"",N162&lt;&gt;"",Q162&lt;&gt;""),"Qualifies (if FP-QUAL adopted)","")</f>
        <v/>
      </c>
    </row>
    <row r="163">
      <c r="G163" s="9" t="n"/>
      <c r="H163" s="9" t="n"/>
      <c r="K163" s="9" t="n"/>
      <c r="L163" s="9" t="n"/>
      <c r="M163" s="9" t="n"/>
      <c r="N163" s="9" t="n"/>
      <c r="O163" s="9" t="n"/>
      <c r="Q163" s="9" t="n"/>
      <c r="R163" s="9" t="n"/>
      <c r="W163" s="9" t="n"/>
      <c r="X163" s="9" t="n"/>
      <c r="Z163">
        <f>IF(A163="","",IF(AND(N163&lt;&gt;"",O163&lt;&gt;"",Q163&lt;&gt;"",R163&lt;&gt;"",S163="Y"),"YES","no"))</f>
        <v/>
      </c>
      <c r="AA163" s="9">
        <f>IF(Z163="YES",MAX(N163,O163,Q163,R163),"")</f>
        <v/>
      </c>
      <c r="AB163">
        <f>IF(A163="","",IF(X163&lt;&gt;"","13 Repeat activity",IF(W163&lt;&gt;"","12 First enquiry/order/booking",IF(Z163="YES","11 ACTIVATED",IF(Q163&lt;&gt;"","10 First listing live",IF(O163&lt;&gt;"","9 Profile completed",IF(N163&lt;&gt;"","8 Approved",IF(M163&lt;&gt;"","7 KYC submitted",IF(L163&lt;&gt;"","6 Registration completed",IF(K163&lt;&gt;"","5b Registration started",IF(H163&lt;&gt;"","5a Information sent",IF(G163&lt;&gt;"","5 Interested","—"))))))))))))</f>
        <v/>
      </c>
      <c r="AC163" s="10">
        <f>IF(A163="","",(COUNT(G163,H163,K163,L163,M163,N163,O163,Q163,R163)+(I163="Y")+(P163="Y")+(S163="Y"))/12)</f>
        <v/>
      </c>
      <c r="AD163">
        <f>IF(OR(A163="",COUNT(G163:X163)=0),"",TODAY()-MAX(G163,H163,K163,L163,M163,N163,O163,Q163,R163,W163,X163))</f>
        <v/>
      </c>
      <c r="AE163">
        <f>IF(A163="","",IF(AND(Z163&lt;&gt;"YES",AD163&lt;&gt;"",AD163&gt;THRESHOLDS!$B$12),"STUCK — act today",""))</f>
        <v/>
      </c>
      <c r="AF163">
        <f>IF(A163="","",IF(J163="Active (verified)","",IF(J163="","Ask GST status (readiness R2)","Escalate to founder: orders need verified GSTIN in current code — no tax advice")))</f>
        <v/>
      </c>
      <c r="AG163">
        <f>IF(AND(G163&lt;&gt;"",L163&lt;&gt;""),L163-G163,"")</f>
        <v/>
      </c>
      <c r="AH163">
        <f>IF(AND(L163&lt;&gt;"",N163&lt;&gt;""),N163-L163,"")</f>
        <v/>
      </c>
      <c r="AI163">
        <f>IF(AND(N163&lt;&gt;"",AA163&lt;&gt;""),AA163-N163,"")</f>
        <v/>
      </c>
      <c r="AJ163">
        <f>IF(AND(L163&lt;&gt;"",N163&lt;&gt;"",Q163&lt;&gt;""),"Qualifies (if FP-QUAL adopted)","")</f>
        <v/>
      </c>
    </row>
    <row r="164">
      <c r="G164" s="9" t="n"/>
      <c r="H164" s="9" t="n"/>
      <c r="K164" s="9" t="n"/>
      <c r="L164" s="9" t="n"/>
      <c r="M164" s="9" t="n"/>
      <c r="N164" s="9" t="n"/>
      <c r="O164" s="9" t="n"/>
      <c r="Q164" s="9" t="n"/>
      <c r="R164" s="9" t="n"/>
      <c r="W164" s="9" t="n"/>
      <c r="X164" s="9" t="n"/>
      <c r="Z164">
        <f>IF(A164="","",IF(AND(N164&lt;&gt;"",O164&lt;&gt;"",Q164&lt;&gt;"",R164&lt;&gt;"",S164="Y"),"YES","no"))</f>
        <v/>
      </c>
      <c r="AA164" s="9">
        <f>IF(Z164="YES",MAX(N164,O164,Q164,R164),"")</f>
        <v/>
      </c>
      <c r="AB164">
        <f>IF(A164="","",IF(X164&lt;&gt;"","13 Repeat activity",IF(W164&lt;&gt;"","12 First enquiry/order/booking",IF(Z164="YES","11 ACTIVATED",IF(Q164&lt;&gt;"","10 First listing live",IF(O164&lt;&gt;"","9 Profile completed",IF(N164&lt;&gt;"","8 Approved",IF(M164&lt;&gt;"","7 KYC submitted",IF(L164&lt;&gt;"","6 Registration completed",IF(K164&lt;&gt;"","5b Registration started",IF(H164&lt;&gt;"","5a Information sent",IF(G164&lt;&gt;"","5 Interested","—"))))))))))))</f>
        <v/>
      </c>
      <c r="AC164" s="10">
        <f>IF(A164="","",(COUNT(G164,H164,K164,L164,M164,N164,O164,Q164,R164)+(I164="Y")+(P164="Y")+(S164="Y"))/12)</f>
        <v/>
      </c>
      <c r="AD164">
        <f>IF(OR(A164="",COUNT(G164:X164)=0),"",TODAY()-MAX(G164,H164,K164,L164,M164,N164,O164,Q164,R164,W164,X164))</f>
        <v/>
      </c>
      <c r="AE164">
        <f>IF(A164="","",IF(AND(Z164&lt;&gt;"YES",AD164&lt;&gt;"",AD164&gt;THRESHOLDS!$B$12),"STUCK — act today",""))</f>
        <v/>
      </c>
      <c r="AF164">
        <f>IF(A164="","",IF(J164="Active (verified)","",IF(J164="","Ask GST status (readiness R2)","Escalate to founder: orders need verified GSTIN in current code — no tax advice")))</f>
        <v/>
      </c>
      <c r="AG164">
        <f>IF(AND(G164&lt;&gt;"",L164&lt;&gt;""),L164-G164,"")</f>
        <v/>
      </c>
      <c r="AH164">
        <f>IF(AND(L164&lt;&gt;"",N164&lt;&gt;""),N164-L164,"")</f>
        <v/>
      </c>
      <c r="AI164">
        <f>IF(AND(N164&lt;&gt;"",AA164&lt;&gt;""),AA164-N164,"")</f>
        <v/>
      </c>
      <c r="AJ164">
        <f>IF(AND(L164&lt;&gt;"",N164&lt;&gt;"",Q164&lt;&gt;""),"Qualifies (if FP-QUAL adopted)","")</f>
        <v/>
      </c>
    </row>
    <row r="165">
      <c r="G165" s="9" t="n"/>
      <c r="H165" s="9" t="n"/>
      <c r="K165" s="9" t="n"/>
      <c r="L165" s="9" t="n"/>
      <c r="M165" s="9" t="n"/>
      <c r="N165" s="9" t="n"/>
      <c r="O165" s="9" t="n"/>
      <c r="Q165" s="9" t="n"/>
      <c r="R165" s="9" t="n"/>
      <c r="W165" s="9" t="n"/>
      <c r="X165" s="9" t="n"/>
      <c r="Z165">
        <f>IF(A165="","",IF(AND(N165&lt;&gt;"",O165&lt;&gt;"",Q165&lt;&gt;"",R165&lt;&gt;"",S165="Y"),"YES","no"))</f>
        <v/>
      </c>
      <c r="AA165" s="9">
        <f>IF(Z165="YES",MAX(N165,O165,Q165,R165),"")</f>
        <v/>
      </c>
      <c r="AB165">
        <f>IF(A165="","",IF(X165&lt;&gt;"","13 Repeat activity",IF(W165&lt;&gt;"","12 First enquiry/order/booking",IF(Z165="YES","11 ACTIVATED",IF(Q165&lt;&gt;"","10 First listing live",IF(O165&lt;&gt;"","9 Profile completed",IF(N165&lt;&gt;"","8 Approved",IF(M165&lt;&gt;"","7 KYC submitted",IF(L165&lt;&gt;"","6 Registration completed",IF(K165&lt;&gt;"","5b Registration started",IF(H165&lt;&gt;"","5a Information sent",IF(G165&lt;&gt;"","5 Interested","—"))))))))))))</f>
        <v/>
      </c>
      <c r="AC165" s="10">
        <f>IF(A165="","",(COUNT(G165,H165,K165,L165,M165,N165,O165,Q165,R165)+(I165="Y")+(P165="Y")+(S165="Y"))/12)</f>
        <v/>
      </c>
      <c r="AD165">
        <f>IF(OR(A165="",COUNT(G165:X165)=0),"",TODAY()-MAX(G165,H165,K165,L165,M165,N165,O165,Q165,R165,W165,X165))</f>
        <v/>
      </c>
      <c r="AE165">
        <f>IF(A165="","",IF(AND(Z165&lt;&gt;"YES",AD165&lt;&gt;"",AD165&gt;THRESHOLDS!$B$12),"STUCK — act today",""))</f>
        <v/>
      </c>
      <c r="AF165">
        <f>IF(A165="","",IF(J165="Active (verified)","",IF(J165="","Ask GST status (readiness R2)","Escalate to founder: orders need verified GSTIN in current code — no tax advice")))</f>
        <v/>
      </c>
      <c r="AG165">
        <f>IF(AND(G165&lt;&gt;"",L165&lt;&gt;""),L165-G165,"")</f>
        <v/>
      </c>
      <c r="AH165">
        <f>IF(AND(L165&lt;&gt;"",N165&lt;&gt;""),N165-L165,"")</f>
        <v/>
      </c>
      <c r="AI165">
        <f>IF(AND(N165&lt;&gt;"",AA165&lt;&gt;""),AA165-N165,"")</f>
        <v/>
      </c>
      <c r="AJ165">
        <f>IF(AND(L165&lt;&gt;"",N165&lt;&gt;"",Q165&lt;&gt;""),"Qualifies (if FP-QUAL adopted)","")</f>
        <v/>
      </c>
    </row>
    <row r="166">
      <c r="G166" s="9" t="n"/>
      <c r="H166" s="9" t="n"/>
      <c r="K166" s="9" t="n"/>
      <c r="L166" s="9" t="n"/>
      <c r="M166" s="9" t="n"/>
      <c r="N166" s="9" t="n"/>
      <c r="O166" s="9" t="n"/>
      <c r="Q166" s="9" t="n"/>
      <c r="R166" s="9" t="n"/>
      <c r="W166" s="9" t="n"/>
      <c r="X166" s="9" t="n"/>
      <c r="Z166">
        <f>IF(A166="","",IF(AND(N166&lt;&gt;"",O166&lt;&gt;"",Q166&lt;&gt;"",R166&lt;&gt;"",S166="Y"),"YES","no"))</f>
        <v/>
      </c>
      <c r="AA166" s="9">
        <f>IF(Z166="YES",MAX(N166,O166,Q166,R166),"")</f>
        <v/>
      </c>
      <c r="AB166">
        <f>IF(A166="","",IF(X166&lt;&gt;"","13 Repeat activity",IF(W166&lt;&gt;"","12 First enquiry/order/booking",IF(Z166="YES","11 ACTIVATED",IF(Q166&lt;&gt;"","10 First listing live",IF(O166&lt;&gt;"","9 Profile completed",IF(N166&lt;&gt;"","8 Approved",IF(M166&lt;&gt;"","7 KYC submitted",IF(L166&lt;&gt;"","6 Registration completed",IF(K166&lt;&gt;"","5b Registration started",IF(H166&lt;&gt;"","5a Information sent",IF(G166&lt;&gt;"","5 Interested","—"))))))))))))</f>
        <v/>
      </c>
      <c r="AC166" s="10">
        <f>IF(A166="","",(COUNT(G166,H166,K166,L166,M166,N166,O166,Q166,R166)+(I166="Y")+(P166="Y")+(S166="Y"))/12)</f>
        <v/>
      </c>
      <c r="AD166">
        <f>IF(OR(A166="",COUNT(G166:X166)=0),"",TODAY()-MAX(G166,H166,K166,L166,M166,N166,O166,Q166,R166,W166,X166))</f>
        <v/>
      </c>
      <c r="AE166">
        <f>IF(A166="","",IF(AND(Z166&lt;&gt;"YES",AD166&lt;&gt;"",AD166&gt;THRESHOLDS!$B$12),"STUCK — act today",""))</f>
        <v/>
      </c>
      <c r="AF166">
        <f>IF(A166="","",IF(J166="Active (verified)","",IF(J166="","Ask GST status (readiness R2)","Escalate to founder: orders need verified GSTIN in current code — no tax advice")))</f>
        <v/>
      </c>
      <c r="AG166">
        <f>IF(AND(G166&lt;&gt;"",L166&lt;&gt;""),L166-G166,"")</f>
        <v/>
      </c>
      <c r="AH166">
        <f>IF(AND(L166&lt;&gt;"",N166&lt;&gt;""),N166-L166,"")</f>
        <v/>
      </c>
      <c r="AI166">
        <f>IF(AND(N166&lt;&gt;"",AA166&lt;&gt;""),AA166-N166,"")</f>
        <v/>
      </c>
      <c r="AJ166">
        <f>IF(AND(L166&lt;&gt;"",N166&lt;&gt;"",Q166&lt;&gt;""),"Qualifies (if FP-QUAL adopted)","")</f>
        <v/>
      </c>
    </row>
    <row r="167">
      <c r="G167" s="9" t="n"/>
      <c r="H167" s="9" t="n"/>
      <c r="K167" s="9" t="n"/>
      <c r="L167" s="9" t="n"/>
      <c r="M167" s="9" t="n"/>
      <c r="N167" s="9" t="n"/>
      <c r="O167" s="9" t="n"/>
      <c r="Q167" s="9" t="n"/>
      <c r="R167" s="9" t="n"/>
      <c r="W167" s="9" t="n"/>
      <c r="X167" s="9" t="n"/>
      <c r="Z167">
        <f>IF(A167="","",IF(AND(N167&lt;&gt;"",O167&lt;&gt;"",Q167&lt;&gt;"",R167&lt;&gt;"",S167="Y"),"YES","no"))</f>
        <v/>
      </c>
      <c r="AA167" s="9">
        <f>IF(Z167="YES",MAX(N167,O167,Q167,R167),"")</f>
        <v/>
      </c>
      <c r="AB167">
        <f>IF(A167="","",IF(X167&lt;&gt;"","13 Repeat activity",IF(W167&lt;&gt;"","12 First enquiry/order/booking",IF(Z167="YES","11 ACTIVATED",IF(Q167&lt;&gt;"","10 First listing live",IF(O167&lt;&gt;"","9 Profile completed",IF(N167&lt;&gt;"","8 Approved",IF(M167&lt;&gt;"","7 KYC submitted",IF(L167&lt;&gt;"","6 Registration completed",IF(K167&lt;&gt;"","5b Registration started",IF(H167&lt;&gt;"","5a Information sent",IF(G167&lt;&gt;"","5 Interested","—"))))))))))))</f>
        <v/>
      </c>
      <c r="AC167" s="10">
        <f>IF(A167="","",(COUNT(G167,H167,K167,L167,M167,N167,O167,Q167,R167)+(I167="Y")+(P167="Y")+(S167="Y"))/12)</f>
        <v/>
      </c>
      <c r="AD167">
        <f>IF(OR(A167="",COUNT(G167:X167)=0),"",TODAY()-MAX(G167,H167,K167,L167,M167,N167,O167,Q167,R167,W167,X167))</f>
        <v/>
      </c>
      <c r="AE167">
        <f>IF(A167="","",IF(AND(Z167&lt;&gt;"YES",AD167&lt;&gt;"",AD167&gt;THRESHOLDS!$B$12),"STUCK — act today",""))</f>
        <v/>
      </c>
      <c r="AF167">
        <f>IF(A167="","",IF(J167="Active (verified)","",IF(J167="","Ask GST status (readiness R2)","Escalate to founder: orders need verified GSTIN in current code — no tax advice")))</f>
        <v/>
      </c>
      <c r="AG167">
        <f>IF(AND(G167&lt;&gt;"",L167&lt;&gt;""),L167-G167,"")</f>
        <v/>
      </c>
      <c r="AH167">
        <f>IF(AND(L167&lt;&gt;"",N167&lt;&gt;""),N167-L167,"")</f>
        <v/>
      </c>
      <c r="AI167">
        <f>IF(AND(N167&lt;&gt;"",AA167&lt;&gt;""),AA167-N167,"")</f>
        <v/>
      </c>
      <c r="AJ167">
        <f>IF(AND(L167&lt;&gt;"",N167&lt;&gt;"",Q167&lt;&gt;""),"Qualifies (if FP-QUAL adopted)","")</f>
        <v/>
      </c>
    </row>
    <row r="168">
      <c r="G168" s="9" t="n"/>
      <c r="H168" s="9" t="n"/>
      <c r="K168" s="9" t="n"/>
      <c r="L168" s="9" t="n"/>
      <c r="M168" s="9" t="n"/>
      <c r="N168" s="9" t="n"/>
      <c r="O168" s="9" t="n"/>
      <c r="Q168" s="9" t="n"/>
      <c r="R168" s="9" t="n"/>
      <c r="W168" s="9" t="n"/>
      <c r="X168" s="9" t="n"/>
      <c r="Z168">
        <f>IF(A168="","",IF(AND(N168&lt;&gt;"",O168&lt;&gt;"",Q168&lt;&gt;"",R168&lt;&gt;"",S168="Y"),"YES","no"))</f>
        <v/>
      </c>
      <c r="AA168" s="9">
        <f>IF(Z168="YES",MAX(N168,O168,Q168,R168),"")</f>
        <v/>
      </c>
      <c r="AB168">
        <f>IF(A168="","",IF(X168&lt;&gt;"","13 Repeat activity",IF(W168&lt;&gt;"","12 First enquiry/order/booking",IF(Z168="YES","11 ACTIVATED",IF(Q168&lt;&gt;"","10 First listing live",IF(O168&lt;&gt;"","9 Profile completed",IF(N168&lt;&gt;"","8 Approved",IF(M168&lt;&gt;"","7 KYC submitted",IF(L168&lt;&gt;"","6 Registration completed",IF(K168&lt;&gt;"","5b Registration started",IF(H168&lt;&gt;"","5a Information sent",IF(G168&lt;&gt;"","5 Interested","—"))))))))))))</f>
        <v/>
      </c>
      <c r="AC168" s="10">
        <f>IF(A168="","",(COUNT(G168,H168,K168,L168,M168,N168,O168,Q168,R168)+(I168="Y")+(P168="Y")+(S168="Y"))/12)</f>
        <v/>
      </c>
      <c r="AD168">
        <f>IF(OR(A168="",COUNT(G168:X168)=0),"",TODAY()-MAX(G168,H168,K168,L168,M168,N168,O168,Q168,R168,W168,X168))</f>
        <v/>
      </c>
      <c r="AE168">
        <f>IF(A168="","",IF(AND(Z168&lt;&gt;"YES",AD168&lt;&gt;"",AD168&gt;THRESHOLDS!$B$12),"STUCK — act today",""))</f>
        <v/>
      </c>
      <c r="AF168">
        <f>IF(A168="","",IF(J168="Active (verified)","",IF(J168="","Ask GST status (readiness R2)","Escalate to founder: orders need verified GSTIN in current code — no tax advice")))</f>
        <v/>
      </c>
      <c r="AG168">
        <f>IF(AND(G168&lt;&gt;"",L168&lt;&gt;""),L168-G168,"")</f>
        <v/>
      </c>
      <c r="AH168">
        <f>IF(AND(L168&lt;&gt;"",N168&lt;&gt;""),N168-L168,"")</f>
        <v/>
      </c>
      <c r="AI168">
        <f>IF(AND(N168&lt;&gt;"",AA168&lt;&gt;""),AA168-N168,"")</f>
        <v/>
      </c>
      <c r="AJ168">
        <f>IF(AND(L168&lt;&gt;"",N168&lt;&gt;"",Q168&lt;&gt;""),"Qualifies (if FP-QUAL adopted)","")</f>
        <v/>
      </c>
    </row>
    <row r="169">
      <c r="G169" s="9" t="n"/>
      <c r="H169" s="9" t="n"/>
      <c r="K169" s="9" t="n"/>
      <c r="L169" s="9" t="n"/>
      <c r="M169" s="9" t="n"/>
      <c r="N169" s="9" t="n"/>
      <c r="O169" s="9" t="n"/>
      <c r="Q169" s="9" t="n"/>
      <c r="R169" s="9" t="n"/>
      <c r="W169" s="9" t="n"/>
      <c r="X169" s="9" t="n"/>
      <c r="Z169">
        <f>IF(A169="","",IF(AND(N169&lt;&gt;"",O169&lt;&gt;"",Q169&lt;&gt;"",R169&lt;&gt;"",S169="Y"),"YES","no"))</f>
        <v/>
      </c>
      <c r="AA169" s="9">
        <f>IF(Z169="YES",MAX(N169,O169,Q169,R169),"")</f>
        <v/>
      </c>
      <c r="AB169">
        <f>IF(A169="","",IF(X169&lt;&gt;"","13 Repeat activity",IF(W169&lt;&gt;"","12 First enquiry/order/booking",IF(Z169="YES","11 ACTIVATED",IF(Q169&lt;&gt;"","10 First listing live",IF(O169&lt;&gt;"","9 Profile completed",IF(N169&lt;&gt;"","8 Approved",IF(M169&lt;&gt;"","7 KYC submitted",IF(L169&lt;&gt;"","6 Registration completed",IF(K169&lt;&gt;"","5b Registration started",IF(H169&lt;&gt;"","5a Information sent",IF(G169&lt;&gt;"","5 Interested","—"))))))))))))</f>
        <v/>
      </c>
      <c r="AC169" s="10">
        <f>IF(A169="","",(COUNT(G169,H169,K169,L169,M169,N169,O169,Q169,R169)+(I169="Y")+(P169="Y")+(S169="Y"))/12)</f>
        <v/>
      </c>
      <c r="AD169">
        <f>IF(OR(A169="",COUNT(G169:X169)=0),"",TODAY()-MAX(G169,H169,K169,L169,M169,N169,O169,Q169,R169,W169,X169))</f>
        <v/>
      </c>
      <c r="AE169">
        <f>IF(A169="","",IF(AND(Z169&lt;&gt;"YES",AD169&lt;&gt;"",AD169&gt;THRESHOLDS!$B$12),"STUCK — act today",""))</f>
        <v/>
      </c>
      <c r="AF169">
        <f>IF(A169="","",IF(J169="Active (verified)","",IF(J169="","Ask GST status (readiness R2)","Escalate to founder: orders need verified GSTIN in current code — no tax advice")))</f>
        <v/>
      </c>
      <c r="AG169">
        <f>IF(AND(G169&lt;&gt;"",L169&lt;&gt;""),L169-G169,"")</f>
        <v/>
      </c>
      <c r="AH169">
        <f>IF(AND(L169&lt;&gt;"",N169&lt;&gt;""),N169-L169,"")</f>
        <v/>
      </c>
      <c r="AI169">
        <f>IF(AND(N169&lt;&gt;"",AA169&lt;&gt;""),AA169-N169,"")</f>
        <v/>
      </c>
      <c r="AJ169">
        <f>IF(AND(L169&lt;&gt;"",N169&lt;&gt;"",Q169&lt;&gt;""),"Qualifies (if FP-QUAL adopted)","")</f>
        <v/>
      </c>
    </row>
    <row r="170">
      <c r="G170" s="9" t="n"/>
      <c r="H170" s="9" t="n"/>
      <c r="K170" s="9" t="n"/>
      <c r="L170" s="9" t="n"/>
      <c r="M170" s="9" t="n"/>
      <c r="N170" s="9" t="n"/>
      <c r="O170" s="9" t="n"/>
      <c r="Q170" s="9" t="n"/>
      <c r="R170" s="9" t="n"/>
      <c r="W170" s="9" t="n"/>
      <c r="X170" s="9" t="n"/>
      <c r="Z170">
        <f>IF(A170="","",IF(AND(N170&lt;&gt;"",O170&lt;&gt;"",Q170&lt;&gt;"",R170&lt;&gt;"",S170="Y"),"YES","no"))</f>
        <v/>
      </c>
      <c r="AA170" s="9">
        <f>IF(Z170="YES",MAX(N170,O170,Q170,R170),"")</f>
        <v/>
      </c>
      <c r="AB170">
        <f>IF(A170="","",IF(X170&lt;&gt;"","13 Repeat activity",IF(W170&lt;&gt;"","12 First enquiry/order/booking",IF(Z170="YES","11 ACTIVATED",IF(Q170&lt;&gt;"","10 First listing live",IF(O170&lt;&gt;"","9 Profile completed",IF(N170&lt;&gt;"","8 Approved",IF(M170&lt;&gt;"","7 KYC submitted",IF(L170&lt;&gt;"","6 Registration completed",IF(K170&lt;&gt;"","5b Registration started",IF(H170&lt;&gt;"","5a Information sent",IF(G170&lt;&gt;"","5 Interested","—"))))))))))))</f>
        <v/>
      </c>
      <c r="AC170" s="10">
        <f>IF(A170="","",(COUNT(G170,H170,K170,L170,M170,N170,O170,Q170,R170)+(I170="Y")+(P170="Y")+(S170="Y"))/12)</f>
        <v/>
      </c>
      <c r="AD170">
        <f>IF(OR(A170="",COUNT(G170:X170)=0),"",TODAY()-MAX(G170,H170,K170,L170,M170,N170,O170,Q170,R170,W170,X170))</f>
        <v/>
      </c>
      <c r="AE170">
        <f>IF(A170="","",IF(AND(Z170&lt;&gt;"YES",AD170&lt;&gt;"",AD170&gt;THRESHOLDS!$B$12),"STUCK — act today",""))</f>
        <v/>
      </c>
      <c r="AF170">
        <f>IF(A170="","",IF(J170="Active (verified)","",IF(J170="","Ask GST status (readiness R2)","Escalate to founder: orders need verified GSTIN in current code — no tax advice")))</f>
        <v/>
      </c>
      <c r="AG170">
        <f>IF(AND(G170&lt;&gt;"",L170&lt;&gt;""),L170-G170,"")</f>
        <v/>
      </c>
      <c r="AH170">
        <f>IF(AND(L170&lt;&gt;"",N170&lt;&gt;""),N170-L170,"")</f>
        <v/>
      </c>
      <c r="AI170">
        <f>IF(AND(N170&lt;&gt;"",AA170&lt;&gt;""),AA170-N170,"")</f>
        <v/>
      </c>
      <c r="AJ170">
        <f>IF(AND(L170&lt;&gt;"",N170&lt;&gt;"",Q170&lt;&gt;""),"Qualifies (if FP-QUAL adopted)","")</f>
        <v/>
      </c>
    </row>
    <row r="171">
      <c r="G171" s="9" t="n"/>
      <c r="H171" s="9" t="n"/>
      <c r="K171" s="9" t="n"/>
      <c r="L171" s="9" t="n"/>
      <c r="M171" s="9" t="n"/>
      <c r="N171" s="9" t="n"/>
      <c r="O171" s="9" t="n"/>
      <c r="Q171" s="9" t="n"/>
      <c r="R171" s="9" t="n"/>
      <c r="W171" s="9" t="n"/>
      <c r="X171" s="9" t="n"/>
      <c r="Z171">
        <f>IF(A171="","",IF(AND(N171&lt;&gt;"",O171&lt;&gt;"",Q171&lt;&gt;"",R171&lt;&gt;"",S171="Y"),"YES","no"))</f>
        <v/>
      </c>
      <c r="AA171" s="9">
        <f>IF(Z171="YES",MAX(N171,O171,Q171,R171),"")</f>
        <v/>
      </c>
      <c r="AB171">
        <f>IF(A171="","",IF(X171&lt;&gt;"","13 Repeat activity",IF(W171&lt;&gt;"","12 First enquiry/order/booking",IF(Z171="YES","11 ACTIVATED",IF(Q171&lt;&gt;"","10 First listing live",IF(O171&lt;&gt;"","9 Profile completed",IF(N171&lt;&gt;"","8 Approved",IF(M171&lt;&gt;"","7 KYC submitted",IF(L171&lt;&gt;"","6 Registration completed",IF(K171&lt;&gt;"","5b Registration started",IF(H171&lt;&gt;"","5a Information sent",IF(G171&lt;&gt;"","5 Interested","—"))))))))))))</f>
        <v/>
      </c>
      <c r="AC171" s="10">
        <f>IF(A171="","",(COUNT(G171,H171,K171,L171,M171,N171,O171,Q171,R171)+(I171="Y")+(P171="Y")+(S171="Y"))/12)</f>
        <v/>
      </c>
      <c r="AD171">
        <f>IF(OR(A171="",COUNT(G171:X171)=0),"",TODAY()-MAX(G171,H171,K171,L171,M171,N171,O171,Q171,R171,W171,X171))</f>
        <v/>
      </c>
      <c r="AE171">
        <f>IF(A171="","",IF(AND(Z171&lt;&gt;"YES",AD171&lt;&gt;"",AD171&gt;THRESHOLDS!$B$12),"STUCK — act today",""))</f>
        <v/>
      </c>
      <c r="AF171">
        <f>IF(A171="","",IF(J171="Active (verified)","",IF(J171="","Ask GST status (readiness R2)","Escalate to founder: orders need verified GSTIN in current code — no tax advice")))</f>
        <v/>
      </c>
      <c r="AG171">
        <f>IF(AND(G171&lt;&gt;"",L171&lt;&gt;""),L171-G171,"")</f>
        <v/>
      </c>
      <c r="AH171">
        <f>IF(AND(L171&lt;&gt;"",N171&lt;&gt;""),N171-L171,"")</f>
        <v/>
      </c>
      <c r="AI171">
        <f>IF(AND(N171&lt;&gt;"",AA171&lt;&gt;""),AA171-N171,"")</f>
        <v/>
      </c>
      <c r="AJ171">
        <f>IF(AND(L171&lt;&gt;"",N171&lt;&gt;"",Q171&lt;&gt;""),"Qualifies (if FP-QUAL adopted)","")</f>
        <v/>
      </c>
    </row>
    <row r="172">
      <c r="G172" s="9" t="n"/>
      <c r="H172" s="9" t="n"/>
      <c r="K172" s="9" t="n"/>
      <c r="L172" s="9" t="n"/>
      <c r="M172" s="9" t="n"/>
      <c r="N172" s="9" t="n"/>
      <c r="O172" s="9" t="n"/>
      <c r="Q172" s="9" t="n"/>
      <c r="R172" s="9" t="n"/>
      <c r="W172" s="9" t="n"/>
      <c r="X172" s="9" t="n"/>
      <c r="Z172">
        <f>IF(A172="","",IF(AND(N172&lt;&gt;"",O172&lt;&gt;"",Q172&lt;&gt;"",R172&lt;&gt;"",S172="Y"),"YES","no"))</f>
        <v/>
      </c>
      <c r="AA172" s="9">
        <f>IF(Z172="YES",MAX(N172,O172,Q172,R172),"")</f>
        <v/>
      </c>
      <c r="AB172">
        <f>IF(A172="","",IF(X172&lt;&gt;"","13 Repeat activity",IF(W172&lt;&gt;"","12 First enquiry/order/booking",IF(Z172="YES","11 ACTIVATED",IF(Q172&lt;&gt;"","10 First listing live",IF(O172&lt;&gt;"","9 Profile completed",IF(N172&lt;&gt;"","8 Approved",IF(M172&lt;&gt;"","7 KYC submitted",IF(L172&lt;&gt;"","6 Registration completed",IF(K172&lt;&gt;"","5b Registration started",IF(H172&lt;&gt;"","5a Information sent",IF(G172&lt;&gt;"","5 Interested","—"))))))))))))</f>
        <v/>
      </c>
      <c r="AC172" s="10">
        <f>IF(A172="","",(COUNT(G172,H172,K172,L172,M172,N172,O172,Q172,R172)+(I172="Y")+(P172="Y")+(S172="Y"))/12)</f>
        <v/>
      </c>
      <c r="AD172">
        <f>IF(OR(A172="",COUNT(G172:X172)=0),"",TODAY()-MAX(G172,H172,K172,L172,M172,N172,O172,Q172,R172,W172,X172))</f>
        <v/>
      </c>
      <c r="AE172">
        <f>IF(A172="","",IF(AND(Z172&lt;&gt;"YES",AD172&lt;&gt;"",AD172&gt;THRESHOLDS!$B$12),"STUCK — act today",""))</f>
        <v/>
      </c>
      <c r="AF172">
        <f>IF(A172="","",IF(J172="Active (verified)","",IF(J172="","Ask GST status (readiness R2)","Escalate to founder: orders need verified GSTIN in current code — no tax advice")))</f>
        <v/>
      </c>
      <c r="AG172">
        <f>IF(AND(G172&lt;&gt;"",L172&lt;&gt;""),L172-G172,"")</f>
        <v/>
      </c>
      <c r="AH172">
        <f>IF(AND(L172&lt;&gt;"",N172&lt;&gt;""),N172-L172,"")</f>
        <v/>
      </c>
      <c r="AI172">
        <f>IF(AND(N172&lt;&gt;"",AA172&lt;&gt;""),AA172-N172,"")</f>
        <v/>
      </c>
      <c r="AJ172">
        <f>IF(AND(L172&lt;&gt;"",N172&lt;&gt;"",Q172&lt;&gt;""),"Qualifies (if FP-QUAL adopted)","")</f>
        <v/>
      </c>
    </row>
    <row r="173">
      <c r="G173" s="9" t="n"/>
      <c r="H173" s="9" t="n"/>
      <c r="K173" s="9" t="n"/>
      <c r="L173" s="9" t="n"/>
      <c r="M173" s="9" t="n"/>
      <c r="N173" s="9" t="n"/>
      <c r="O173" s="9" t="n"/>
      <c r="Q173" s="9" t="n"/>
      <c r="R173" s="9" t="n"/>
      <c r="W173" s="9" t="n"/>
      <c r="X173" s="9" t="n"/>
      <c r="Z173">
        <f>IF(A173="","",IF(AND(N173&lt;&gt;"",O173&lt;&gt;"",Q173&lt;&gt;"",R173&lt;&gt;"",S173="Y"),"YES","no"))</f>
        <v/>
      </c>
      <c r="AA173" s="9">
        <f>IF(Z173="YES",MAX(N173,O173,Q173,R173),"")</f>
        <v/>
      </c>
      <c r="AB173">
        <f>IF(A173="","",IF(X173&lt;&gt;"","13 Repeat activity",IF(W173&lt;&gt;"","12 First enquiry/order/booking",IF(Z173="YES","11 ACTIVATED",IF(Q173&lt;&gt;"","10 First listing live",IF(O173&lt;&gt;"","9 Profile completed",IF(N173&lt;&gt;"","8 Approved",IF(M173&lt;&gt;"","7 KYC submitted",IF(L173&lt;&gt;"","6 Registration completed",IF(K173&lt;&gt;"","5b Registration started",IF(H173&lt;&gt;"","5a Information sent",IF(G173&lt;&gt;"","5 Interested","—"))))))))))))</f>
        <v/>
      </c>
      <c r="AC173" s="10">
        <f>IF(A173="","",(COUNT(G173,H173,K173,L173,M173,N173,O173,Q173,R173)+(I173="Y")+(P173="Y")+(S173="Y"))/12)</f>
        <v/>
      </c>
      <c r="AD173">
        <f>IF(OR(A173="",COUNT(G173:X173)=0),"",TODAY()-MAX(G173,H173,K173,L173,M173,N173,O173,Q173,R173,W173,X173))</f>
        <v/>
      </c>
      <c r="AE173">
        <f>IF(A173="","",IF(AND(Z173&lt;&gt;"YES",AD173&lt;&gt;"",AD173&gt;THRESHOLDS!$B$12),"STUCK — act today",""))</f>
        <v/>
      </c>
      <c r="AF173">
        <f>IF(A173="","",IF(J173="Active (verified)","",IF(J173="","Ask GST status (readiness R2)","Escalate to founder: orders need verified GSTIN in current code — no tax advice")))</f>
        <v/>
      </c>
      <c r="AG173">
        <f>IF(AND(G173&lt;&gt;"",L173&lt;&gt;""),L173-G173,"")</f>
        <v/>
      </c>
      <c r="AH173">
        <f>IF(AND(L173&lt;&gt;"",N173&lt;&gt;""),N173-L173,"")</f>
        <v/>
      </c>
      <c r="AI173">
        <f>IF(AND(N173&lt;&gt;"",AA173&lt;&gt;""),AA173-N173,"")</f>
        <v/>
      </c>
      <c r="AJ173">
        <f>IF(AND(L173&lt;&gt;"",N173&lt;&gt;"",Q173&lt;&gt;""),"Qualifies (if FP-QUAL adopted)","")</f>
        <v/>
      </c>
    </row>
    <row r="174">
      <c r="G174" s="9" t="n"/>
      <c r="H174" s="9" t="n"/>
      <c r="K174" s="9" t="n"/>
      <c r="L174" s="9" t="n"/>
      <c r="M174" s="9" t="n"/>
      <c r="N174" s="9" t="n"/>
      <c r="O174" s="9" t="n"/>
      <c r="Q174" s="9" t="n"/>
      <c r="R174" s="9" t="n"/>
      <c r="W174" s="9" t="n"/>
      <c r="X174" s="9" t="n"/>
      <c r="Z174">
        <f>IF(A174="","",IF(AND(N174&lt;&gt;"",O174&lt;&gt;"",Q174&lt;&gt;"",R174&lt;&gt;"",S174="Y"),"YES","no"))</f>
        <v/>
      </c>
      <c r="AA174" s="9">
        <f>IF(Z174="YES",MAX(N174,O174,Q174,R174),"")</f>
        <v/>
      </c>
      <c r="AB174">
        <f>IF(A174="","",IF(X174&lt;&gt;"","13 Repeat activity",IF(W174&lt;&gt;"","12 First enquiry/order/booking",IF(Z174="YES","11 ACTIVATED",IF(Q174&lt;&gt;"","10 First listing live",IF(O174&lt;&gt;"","9 Profile completed",IF(N174&lt;&gt;"","8 Approved",IF(M174&lt;&gt;"","7 KYC submitted",IF(L174&lt;&gt;"","6 Registration completed",IF(K174&lt;&gt;"","5b Registration started",IF(H174&lt;&gt;"","5a Information sent",IF(G174&lt;&gt;"","5 Interested","—"))))))))))))</f>
        <v/>
      </c>
      <c r="AC174" s="10">
        <f>IF(A174="","",(COUNT(G174,H174,K174,L174,M174,N174,O174,Q174,R174)+(I174="Y")+(P174="Y")+(S174="Y"))/12)</f>
        <v/>
      </c>
      <c r="AD174">
        <f>IF(OR(A174="",COUNT(G174:X174)=0),"",TODAY()-MAX(G174,H174,K174,L174,M174,N174,O174,Q174,R174,W174,X174))</f>
        <v/>
      </c>
      <c r="AE174">
        <f>IF(A174="","",IF(AND(Z174&lt;&gt;"YES",AD174&lt;&gt;"",AD174&gt;THRESHOLDS!$B$12),"STUCK — act today",""))</f>
        <v/>
      </c>
      <c r="AF174">
        <f>IF(A174="","",IF(J174="Active (verified)","",IF(J174="","Ask GST status (readiness R2)","Escalate to founder: orders need verified GSTIN in current code — no tax advice")))</f>
        <v/>
      </c>
      <c r="AG174">
        <f>IF(AND(G174&lt;&gt;"",L174&lt;&gt;""),L174-G174,"")</f>
        <v/>
      </c>
      <c r="AH174">
        <f>IF(AND(L174&lt;&gt;"",N174&lt;&gt;""),N174-L174,"")</f>
        <v/>
      </c>
      <c r="AI174">
        <f>IF(AND(N174&lt;&gt;"",AA174&lt;&gt;""),AA174-N174,"")</f>
        <v/>
      </c>
      <c r="AJ174">
        <f>IF(AND(L174&lt;&gt;"",N174&lt;&gt;"",Q174&lt;&gt;""),"Qualifies (if FP-QUAL adopted)","")</f>
        <v/>
      </c>
    </row>
    <row r="175">
      <c r="G175" s="9" t="n"/>
      <c r="H175" s="9" t="n"/>
      <c r="K175" s="9" t="n"/>
      <c r="L175" s="9" t="n"/>
      <c r="M175" s="9" t="n"/>
      <c r="N175" s="9" t="n"/>
      <c r="O175" s="9" t="n"/>
      <c r="Q175" s="9" t="n"/>
      <c r="R175" s="9" t="n"/>
      <c r="W175" s="9" t="n"/>
      <c r="X175" s="9" t="n"/>
      <c r="Z175">
        <f>IF(A175="","",IF(AND(N175&lt;&gt;"",O175&lt;&gt;"",Q175&lt;&gt;"",R175&lt;&gt;"",S175="Y"),"YES","no"))</f>
        <v/>
      </c>
      <c r="AA175" s="9">
        <f>IF(Z175="YES",MAX(N175,O175,Q175,R175),"")</f>
        <v/>
      </c>
      <c r="AB175">
        <f>IF(A175="","",IF(X175&lt;&gt;"","13 Repeat activity",IF(W175&lt;&gt;"","12 First enquiry/order/booking",IF(Z175="YES","11 ACTIVATED",IF(Q175&lt;&gt;"","10 First listing live",IF(O175&lt;&gt;"","9 Profile completed",IF(N175&lt;&gt;"","8 Approved",IF(M175&lt;&gt;"","7 KYC submitted",IF(L175&lt;&gt;"","6 Registration completed",IF(K175&lt;&gt;"","5b Registration started",IF(H175&lt;&gt;"","5a Information sent",IF(G175&lt;&gt;"","5 Interested","—"))))))))))))</f>
        <v/>
      </c>
      <c r="AC175" s="10">
        <f>IF(A175="","",(COUNT(G175,H175,K175,L175,M175,N175,O175,Q175,R175)+(I175="Y")+(P175="Y")+(S175="Y"))/12)</f>
        <v/>
      </c>
      <c r="AD175">
        <f>IF(OR(A175="",COUNT(G175:X175)=0),"",TODAY()-MAX(G175,H175,K175,L175,M175,N175,O175,Q175,R175,W175,X175))</f>
        <v/>
      </c>
      <c r="AE175">
        <f>IF(A175="","",IF(AND(Z175&lt;&gt;"YES",AD175&lt;&gt;"",AD175&gt;THRESHOLDS!$B$12),"STUCK — act today",""))</f>
        <v/>
      </c>
      <c r="AF175">
        <f>IF(A175="","",IF(J175="Active (verified)","",IF(J175="","Ask GST status (readiness R2)","Escalate to founder: orders need verified GSTIN in current code — no tax advice")))</f>
        <v/>
      </c>
      <c r="AG175">
        <f>IF(AND(G175&lt;&gt;"",L175&lt;&gt;""),L175-G175,"")</f>
        <v/>
      </c>
      <c r="AH175">
        <f>IF(AND(L175&lt;&gt;"",N175&lt;&gt;""),N175-L175,"")</f>
        <v/>
      </c>
      <c r="AI175">
        <f>IF(AND(N175&lt;&gt;"",AA175&lt;&gt;""),AA175-N175,"")</f>
        <v/>
      </c>
      <c r="AJ175">
        <f>IF(AND(L175&lt;&gt;"",N175&lt;&gt;"",Q175&lt;&gt;""),"Qualifies (if FP-QUAL adopted)","")</f>
        <v/>
      </c>
    </row>
    <row r="176">
      <c r="G176" s="9" t="n"/>
      <c r="H176" s="9" t="n"/>
      <c r="K176" s="9" t="n"/>
      <c r="L176" s="9" t="n"/>
      <c r="M176" s="9" t="n"/>
      <c r="N176" s="9" t="n"/>
      <c r="O176" s="9" t="n"/>
      <c r="Q176" s="9" t="n"/>
      <c r="R176" s="9" t="n"/>
      <c r="W176" s="9" t="n"/>
      <c r="X176" s="9" t="n"/>
      <c r="Z176">
        <f>IF(A176="","",IF(AND(N176&lt;&gt;"",O176&lt;&gt;"",Q176&lt;&gt;"",R176&lt;&gt;"",S176="Y"),"YES","no"))</f>
        <v/>
      </c>
      <c r="AA176" s="9">
        <f>IF(Z176="YES",MAX(N176,O176,Q176,R176),"")</f>
        <v/>
      </c>
      <c r="AB176">
        <f>IF(A176="","",IF(X176&lt;&gt;"","13 Repeat activity",IF(W176&lt;&gt;"","12 First enquiry/order/booking",IF(Z176="YES","11 ACTIVATED",IF(Q176&lt;&gt;"","10 First listing live",IF(O176&lt;&gt;"","9 Profile completed",IF(N176&lt;&gt;"","8 Approved",IF(M176&lt;&gt;"","7 KYC submitted",IF(L176&lt;&gt;"","6 Registration completed",IF(K176&lt;&gt;"","5b Registration started",IF(H176&lt;&gt;"","5a Information sent",IF(G176&lt;&gt;"","5 Interested","—"))))))))))))</f>
        <v/>
      </c>
      <c r="AC176" s="10">
        <f>IF(A176="","",(COUNT(G176,H176,K176,L176,M176,N176,O176,Q176,R176)+(I176="Y")+(P176="Y")+(S176="Y"))/12)</f>
        <v/>
      </c>
      <c r="AD176">
        <f>IF(OR(A176="",COUNT(G176:X176)=0),"",TODAY()-MAX(G176,H176,K176,L176,M176,N176,O176,Q176,R176,W176,X176))</f>
        <v/>
      </c>
      <c r="AE176">
        <f>IF(A176="","",IF(AND(Z176&lt;&gt;"YES",AD176&lt;&gt;"",AD176&gt;THRESHOLDS!$B$12),"STUCK — act today",""))</f>
        <v/>
      </c>
      <c r="AF176">
        <f>IF(A176="","",IF(J176="Active (verified)","",IF(J176="","Ask GST status (readiness R2)","Escalate to founder: orders need verified GSTIN in current code — no tax advice")))</f>
        <v/>
      </c>
      <c r="AG176">
        <f>IF(AND(G176&lt;&gt;"",L176&lt;&gt;""),L176-G176,"")</f>
        <v/>
      </c>
      <c r="AH176">
        <f>IF(AND(L176&lt;&gt;"",N176&lt;&gt;""),N176-L176,"")</f>
        <v/>
      </c>
      <c r="AI176">
        <f>IF(AND(N176&lt;&gt;"",AA176&lt;&gt;""),AA176-N176,"")</f>
        <v/>
      </c>
      <c r="AJ176">
        <f>IF(AND(L176&lt;&gt;"",N176&lt;&gt;"",Q176&lt;&gt;""),"Qualifies (if FP-QUAL adopted)","")</f>
        <v/>
      </c>
    </row>
    <row r="177">
      <c r="G177" s="9" t="n"/>
      <c r="H177" s="9" t="n"/>
      <c r="K177" s="9" t="n"/>
      <c r="L177" s="9" t="n"/>
      <c r="M177" s="9" t="n"/>
      <c r="N177" s="9" t="n"/>
      <c r="O177" s="9" t="n"/>
      <c r="Q177" s="9" t="n"/>
      <c r="R177" s="9" t="n"/>
      <c r="W177" s="9" t="n"/>
      <c r="X177" s="9" t="n"/>
      <c r="Z177">
        <f>IF(A177="","",IF(AND(N177&lt;&gt;"",O177&lt;&gt;"",Q177&lt;&gt;"",R177&lt;&gt;"",S177="Y"),"YES","no"))</f>
        <v/>
      </c>
      <c r="AA177" s="9">
        <f>IF(Z177="YES",MAX(N177,O177,Q177,R177),"")</f>
        <v/>
      </c>
      <c r="AB177">
        <f>IF(A177="","",IF(X177&lt;&gt;"","13 Repeat activity",IF(W177&lt;&gt;"","12 First enquiry/order/booking",IF(Z177="YES","11 ACTIVATED",IF(Q177&lt;&gt;"","10 First listing live",IF(O177&lt;&gt;"","9 Profile completed",IF(N177&lt;&gt;"","8 Approved",IF(M177&lt;&gt;"","7 KYC submitted",IF(L177&lt;&gt;"","6 Registration completed",IF(K177&lt;&gt;"","5b Registration started",IF(H177&lt;&gt;"","5a Information sent",IF(G177&lt;&gt;"","5 Interested","—"))))))))))))</f>
        <v/>
      </c>
      <c r="AC177" s="10">
        <f>IF(A177="","",(COUNT(G177,H177,K177,L177,M177,N177,O177,Q177,R177)+(I177="Y")+(P177="Y")+(S177="Y"))/12)</f>
        <v/>
      </c>
      <c r="AD177">
        <f>IF(OR(A177="",COUNT(G177:X177)=0),"",TODAY()-MAX(G177,H177,K177,L177,M177,N177,O177,Q177,R177,W177,X177))</f>
        <v/>
      </c>
      <c r="AE177">
        <f>IF(A177="","",IF(AND(Z177&lt;&gt;"YES",AD177&lt;&gt;"",AD177&gt;THRESHOLDS!$B$12),"STUCK — act today",""))</f>
        <v/>
      </c>
      <c r="AF177">
        <f>IF(A177="","",IF(J177="Active (verified)","",IF(J177="","Ask GST status (readiness R2)","Escalate to founder: orders need verified GSTIN in current code — no tax advice")))</f>
        <v/>
      </c>
      <c r="AG177">
        <f>IF(AND(G177&lt;&gt;"",L177&lt;&gt;""),L177-G177,"")</f>
        <v/>
      </c>
      <c r="AH177">
        <f>IF(AND(L177&lt;&gt;"",N177&lt;&gt;""),N177-L177,"")</f>
        <v/>
      </c>
      <c r="AI177">
        <f>IF(AND(N177&lt;&gt;"",AA177&lt;&gt;""),AA177-N177,"")</f>
        <v/>
      </c>
      <c r="AJ177">
        <f>IF(AND(L177&lt;&gt;"",N177&lt;&gt;"",Q177&lt;&gt;""),"Qualifies (if FP-QUAL adopted)","")</f>
        <v/>
      </c>
    </row>
    <row r="178">
      <c r="G178" s="9" t="n"/>
      <c r="H178" s="9" t="n"/>
      <c r="K178" s="9" t="n"/>
      <c r="L178" s="9" t="n"/>
      <c r="M178" s="9" t="n"/>
      <c r="N178" s="9" t="n"/>
      <c r="O178" s="9" t="n"/>
      <c r="Q178" s="9" t="n"/>
      <c r="R178" s="9" t="n"/>
      <c r="W178" s="9" t="n"/>
      <c r="X178" s="9" t="n"/>
      <c r="Z178">
        <f>IF(A178="","",IF(AND(N178&lt;&gt;"",O178&lt;&gt;"",Q178&lt;&gt;"",R178&lt;&gt;"",S178="Y"),"YES","no"))</f>
        <v/>
      </c>
      <c r="AA178" s="9">
        <f>IF(Z178="YES",MAX(N178,O178,Q178,R178),"")</f>
        <v/>
      </c>
      <c r="AB178">
        <f>IF(A178="","",IF(X178&lt;&gt;"","13 Repeat activity",IF(W178&lt;&gt;"","12 First enquiry/order/booking",IF(Z178="YES","11 ACTIVATED",IF(Q178&lt;&gt;"","10 First listing live",IF(O178&lt;&gt;"","9 Profile completed",IF(N178&lt;&gt;"","8 Approved",IF(M178&lt;&gt;"","7 KYC submitted",IF(L178&lt;&gt;"","6 Registration completed",IF(K178&lt;&gt;"","5b Registration started",IF(H178&lt;&gt;"","5a Information sent",IF(G178&lt;&gt;"","5 Interested","—"))))))))))))</f>
        <v/>
      </c>
      <c r="AC178" s="10">
        <f>IF(A178="","",(COUNT(G178,H178,K178,L178,M178,N178,O178,Q178,R178)+(I178="Y")+(P178="Y")+(S178="Y"))/12)</f>
        <v/>
      </c>
      <c r="AD178">
        <f>IF(OR(A178="",COUNT(G178:X178)=0),"",TODAY()-MAX(G178,H178,K178,L178,M178,N178,O178,Q178,R178,W178,X178))</f>
        <v/>
      </c>
      <c r="AE178">
        <f>IF(A178="","",IF(AND(Z178&lt;&gt;"YES",AD178&lt;&gt;"",AD178&gt;THRESHOLDS!$B$12),"STUCK — act today",""))</f>
        <v/>
      </c>
      <c r="AF178">
        <f>IF(A178="","",IF(J178="Active (verified)","",IF(J178="","Ask GST status (readiness R2)","Escalate to founder: orders need verified GSTIN in current code — no tax advice")))</f>
        <v/>
      </c>
      <c r="AG178">
        <f>IF(AND(G178&lt;&gt;"",L178&lt;&gt;""),L178-G178,"")</f>
        <v/>
      </c>
      <c r="AH178">
        <f>IF(AND(L178&lt;&gt;"",N178&lt;&gt;""),N178-L178,"")</f>
        <v/>
      </c>
      <c r="AI178">
        <f>IF(AND(N178&lt;&gt;"",AA178&lt;&gt;""),AA178-N178,"")</f>
        <v/>
      </c>
      <c r="AJ178">
        <f>IF(AND(L178&lt;&gt;"",N178&lt;&gt;"",Q178&lt;&gt;""),"Qualifies (if FP-QUAL adopted)","")</f>
        <v/>
      </c>
    </row>
    <row r="179">
      <c r="G179" s="9" t="n"/>
      <c r="H179" s="9" t="n"/>
      <c r="K179" s="9" t="n"/>
      <c r="L179" s="9" t="n"/>
      <c r="M179" s="9" t="n"/>
      <c r="N179" s="9" t="n"/>
      <c r="O179" s="9" t="n"/>
      <c r="Q179" s="9" t="n"/>
      <c r="R179" s="9" t="n"/>
      <c r="W179" s="9" t="n"/>
      <c r="X179" s="9" t="n"/>
      <c r="Z179">
        <f>IF(A179="","",IF(AND(N179&lt;&gt;"",O179&lt;&gt;"",Q179&lt;&gt;"",R179&lt;&gt;"",S179="Y"),"YES","no"))</f>
        <v/>
      </c>
      <c r="AA179" s="9">
        <f>IF(Z179="YES",MAX(N179,O179,Q179,R179),"")</f>
        <v/>
      </c>
      <c r="AB179">
        <f>IF(A179="","",IF(X179&lt;&gt;"","13 Repeat activity",IF(W179&lt;&gt;"","12 First enquiry/order/booking",IF(Z179="YES","11 ACTIVATED",IF(Q179&lt;&gt;"","10 First listing live",IF(O179&lt;&gt;"","9 Profile completed",IF(N179&lt;&gt;"","8 Approved",IF(M179&lt;&gt;"","7 KYC submitted",IF(L179&lt;&gt;"","6 Registration completed",IF(K179&lt;&gt;"","5b Registration started",IF(H179&lt;&gt;"","5a Information sent",IF(G179&lt;&gt;"","5 Interested","—"))))))))))))</f>
        <v/>
      </c>
      <c r="AC179" s="10">
        <f>IF(A179="","",(COUNT(G179,H179,K179,L179,M179,N179,O179,Q179,R179)+(I179="Y")+(P179="Y")+(S179="Y"))/12)</f>
        <v/>
      </c>
      <c r="AD179">
        <f>IF(OR(A179="",COUNT(G179:X179)=0),"",TODAY()-MAX(G179,H179,K179,L179,M179,N179,O179,Q179,R179,W179,X179))</f>
        <v/>
      </c>
      <c r="AE179">
        <f>IF(A179="","",IF(AND(Z179&lt;&gt;"YES",AD179&lt;&gt;"",AD179&gt;THRESHOLDS!$B$12),"STUCK — act today",""))</f>
        <v/>
      </c>
      <c r="AF179">
        <f>IF(A179="","",IF(J179="Active (verified)","",IF(J179="","Ask GST status (readiness R2)","Escalate to founder: orders need verified GSTIN in current code — no tax advice")))</f>
        <v/>
      </c>
      <c r="AG179">
        <f>IF(AND(G179&lt;&gt;"",L179&lt;&gt;""),L179-G179,"")</f>
        <v/>
      </c>
      <c r="AH179">
        <f>IF(AND(L179&lt;&gt;"",N179&lt;&gt;""),N179-L179,"")</f>
        <v/>
      </c>
      <c r="AI179">
        <f>IF(AND(N179&lt;&gt;"",AA179&lt;&gt;""),AA179-N179,"")</f>
        <v/>
      </c>
      <c r="AJ179">
        <f>IF(AND(L179&lt;&gt;"",N179&lt;&gt;"",Q179&lt;&gt;""),"Qualifies (if FP-QUAL adopted)","")</f>
        <v/>
      </c>
    </row>
    <row r="180">
      <c r="G180" s="9" t="n"/>
      <c r="H180" s="9" t="n"/>
      <c r="K180" s="9" t="n"/>
      <c r="L180" s="9" t="n"/>
      <c r="M180" s="9" t="n"/>
      <c r="N180" s="9" t="n"/>
      <c r="O180" s="9" t="n"/>
      <c r="Q180" s="9" t="n"/>
      <c r="R180" s="9" t="n"/>
      <c r="W180" s="9" t="n"/>
      <c r="X180" s="9" t="n"/>
      <c r="Z180">
        <f>IF(A180="","",IF(AND(N180&lt;&gt;"",O180&lt;&gt;"",Q180&lt;&gt;"",R180&lt;&gt;"",S180="Y"),"YES","no"))</f>
        <v/>
      </c>
      <c r="AA180" s="9">
        <f>IF(Z180="YES",MAX(N180,O180,Q180,R180),"")</f>
        <v/>
      </c>
      <c r="AB180">
        <f>IF(A180="","",IF(X180&lt;&gt;"","13 Repeat activity",IF(W180&lt;&gt;"","12 First enquiry/order/booking",IF(Z180="YES","11 ACTIVATED",IF(Q180&lt;&gt;"","10 First listing live",IF(O180&lt;&gt;"","9 Profile completed",IF(N180&lt;&gt;"","8 Approved",IF(M180&lt;&gt;"","7 KYC submitted",IF(L180&lt;&gt;"","6 Registration completed",IF(K180&lt;&gt;"","5b Registration started",IF(H180&lt;&gt;"","5a Information sent",IF(G180&lt;&gt;"","5 Interested","—"))))))))))))</f>
        <v/>
      </c>
      <c r="AC180" s="10">
        <f>IF(A180="","",(COUNT(G180,H180,K180,L180,M180,N180,O180,Q180,R180)+(I180="Y")+(P180="Y")+(S180="Y"))/12)</f>
        <v/>
      </c>
      <c r="AD180">
        <f>IF(OR(A180="",COUNT(G180:X180)=0),"",TODAY()-MAX(G180,H180,K180,L180,M180,N180,O180,Q180,R180,W180,X180))</f>
        <v/>
      </c>
      <c r="AE180">
        <f>IF(A180="","",IF(AND(Z180&lt;&gt;"YES",AD180&lt;&gt;"",AD180&gt;THRESHOLDS!$B$12),"STUCK — act today",""))</f>
        <v/>
      </c>
      <c r="AF180">
        <f>IF(A180="","",IF(J180="Active (verified)","",IF(J180="","Ask GST status (readiness R2)","Escalate to founder: orders need verified GSTIN in current code — no tax advice")))</f>
        <v/>
      </c>
      <c r="AG180">
        <f>IF(AND(G180&lt;&gt;"",L180&lt;&gt;""),L180-G180,"")</f>
        <v/>
      </c>
      <c r="AH180">
        <f>IF(AND(L180&lt;&gt;"",N180&lt;&gt;""),N180-L180,"")</f>
        <v/>
      </c>
      <c r="AI180">
        <f>IF(AND(N180&lt;&gt;"",AA180&lt;&gt;""),AA180-N180,"")</f>
        <v/>
      </c>
      <c r="AJ180">
        <f>IF(AND(L180&lt;&gt;"",N180&lt;&gt;"",Q180&lt;&gt;""),"Qualifies (if FP-QUAL adopted)","")</f>
        <v/>
      </c>
    </row>
    <row r="181">
      <c r="G181" s="9" t="n"/>
      <c r="H181" s="9" t="n"/>
      <c r="K181" s="9" t="n"/>
      <c r="L181" s="9" t="n"/>
      <c r="M181" s="9" t="n"/>
      <c r="N181" s="9" t="n"/>
      <c r="O181" s="9" t="n"/>
      <c r="Q181" s="9" t="n"/>
      <c r="R181" s="9" t="n"/>
      <c r="W181" s="9" t="n"/>
      <c r="X181" s="9" t="n"/>
      <c r="Z181">
        <f>IF(A181="","",IF(AND(N181&lt;&gt;"",O181&lt;&gt;"",Q181&lt;&gt;"",R181&lt;&gt;"",S181="Y"),"YES","no"))</f>
        <v/>
      </c>
      <c r="AA181" s="9">
        <f>IF(Z181="YES",MAX(N181,O181,Q181,R181),"")</f>
        <v/>
      </c>
      <c r="AB181">
        <f>IF(A181="","",IF(X181&lt;&gt;"","13 Repeat activity",IF(W181&lt;&gt;"","12 First enquiry/order/booking",IF(Z181="YES","11 ACTIVATED",IF(Q181&lt;&gt;"","10 First listing live",IF(O181&lt;&gt;"","9 Profile completed",IF(N181&lt;&gt;"","8 Approved",IF(M181&lt;&gt;"","7 KYC submitted",IF(L181&lt;&gt;"","6 Registration completed",IF(K181&lt;&gt;"","5b Registration started",IF(H181&lt;&gt;"","5a Information sent",IF(G181&lt;&gt;"","5 Interested","—"))))))))))))</f>
        <v/>
      </c>
      <c r="AC181" s="10">
        <f>IF(A181="","",(COUNT(G181,H181,K181,L181,M181,N181,O181,Q181,R181)+(I181="Y")+(P181="Y")+(S181="Y"))/12)</f>
        <v/>
      </c>
      <c r="AD181">
        <f>IF(OR(A181="",COUNT(G181:X181)=0),"",TODAY()-MAX(G181,H181,K181,L181,M181,N181,O181,Q181,R181,W181,X181))</f>
        <v/>
      </c>
      <c r="AE181">
        <f>IF(A181="","",IF(AND(Z181&lt;&gt;"YES",AD181&lt;&gt;"",AD181&gt;THRESHOLDS!$B$12),"STUCK — act today",""))</f>
        <v/>
      </c>
      <c r="AF181">
        <f>IF(A181="","",IF(J181="Active (verified)","",IF(J181="","Ask GST status (readiness R2)","Escalate to founder: orders need verified GSTIN in current code — no tax advice")))</f>
        <v/>
      </c>
      <c r="AG181">
        <f>IF(AND(G181&lt;&gt;"",L181&lt;&gt;""),L181-G181,"")</f>
        <v/>
      </c>
      <c r="AH181">
        <f>IF(AND(L181&lt;&gt;"",N181&lt;&gt;""),N181-L181,"")</f>
        <v/>
      </c>
      <c r="AI181">
        <f>IF(AND(N181&lt;&gt;"",AA181&lt;&gt;""),AA181-N181,"")</f>
        <v/>
      </c>
      <c r="AJ181">
        <f>IF(AND(L181&lt;&gt;"",N181&lt;&gt;"",Q181&lt;&gt;""),"Qualifies (if FP-QUAL adopted)","")</f>
        <v/>
      </c>
    </row>
    <row r="182">
      <c r="G182" s="9" t="n"/>
      <c r="H182" s="9" t="n"/>
      <c r="K182" s="9" t="n"/>
      <c r="L182" s="9" t="n"/>
      <c r="M182" s="9" t="n"/>
      <c r="N182" s="9" t="n"/>
      <c r="O182" s="9" t="n"/>
      <c r="Q182" s="9" t="n"/>
      <c r="R182" s="9" t="n"/>
      <c r="W182" s="9" t="n"/>
      <c r="X182" s="9" t="n"/>
      <c r="Z182">
        <f>IF(A182="","",IF(AND(N182&lt;&gt;"",O182&lt;&gt;"",Q182&lt;&gt;"",R182&lt;&gt;"",S182="Y"),"YES","no"))</f>
        <v/>
      </c>
      <c r="AA182" s="9">
        <f>IF(Z182="YES",MAX(N182,O182,Q182,R182),"")</f>
        <v/>
      </c>
      <c r="AB182">
        <f>IF(A182="","",IF(X182&lt;&gt;"","13 Repeat activity",IF(W182&lt;&gt;"","12 First enquiry/order/booking",IF(Z182="YES","11 ACTIVATED",IF(Q182&lt;&gt;"","10 First listing live",IF(O182&lt;&gt;"","9 Profile completed",IF(N182&lt;&gt;"","8 Approved",IF(M182&lt;&gt;"","7 KYC submitted",IF(L182&lt;&gt;"","6 Registration completed",IF(K182&lt;&gt;"","5b Registration started",IF(H182&lt;&gt;"","5a Information sent",IF(G182&lt;&gt;"","5 Interested","—"))))))))))))</f>
        <v/>
      </c>
      <c r="AC182" s="10">
        <f>IF(A182="","",(COUNT(G182,H182,K182,L182,M182,N182,O182,Q182,R182)+(I182="Y")+(P182="Y")+(S182="Y"))/12)</f>
        <v/>
      </c>
      <c r="AD182">
        <f>IF(OR(A182="",COUNT(G182:X182)=0),"",TODAY()-MAX(G182,H182,K182,L182,M182,N182,O182,Q182,R182,W182,X182))</f>
        <v/>
      </c>
      <c r="AE182">
        <f>IF(A182="","",IF(AND(Z182&lt;&gt;"YES",AD182&lt;&gt;"",AD182&gt;THRESHOLDS!$B$12),"STUCK — act today",""))</f>
        <v/>
      </c>
      <c r="AF182">
        <f>IF(A182="","",IF(J182="Active (verified)","",IF(J182="","Ask GST status (readiness R2)","Escalate to founder: orders need verified GSTIN in current code — no tax advice")))</f>
        <v/>
      </c>
      <c r="AG182">
        <f>IF(AND(G182&lt;&gt;"",L182&lt;&gt;""),L182-G182,"")</f>
        <v/>
      </c>
      <c r="AH182">
        <f>IF(AND(L182&lt;&gt;"",N182&lt;&gt;""),N182-L182,"")</f>
        <v/>
      </c>
      <c r="AI182">
        <f>IF(AND(N182&lt;&gt;"",AA182&lt;&gt;""),AA182-N182,"")</f>
        <v/>
      </c>
      <c r="AJ182">
        <f>IF(AND(L182&lt;&gt;"",N182&lt;&gt;"",Q182&lt;&gt;""),"Qualifies (if FP-QUAL adopted)","")</f>
        <v/>
      </c>
    </row>
    <row r="183">
      <c r="G183" s="9" t="n"/>
      <c r="H183" s="9" t="n"/>
      <c r="K183" s="9" t="n"/>
      <c r="L183" s="9" t="n"/>
      <c r="M183" s="9" t="n"/>
      <c r="N183" s="9" t="n"/>
      <c r="O183" s="9" t="n"/>
      <c r="Q183" s="9" t="n"/>
      <c r="R183" s="9" t="n"/>
      <c r="W183" s="9" t="n"/>
      <c r="X183" s="9" t="n"/>
      <c r="Z183">
        <f>IF(A183="","",IF(AND(N183&lt;&gt;"",O183&lt;&gt;"",Q183&lt;&gt;"",R183&lt;&gt;"",S183="Y"),"YES","no"))</f>
        <v/>
      </c>
      <c r="AA183" s="9">
        <f>IF(Z183="YES",MAX(N183,O183,Q183,R183),"")</f>
        <v/>
      </c>
      <c r="AB183">
        <f>IF(A183="","",IF(X183&lt;&gt;"","13 Repeat activity",IF(W183&lt;&gt;"","12 First enquiry/order/booking",IF(Z183="YES","11 ACTIVATED",IF(Q183&lt;&gt;"","10 First listing live",IF(O183&lt;&gt;"","9 Profile completed",IF(N183&lt;&gt;"","8 Approved",IF(M183&lt;&gt;"","7 KYC submitted",IF(L183&lt;&gt;"","6 Registration completed",IF(K183&lt;&gt;"","5b Registration started",IF(H183&lt;&gt;"","5a Information sent",IF(G183&lt;&gt;"","5 Interested","—"))))))))))))</f>
        <v/>
      </c>
      <c r="AC183" s="10">
        <f>IF(A183="","",(COUNT(G183,H183,K183,L183,M183,N183,O183,Q183,R183)+(I183="Y")+(P183="Y")+(S183="Y"))/12)</f>
        <v/>
      </c>
      <c r="AD183">
        <f>IF(OR(A183="",COUNT(G183:X183)=0),"",TODAY()-MAX(G183,H183,K183,L183,M183,N183,O183,Q183,R183,W183,X183))</f>
        <v/>
      </c>
      <c r="AE183">
        <f>IF(A183="","",IF(AND(Z183&lt;&gt;"YES",AD183&lt;&gt;"",AD183&gt;THRESHOLDS!$B$12),"STUCK — act today",""))</f>
        <v/>
      </c>
      <c r="AF183">
        <f>IF(A183="","",IF(J183="Active (verified)","",IF(J183="","Ask GST status (readiness R2)","Escalate to founder: orders need verified GSTIN in current code — no tax advice")))</f>
        <v/>
      </c>
      <c r="AG183">
        <f>IF(AND(G183&lt;&gt;"",L183&lt;&gt;""),L183-G183,"")</f>
        <v/>
      </c>
      <c r="AH183">
        <f>IF(AND(L183&lt;&gt;"",N183&lt;&gt;""),N183-L183,"")</f>
        <v/>
      </c>
      <c r="AI183">
        <f>IF(AND(N183&lt;&gt;"",AA183&lt;&gt;""),AA183-N183,"")</f>
        <v/>
      </c>
      <c r="AJ183">
        <f>IF(AND(L183&lt;&gt;"",N183&lt;&gt;"",Q183&lt;&gt;""),"Qualifies (if FP-QUAL adopted)","")</f>
        <v/>
      </c>
    </row>
    <row r="184">
      <c r="G184" s="9" t="n"/>
      <c r="H184" s="9" t="n"/>
      <c r="K184" s="9" t="n"/>
      <c r="L184" s="9" t="n"/>
      <c r="M184" s="9" t="n"/>
      <c r="N184" s="9" t="n"/>
      <c r="O184" s="9" t="n"/>
      <c r="Q184" s="9" t="n"/>
      <c r="R184" s="9" t="n"/>
      <c r="W184" s="9" t="n"/>
      <c r="X184" s="9" t="n"/>
      <c r="Z184">
        <f>IF(A184="","",IF(AND(N184&lt;&gt;"",O184&lt;&gt;"",Q184&lt;&gt;"",R184&lt;&gt;"",S184="Y"),"YES","no"))</f>
        <v/>
      </c>
      <c r="AA184" s="9">
        <f>IF(Z184="YES",MAX(N184,O184,Q184,R184),"")</f>
        <v/>
      </c>
      <c r="AB184">
        <f>IF(A184="","",IF(X184&lt;&gt;"","13 Repeat activity",IF(W184&lt;&gt;"","12 First enquiry/order/booking",IF(Z184="YES","11 ACTIVATED",IF(Q184&lt;&gt;"","10 First listing live",IF(O184&lt;&gt;"","9 Profile completed",IF(N184&lt;&gt;"","8 Approved",IF(M184&lt;&gt;"","7 KYC submitted",IF(L184&lt;&gt;"","6 Registration completed",IF(K184&lt;&gt;"","5b Registration started",IF(H184&lt;&gt;"","5a Information sent",IF(G184&lt;&gt;"","5 Interested","—"))))))))))))</f>
        <v/>
      </c>
      <c r="AC184" s="10">
        <f>IF(A184="","",(COUNT(G184,H184,K184,L184,M184,N184,O184,Q184,R184)+(I184="Y")+(P184="Y")+(S184="Y"))/12)</f>
        <v/>
      </c>
      <c r="AD184">
        <f>IF(OR(A184="",COUNT(G184:X184)=0),"",TODAY()-MAX(G184,H184,K184,L184,M184,N184,O184,Q184,R184,W184,X184))</f>
        <v/>
      </c>
      <c r="AE184">
        <f>IF(A184="","",IF(AND(Z184&lt;&gt;"YES",AD184&lt;&gt;"",AD184&gt;THRESHOLDS!$B$12),"STUCK — act today",""))</f>
        <v/>
      </c>
      <c r="AF184">
        <f>IF(A184="","",IF(J184="Active (verified)","",IF(J184="","Ask GST status (readiness R2)","Escalate to founder: orders need verified GSTIN in current code — no tax advice")))</f>
        <v/>
      </c>
      <c r="AG184">
        <f>IF(AND(G184&lt;&gt;"",L184&lt;&gt;""),L184-G184,"")</f>
        <v/>
      </c>
      <c r="AH184">
        <f>IF(AND(L184&lt;&gt;"",N184&lt;&gt;""),N184-L184,"")</f>
        <v/>
      </c>
      <c r="AI184">
        <f>IF(AND(N184&lt;&gt;"",AA184&lt;&gt;""),AA184-N184,"")</f>
        <v/>
      </c>
      <c r="AJ184">
        <f>IF(AND(L184&lt;&gt;"",N184&lt;&gt;"",Q184&lt;&gt;""),"Qualifies (if FP-QUAL adopted)","")</f>
        <v/>
      </c>
    </row>
    <row r="185">
      <c r="G185" s="9" t="n"/>
      <c r="H185" s="9" t="n"/>
      <c r="K185" s="9" t="n"/>
      <c r="L185" s="9" t="n"/>
      <c r="M185" s="9" t="n"/>
      <c r="N185" s="9" t="n"/>
      <c r="O185" s="9" t="n"/>
      <c r="Q185" s="9" t="n"/>
      <c r="R185" s="9" t="n"/>
      <c r="W185" s="9" t="n"/>
      <c r="X185" s="9" t="n"/>
      <c r="Z185">
        <f>IF(A185="","",IF(AND(N185&lt;&gt;"",O185&lt;&gt;"",Q185&lt;&gt;"",R185&lt;&gt;"",S185="Y"),"YES","no"))</f>
        <v/>
      </c>
      <c r="AA185" s="9">
        <f>IF(Z185="YES",MAX(N185,O185,Q185,R185),"")</f>
        <v/>
      </c>
      <c r="AB185">
        <f>IF(A185="","",IF(X185&lt;&gt;"","13 Repeat activity",IF(W185&lt;&gt;"","12 First enquiry/order/booking",IF(Z185="YES","11 ACTIVATED",IF(Q185&lt;&gt;"","10 First listing live",IF(O185&lt;&gt;"","9 Profile completed",IF(N185&lt;&gt;"","8 Approved",IF(M185&lt;&gt;"","7 KYC submitted",IF(L185&lt;&gt;"","6 Registration completed",IF(K185&lt;&gt;"","5b Registration started",IF(H185&lt;&gt;"","5a Information sent",IF(G185&lt;&gt;"","5 Interested","—"))))))))))))</f>
        <v/>
      </c>
      <c r="AC185" s="10">
        <f>IF(A185="","",(COUNT(G185,H185,K185,L185,M185,N185,O185,Q185,R185)+(I185="Y")+(P185="Y")+(S185="Y"))/12)</f>
        <v/>
      </c>
      <c r="AD185">
        <f>IF(OR(A185="",COUNT(G185:X185)=0),"",TODAY()-MAX(G185,H185,K185,L185,M185,N185,O185,Q185,R185,W185,X185))</f>
        <v/>
      </c>
      <c r="AE185">
        <f>IF(A185="","",IF(AND(Z185&lt;&gt;"YES",AD185&lt;&gt;"",AD185&gt;THRESHOLDS!$B$12),"STUCK — act today",""))</f>
        <v/>
      </c>
      <c r="AF185">
        <f>IF(A185="","",IF(J185="Active (verified)","",IF(J185="","Ask GST status (readiness R2)","Escalate to founder: orders need verified GSTIN in current code — no tax advice")))</f>
        <v/>
      </c>
      <c r="AG185">
        <f>IF(AND(G185&lt;&gt;"",L185&lt;&gt;""),L185-G185,"")</f>
        <v/>
      </c>
      <c r="AH185">
        <f>IF(AND(L185&lt;&gt;"",N185&lt;&gt;""),N185-L185,"")</f>
        <v/>
      </c>
      <c r="AI185">
        <f>IF(AND(N185&lt;&gt;"",AA185&lt;&gt;""),AA185-N185,"")</f>
        <v/>
      </c>
      <c r="AJ185">
        <f>IF(AND(L185&lt;&gt;"",N185&lt;&gt;"",Q185&lt;&gt;""),"Qualifies (if FP-QUAL adopted)","")</f>
        <v/>
      </c>
    </row>
    <row r="186">
      <c r="G186" s="9" t="n"/>
      <c r="H186" s="9" t="n"/>
      <c r="K186" s="9" t="n"/>
      <c r="L186" s="9" t="n"/>
      <c r="M186" s="9" t="n"/>
      <c r="N186" s="9" t="n"/>
      <c r="O186" s="9" t="n"/>
      <c r="Q186" s="9" t="n"/>
      <c r="R186" s="9" t="n"/>
      <c r="W186" s="9" t="n"/>
      <c r="X186" s="9" t="n"/>
      <c r="Z186">
        <f>IF(A186="","",IF(AND(N186&lt;&gt;"",O186&lt;&gt;"",Q186&lt;&gt;"",R186&lt;&gt;"",S186="Y"),"YES","no"))</f>
        <v/>
      </c>
      <c r="AA186" s="9">
        <f>IF(Z186="YES",MAX(N186,O186,Q186,R186),"")</f>
        <v/>
      </c>
      <c r="AB186">
        <f>IF(A186="","",IF(X186&lt;&gt;"","13 Repeat activity",IF(W186&lt;&gt;"","12 First enquiry/order/booking",IF(Z186="YES","11 ACTIVATED",IF(Q186&lt;&gt;"","10 First listing live",IF(O186&lt;&gt;"","9 Profile completed",IF(N186&lt;&gt;"","8 Approved",IF(M186&lt;&gt;"","7 KYC submitted",IF(L186&lt;&gt;"","6 Registration completed",IF(K186&lt;&gt;"","5b Registration started",IF(H186&lt;&gt;"","5a Information sent",IF(G186&lt;&gt;"","5 Interested","—"))))))))))))</f>
        <v/>
      </c>
      <c r="AC186" s="10">
        <f>IF(A186="","",(COUNT(G186,H186,K186,L186,M186,N186,O186,Q186,R186)+(I186="Y")+(P186="Y")+(S186="Y"))/12)</f>
        <v/>
      </c>
      <c r="AD186">
        <f>IF(OR(A186="",COUNT(G186:X186)=0),"",TODAY()-MAX(G186,H186,K186,L186,M186,N186,O186,Q186,R186,W186,X186))</f>
        <v/>
      </c>
      <c r="AE186">
        <f>IF(A186="","",IF(AND(Z186&lt;&gt;"YES",AD186&lt;&gt;"",AD186&gt;THRESHOLDS!$B$12),"STUCK — act today",""))</f>
        <v/>
      </c>
      <c r="AF186">
        <f>IF(A186="","",IF(J186="Active (verified)","",IF(J186="","Ask GST status (readiness R2)","Escalate to founder: orders need verified GSTIN in current code — no tax advice")))</f>
        <v/>
      </c>
      <c r="AG186">
        <f>IF(AND(G186&lt;&gt;"",L186&lt;&gt;""),L186-G186,"")</f>
        <v/>
      </c>
      <c r="AH186">
        <f>IF(AND(L186&lt;&gt;"",N186&lt;&gt;""),N186-L186,"")</f>
        <v/>
      </c>
      <c r="AI186">
        <f>IF(AND(N186&lt;&gt;"",AA186&lt;&gt;""),AA186-N186,"")</f>
        <v/>
      </c>
      <c r="AJ186">
        <f>IF(AND(L186&lt;&gt;"",N186&lt;&gt;"",Q186&lt;&gt;""),"Qualifies (if FP-QUAL adopted)","")</f>
        <v/>
      </c>
    </row>
    <row r="187">
      <c r="G187" s="9" t="n"/>
      <c r="H187" s="9" t="n"/>
      <c r="K187" s="9" t="n"/>
      <c r="L187" s="9" t="n"/>
      <c r="M187" s="9" t="n"/>
      <c r="N187" s="9" t="n"/>
      <c r="O187" s="9" t="n"/>
      <c r="Q187" s="9" t="n"/>
      <c r="R187" s="9" t="n"/>
      <c r="W187" s="9" t="n"/>
      <c r="X187" s="9" t="n"/>
      <c r="Z187">
        <f>IF(A187="","",IF(AND(N187&lt;&gt;"",O187&lt;&gt;"",Q187&lt;&gt;"",R187&lt;&gt;"",S187="Y"),"YES","no"))</f>
        <v/>
      </c>
      <c r="AA187" s="9">
        <f>IF(Z187="YES",MAX(N187,O187,Q187,R187),"")</f>
        <v/>
      </c>
      <c r="AB187">
        <f>IF(A187="","",IF(X187&lt;&gt;"","13 Repeat activity",IF(W187&lt;&gt;"","12 First enquiry/order/booking",IF(Z187="YES","11 ACTIVATED",IF(Q187&lt;&gt;"","10 First listing live",IF(O187&lt;&gt;"","9 Profile completed",IF(N187&lt;&gt;"","8 Approved",IF(M187&lt;&gt;"","7 KYC submitted",IF(L187&lt;&gt;"","6 Registration completed",IF(K187&lt;&gt;"","5b Registration started",IF(H187&lt;&gt;"","5a Information sent",IF(G187&lt;&gt;"","5 Interested","—"))))))))))))</f>
        <v/>
      </c>
      <c r="AC187" s="10">
        <f>IF(A187="","",(COUNT(G187,H187,K187,L187,M187,N187,O187,Q187,R187)+(I187="Y")+(P187="Y")+(S187="Y"))/12)</f>
        <v/>
      </c>
      <c r="AD187">
        <f>IF(OR(A187="",COUNT(G187:X187)=0),"",TODAY()-MAX(G187,H187,K187,L187,M187,N187,O187,Q187,R187,W187,X187))</f>
        <v/>
      </c>
      <c r="AE187">
        <f>IF(A187="","",IF(AND(Z187&lt;&gt;"YES",AD187&lt;&gt;"",AD187&gt;THRESHOLDS!$B$12),"STUCK — act today",""))</f>
        <v/>
      </c>
      <c r="AF187">
        <f>IF(A187="","",IF(J187="Active (verified)","",IF(J187="","Ask GST status (readiness R2)","Escalate to founder: orders need verified GSTIN in current code — no tax advice")))</f>
        <v/>
      </c>
      <c r="AG187">
        <f>IF(AND(G187&lt;&gt;"",L187&lt;&gt;""),L187-G187,"")</f>
        <v/>
      </c>
      <c r="AH187">
        <f>IF(AND(L187&lt;&gt;"",N187&lt;&gt;""),N187-L187,"")</f>
        <v/>
      </c>
      <c r="AI187">
        <f>IF(AND(N187&lt;&gt;"",AA187&lt;&gt;""),AA187-N187,"")</f>
        <v/>
      </c>
      <c r="AJ187">
        <f>IF(AND(L187&lt;&gt;"",N187&lt;&gt;"",Q187&lt;&gt;""),"Qualifies (if FP-QUAL adopted)","")</f>
        <v/>
      </c>
    </row>
    <row r="188">
      <c r="G188" s="9" t="n"/>
      <c r="H188" s="9" t="n"/>
      <c r="K188" s="9" t="n"/>
      <c r="L188" s="9" t="n"/>
      <c r="M188" s="9" t="n"/>
      <c r="N188" s="9" t="n"/>
      <c r="O188" s="9" t="n"/>
      <c r="Q188" s="9" t="n"/>
      <c r="R188" s="9" t="n"/>
      <c r="W188" s="9" t="n"/>
      <c r="X188" s="9" t="n"/>
      <c r="Z188">
        <f>IF(A188="","",IF(AND(N188&lt;&gt;"",O188&lt;&gt;"",Q188&lt;&gt;"",R188&lt;&gt;"",S188="Y"),"YES","no"))</f>
        <v/>
      </c>
      <c r="AA188" s="9">
        <f>IF(Z188="YES",MAX(N188,O188,Q188,R188),"")</f>
        <v/>
      </c>
      <c r="AB188">
        <f>IF(A188="","",IF(X188&lt;&gt;"","13 Repeat activity",IF(W188&lt;&gt;"","12 First enquiry/order/booking",IF(Z188="YES","11 ACTIVATED",IF(Q188&lt;&gt;"","10 First listing live",IF(O188&lt;&gt;"","9 Profile completed",IF(N188&lt;&gt;"","8 Approved",IF(M188&lt;&gt;"","7 KYC submitted",IF(L188&lt;&gt;"","6 Registration completed",IF(K188&lt;&gt;"","5b Registration started",IF(H188&lt;&gt;"","5a Information sent",IF(G188&lt;&gt;"","5 Interested","—"))))))))))))</f>
        <v/>
      </c>
      <c r="AC188" s="10">
        <f>IF(A188="","",(COUNT(G188,H188,K188,L188,M188,N188,O188,Q188,R188)+(I188="Y")+(P188="Y")+(S188="Y"))/12)</f>
        <v/>
      </c>
      <c r="AD188">
        <f>IF(OR(A188="",COUNT(G188:X188)=0),"",TODAY()-MAX(G188,H188,K188,L188,M188,N188,O188,Q188,R188,W188,X188))</f>
        <v/>
      </c>
      <c r="AE188">
        <f>IF(A188="","",IF(AND(Z188&lt;&gt;"YES",AD188&lt;&gt;"",AD188&gt;THRESHOLDS!$B$12),"STUCK — act today",""))</f>
        <v/>
      </c>
      <c r="AF188">
        <f>IF(A188="","",IF(J188="Active (verified)","",IF(J188="","Ask GST status (readiness R2)","Escalate to founder: orders need verified GSTIN in current code — no tax advice")))</f>
        <v/>
      </c>
      <c r="AG188">
        <f>IF(AND(G188&lt;&gt;"",L188&lt;&gt;""),L188-G188,"")</f>
        <v/>
      </c>
      <c r="AH188">
        <f>IF(AND(L188&lt;&gt;"",N188&lt;&gt;""),N188-L188,"")</f>
        <v/>
      </c>
      <c r="AI188">
        <f>IF(AND(N188&lt;&gt;"",AA188&lt;&gt;""),AA188-N188,"")</f>
        <v/>
      </c>
      <c r="AJ188">
        <f>IF(AND(L188&lt;&gt;"",N188&lt;&gt;"",Q188&lt;&gt;""),"Qualifies (if FP-QUAL adopted)","")</f>
        <v/>
      </c>
    </row>
    <row r="189">
      <c r="G189" s="9" t="n"/>
      <c r="H189" s="9" t="n"/>
      <c r="K189" s="9" t="n"/>
      <c r="L189" s="9" t="n"/>
      <c r="M189" s="9" t="n"/>
      <c r="N189" s="9" t="n"/>
      <c r="O189" s="9" t="n"/>
      <c r="Q189" s="9" t="n"/>
      <c r="R189" s="9" t="n"/>
      <c r="W189" s="9" t="n"/>
      <c r="X189" s="9" t="n"/>
      <c r="Z189">
        <f>IF(A189="","",IF(AND(N189&lt;&gt;"",O189&lt;&gt;"",Q189&lt;&gt;"",R189&lt;&gt;"",S189="Y"),"YES","no"))</f>
        <v/>
      </c>
      <c r="AA189" s="9">
        <f>IF(Z189="YES",MAX(N189,O189,Q189,R189),"")</f>
        <v/>
      </c>
      <c r="AB189">
        <f>IF(A189="","",IF(X189&lt;&gt;"","13 Repeat activity",IF(W189&lt;&gt;"","12 First enquiry/order/booking",IF(Z189="YES","11 ACTIVATED",IF(Q189&lt;&gt;"","10 First listing live",IF(O189&lt;&gt;"","9 Profile completed",IF(N189&lt;&gt;"","8 Approved",IF(M189&lt;&gt;"","7 KYC submitted",IF(L189&lt;&gt;"","6 Registration completed",IF(K189&lt;&gt;"","5b Registration started",IF(H189&lt;&gt;"","5a Information sent",IF(G189&lt;&gt;"","5 Interested","—"))))))))))))</f>
        <v/>
      </c>
      <c r="AC189" s="10">
        <f>IF(A189="","",(COUNT(G189,H189,K189,L189,M189,N189,O189,Q189,R189)+(I189="Y")+(P189="Y")+(S189="Y"))/12)</f>
        <v/>
      </c>
      <c r="AD189">
        <f>IF(OR(A189="",COUNT(G189:X189)=0),"",TODAY()-MAX(G189,H189,K189,L189,M189,N189,O189,Q189,R189,W189,X189))</f>
        <v/>
      </c>
      <c r="AE189">
        <f>IF(A189="","",IF(AND(Z189&lt;&gt;"YES",AD189&lt;&gt;"",AD189&gt;THRESHOLDS!$B$12),"STUCK — act today",""))</f>
        <v/>
      </c>
      <c r="AF189">
        <f>IF(A189="","",IF(J189="Active (verified)","",IF(J189="","Ask GST status (readiness R2)","Escalate to founder: orders need verified GSTIN in current code — no tax advice")))</f>
        <v/>
      </c>
      <c r="AG189">
        <f>IF(AND(G189&lt;&gt;"",L189&lt;&gt;""),L189-G189,"")</f>
        <v/>
      </c>
      <c r="AH189">
        <f>IF(AND(L189&lt;&gt;"",N189&lt;&gt;""),N189-L189,"")</f>
        <v/>
      </c>
      <c r="AI189">
        <f>IF(AND(N189&lt;&gt;"",AA189&lt;&gt;""),AA189-N189,"")</f>
        <v/>
      </c>
      <c r="AJ189">
        <f>IF(AND(L189&lt;&gt;"",N189&lt;&gt;"",Q189&lt;&gt;""),"Qualifies (if FP-QUAL adopted)","")</f>
        <v/>
      </c>
    </row>
    <row r="190">
      <c r="G190" s="9" t="n"/>
      <c r="H190" s="9" t="n"/>
      <c r="K190" s="9" t="n"/>
      <c r="L190" s="9" t="n"/>
      <c r="M190" s="9" t="n"/>
      <c r="N190" s="9" t="n"/>
      <c r="O190" s="9" t="n"/>
      <c r="Q190" s="9" t="n"/>
      <c r="R190" s="9" t="n"/>
      <c r="W190" s="9" t="n"/>
      <c r="X190" s="9" t="n"/>
      <c r="Z190">
        <f>IF(A190="","",IF(AND(N190&lt;&gt;"",O190&lt;&gt;"",Q190&lt;&gt;"",R190&lt;&gt;"",S190="Y"),"YES","no"))</f>
        <v/>
      </c>
      <c r="AA190" s="9">
        <f>IF(Z190="YES",MAX(N190,O190,Q190,R190),"")</f>
        <v/>
      </c>
      <c r="AB190">
        <f>IF(A190="","",IF(X190&lt;&gt;"","13 Repeat activity",IF(W190&lt;&gt;"","12 First enquiry/order/booking",IF(Z190="YES","11 ACTIVATED",IF(Q190&lt;&gt;"","10 First listing live",IF(O190&lt;&gt;"","9 Profile completed",IF(N190&lt;&gt;"","8 Approved",IF(M190&lt;&gt;"","7 KYC submitted",IF(L190&lt;&gt;"","6 Registration completed",IF(K190&lt;&gt;"","5b Registration started",IF(H190&lt;&gt;"","5a Information sent",IF(G190&lt;&gt;"","5 Interested","—"))))))))))))</f>
        <v/>
      </c>
      <c r="AC190" s="10">
        <f>IF(A190="","",(COUNT(G190,H190,K190,L190,M190,N190,O190,Q190,R190)+(I190="Y")+(P190="Y")+(S190="Y"))/12)</f>
        <v/>
      </c>
      <c r="AD190">
        <f>IF(OR(A190="",COUNT(G190:X190)=0),"",TODAY()-MAX(G190,H190,K190,L190,M190,N190,O190,Q190,R190,W190,X190))</f>
        <v/>
      </c>
      <c r="AE190">
        <f>IF(A190="","",IF(AND(Z190&lt;&gt;"YES",AD190&lt;&gt;"",AD190&gt;THRESHOLDS!$B$12),"STUCK — act today",""))</f>
        <v/>
      </c>
      <c r="AF190">
        <f>IF(A190="","",IF(J190="Active (verified)","",IF(J190="","Ask GST status (readiness R2)","Escalate to founder: orders need verified GSTIN in current code — no tax advice")))</f>
        <v/>
      </c>
      <c r="AG190">
        <f>IF(AND(G190&lt;&gt;"",L190&lt;&gt;""),L190-G190,"")</f>
        <v/>
      </c>
      <c r="AH190">
        <f>IF(AND(L190&lt;&gt;"",N190&lt;&gt;""),N190-L190,"")</f>
        <v/>
      </c>
      <c r="AI190">
        <f>IF(AND(N190&lt;&gt;"",AA190&lt;&gt;""),AA190-N190,"")</f>
        <v/>
      </c>
      <c r="AJ190">
        <f>IF(AND(L190&lt;&gt;"",N190&lt;&gt;"",Q190&lt;&gt;""),"Qualifies (if FP-QUAL adopted)","")</f>
        <v/>
      </c>
    </row>
    <row r="191">
      <c r="G191" s="9" t="n"/>
      <c r="H191" s="9" t="n"/>
      <c r="K191" s="9" t="n"/>
      <c r="L191" s="9" t="n"/>
      <c r="M191" s="9" t="n"/>
      <c r="N191" s="9" t="n"/>
      <c r="O191" s="9" t="n"/>
      <c r="Q191" s="9" t="n"/>
      <c r="R191" s="9" t="n"/>
      <c r="W191" s="9" t="n"/>
      <c r="X191" s="9" t="n"/>
      <c r="Z191">
        <f>IF(A191="","",IF(AND(N191&lt;&gt;"",O191&lt;&gt;"",Q191&lt;&gt;"",R191&lt;&gt;"",S191="Y"),"YES","no"))</f>
        <v/>
      </c>
      <c r="AA191" s="9">
        <f>IF(Z191="YES",MAX(N191,O191,Q191,R191),"")</f>
        <v/>
      </c>
      <c r="AB191">
        <f>IF(A191="","",IF(X191&lt;&gt;"","13 Repeat activity",IF(W191&lt;&gt;"","12 First enquiry/order/booking",IF(Z191="YES","11 ACTIVATED",IF(Q191&lt;&gt;"","10 First listing live",IF(O191&lt;&gt;"","9 Profile completed",IF(N191&lt;&gt;"","8 Approved",IF(M191&lt;&gt;"","7 KYC submitted",IF(L191&lt;&gt;"","6 Registration completed",IF(K191&lt;&gt;"","5b Registration started",IF(H191&lt;&gt;"","5a Information sent",IF(G191&lt;&gt;"","5 Interested","—"))))))))))))</f>
        <v/>
      </c>
      <c r="AC191" s="10">
        <f>IF(A191="","",(COUNT(G191,H191,K191,L191,M191,N191,O191,Q191,R191)+(I191="Y")+(P191="Y")+(S191="Y"))/12)</f>
        <v/>
      </c>
      <c r="AD191">
        <f>IF(OR(A191="",COUNT(G191:X191)=0),"",TODAY()-MAX(G191,H191,K191,L191,M191,N191,O191,Q191,R191,W191,X191))</f>
        <v/>
      </c>
      <c r="AE191">
        <f>IF(A191="","",IF(AND(Z191&lt;&gt;"YES",AD191&lt;&gt;"",AD191&gt;THRESHOLDS!$B$12),"STUCK — act today",""))</f>
        <v/>
      </c>
      <c r="AF191">
        <f>IF(A191="","",IF(J191="Active (verified)","",IF(J191="","Ask GST status (readiness R2)","Escalate to founder: orders need verified GSTIN in current code — no tax advice")))</f>
        <v/>
      </c>
      <c r="AG191">
        <f>IF(AND(G191&lt;&gt;"",L191&lt;&gt;""),L191-G191,"")</f>
        <v/>
      </c>
      <c r="AH191">
        <f>IF(AND(L191&lt;&gt;"",N191&lt;&gt;""),N191-L191,"")</f>
        <v/>
      </c>
      <c r="AI191">
        <f>IF(AND(N191&lt;&gt;"",AA191&lt;&gt;""),AA191-N191,"")</f>
        <v/>
      </c>
      <c r="AJ191">
        <f>IF(AND(L191&lt;&gt;"",N191&lt;&gt;"",Q191&lt;&gt;""),"Qualifies (if FP-QUAL adopted)","")</f>
        <v/>
      </c>
    </row>
    <row r="192">
      <c r="G192" s="9" t="n"/>
      <c r="H192" s="9" t="n"/>
      <c r="K192" s="9" t="n"/>
      <c r="L192" s="9" t="n"/>
      <c r="M192" s="9" t="n"/>
      <c r="N192" s="9" t="n"/>
      <c r="O192" s="9" t="n"/>
      <c r="Q192" s="9" t="n"/>
      <c r="R192" s="9" t="n"/>
      <c r="W192" s="9" t="n"/>
      <c r="X192" s="9" t="n"/>
      <c r="Z192">
        <f>IF(A192="","",IF(AND(N192&lt;&gt;"",O192&lt;&gt;"",Q192&lt;&gt;"",R192&lt;&gt;"",S192="Y"),"YES","no"))</f>
        <v/>
      </c>
      <c r="AA192" s="9">
        <f>IF(Z192="YES",MAX(N192,O192,Q192,R192),"")</f>
        <v/>
      </c>
      <c r="AB192">
        <f>IF(A192="","",IF(X192&lt;&gt;"","13 Repeat activity",IF(W192&lt;&gt;"","12 First enquiry/order/booking",IF(Z192="YES","11 ACTIVATED",IF(Q192&lt;&gt;"","10 First listing live",IF(O192&lt;&gt;"","9 Profile completed",IF(N192&lt;&gt;"","8 Approved",IF(M192&lt;&gt;"","7 KYC submitted",IF(L192&lt;&gt;"","6 Registration completed",IF(K192&lt;&gt;"","5b Registration started",IF(H192&lt;&gt;"","5a Information sent",IF(G192&lt;&gt;"","5 Interested","—"))))))))))))</f>
        <v/>
      </c>
      <c r="AC192" s="10">
        <f>IF(A192="","",(COUNT(G192,H192,K192,L192,M192,N192,O192,Q192,R192)+(I192="Y")+(P192="Y")+(S192="Y"))/12)</f>
        <v/>
      </c>
      <c r="AD192">
        <f>IF(OR(A192="",COUNT(G192:X192)=0),"",TODAY()-MAX(G192,H192,K192,L192,M192,N192,O192,Q192,R192,W192,X192))</f>
        <v/>
      </c>
      <c r="AE192">
        <f>IF(A192="","",IF(AND(Z192&lt;&gt;"YES",AD192&lt;&gt;"",AD192&gt;THRESHOLDS!$B$12),"STUCK — act today",""))</f>
        <v/>
      </c>
      <c r="AF192">
        <f>IF(A192="","",IF(J192="Active (verified)","",IF(J192="","Ask GST status (readiness R2)","Escalate to founder: orders need verified GSTIN in current code — no tax advice")))</f>
        <v/>
      </c>
      <c r="AG192">
        <f>IF(AND(G192&lt;&gt;"",L192&lt;&gt;""),L192-G192,"")</f>
        <v/>
      </c>
      <c r="AH192">
        <f>IF(AND(L192&lt;&gt;"",N192&lt;&gt;""),N192-L192,"")</f>
        <v/>
      </c>
      <c r="AI192">
        <f>IF(AND(N192&lt;&gt;"",AA192&lt;&gt;""),AA192-N192,"")</f>
        <v/>
      </c>
      <c r="AJ192">
        <f>IF(AND(L192&lt;&gt;"",N192&lt;&gt;"",Q192&lt;&gt;""),"Qualifies (if FP-QUAL adopted)","")</f>
        <v/>
      </c>
    </row>
    <row r="193">
      <c r="G193" s="9" t="n"/>
      <c r="H193" s="9" t="n"/>
      <c r="K193" s="9" t="n"/>
      <c r="L193" s="9" t="n"/>
      <c r="M193" s="9" t="n"/>
      <c r="N193" s="9" t="n"/>
      <c r="O193" s="9" t="n"/>
      <c r="Q193" s="9" t="n"/>
      <c r="R193" s="9" t="n"/>
      <c r="W193" s="9" t="n"/>
      <c r="X193" s="9" t="n"/>
      <c r="Z193">
        <f>IF(A193="","",IF(AND(N193&lt;&gt;"",O193&lt;&gt;"",Q193&lt;&gt;"",R193&lt;&gt;"",S193="Y"),"YES","no"))</f>
        <v/>
      </c>
      <c r="AA193" s="9">
        <f>IF(Z193="YES",MAX(N193,O193,Q193,R193),"")</f>
        <v/>
      </c>
      <c r="AB193">
        <f>IF(A193="","",IF(X193&lt;&gt;"","13 Repeat activity",IF(W193&lt;&gt;"","12 First enquiry/order/booking",IF(Z193="YES","11 ACTIVATED",IF(Q193&lt;&gt;"","10 First listing live",IF(O193&lt;&gt;"","9 Profile completed",IF(N193&lt;&gt;"","8 Approved",IF(M193&lt;&gt;"","7 KYC submitted",IF(L193&lt;&gt;"","6 Registration completed",IF(K193&lt;&gt;"","5b Registration started",IF(H193&lt;&gt;"","5a Information sent",IF(G193&lt;&gt;"","5 Interested","—"))))))))))))</f>
        <v/>
      </c>
      <c r="AC193" s="10">
        <f>IF(A193="","",(COUNT(G193,H193,K193,L193,M193,N193,O193,Q193,R193)+(I193="Y")+(P193="Y")+(S193="Y"))/12)</f>
        <v/>
      </c>
      <c r="AD193">
        <f>IF(OR(A193="",COUNT(G193:X193)=0),"",TODAY()-MAX(G193,H193,K193,L193,M193,N193,O193,Q193,R193,W193,X193))</f>
        <v/>
      </c>
      <c r="AE193">
        <f>IF(A193="","",IF(AND(Z193&lt;&gt;"YES",AD193&lt;&gt;"",AD193&gt;THRESHOLDS!$B$12),"STUCK — act today",""))</f>
        <v/>
      </c>
      <c r="AF193">
        <f>IF(A193="","",IF(J193="Active (verified)","",IF(J193="","Ask GST status (readiness R2)","Escalate to founder: orders need verified GSTIN in current code — no tax advice")))</f>
        <v/>
      </c>
      <c r="AG193">
        <f>IF(AND(G193&lt;&gt;"",L193&lt;&gt;""),L193-G193,"")</f>
        <v/>
      </c>
      <c r="AH193">
        <f>IF(AND(L193&lt;&gt;"",N193&lt;&gt;""),N193-L193,"")</f>
        <v/>
      </c>
      <c r="AI193">
        <f>IF(AND(N193&lt;&gt;"",AA193&lt;&gt;""),AA193-N193,"")</f>
        <v/>
      </c>
      <c r="AJ193">
        <f>IF(AND(L193&lt;&gt;"",N193&lt;&gt;"",Q193&lt;&gt;""),"Qualifies (if FP-QUAL adopted)","")</f>
        <v/>
      </c>
    </row>
    <row r="194">
      <c r="G194" s="9" t="n"/>
      <c r="H194" s="9" t="n"/>
      <c r="K194" s="9" t="n"/>
      <c r="L194" s="9" t="n"/>
      <c r="M194" s="9" t="n"/>
      <c r="N194" s="9" t="n"/>
      <c r="O194" s="9" t="n"/>
      <c r="Q194" s="9" t="n"/>
      <c r="R194" s="9" t="n"/>
      <c r="W194" s="9" t="n"/>
      <c r="X194" s="9" t="n"/>
      <c r="Z194">
        <f>IF(A194="","",IF(AND(N194&lt;&gt;"",O194&lt;&gt;"",Q194&lt;&gt;"",R194&lt;&gt;"",S194="Y"),"YES","no"))</f>
        <v/>
      </c>
      <c r="AA194" s="9">
        <f>IF(Z194="YES",MAX(N194,O194,Q194,R194),"")</f>
        <v/>
      </c>
      <c r="AB194">
        <f>IF(A194="","",IF(X194&lt;&gt;"","13 Repeat activity",IF(W194&lt;&gt;"","12 First enquiry/order/booking",IF(Z194="YES","11 ACTIVATED",IF(Q194&lt;&gt;"","10 First listing live",IF(O194&lt;&gt;"","9 Profile completed",IF(N194&lt;&gt;"","8 Approved",IF(M194&lt;&gt;"","7 KYC submitted",IF(L194&lt;&gt;"","6 Registration completed",IF(K194&lt;&gt;"","5b Registration started",IF(H194&lt;&gt;"","5a Information sent",IF(G194&lt;&gt;"","5 Interested","—"))))))))))))</f>
        <v/>
      </c>
      <c r="AC194" s="10">
        <f>IF(A194="","",(COUNT(G194,H194,K194,L194,M194,N194,O194,Q194,R194)+(I194="Y")+(P194="Y")+(S194="Y"))/12)</f>
        <v/>
      </c>
      <c r="AD194">
        <f>IF(OR(A194="",COUNT(G194:X194)=0),"",TODAY()-MAX(G194,H194,K194,L194,M194,N194,O194,Q194,R194,W194,X194))</f>
        <v/>
      </c>
      <c r="AE194">
        <f>IF(A194="","",IF(AND(Z194&lt;&gt;"YES",AD194&lt;&gt;"",AD194&gt;THRESHOLDS!$B$12),"STUCK — act today",""))</f>
        <v/>
      </c>
      <c r="AF194">
        <f>IF(A194="","",IF(J194="Active (verified)","",IF(J194="","Ask GST status (readiness R2)","Escalate to founder: orders need verified GSTIN in current code — no tax advice")))</f>
        <v/>
      </c>
      <c r="AG194">
        <f>IF(AND(G194&lt;&gt;"",L194&lt;&gt;""),L194-G194,"")</f>
        <v/>
      </c>
      <c r="AH194">
        <f>IF(AND(L194&lt;&gt;"",N194&lt;&gt;""),N194-L194,"")</f>
        <v/>
      </c>
      <c r="AI194">
        <f>IF(AND(N194&lt;&gt;"",AA194&lt;&gt;""),AA194-N194,"")</f>
        <v/>
      </c>
      <c r="AJ194">
        <f>IF(AND(L194&lt;&gt;"",N194&lt;&gt;"",Q194&lt;&gt;""),"Qualifies (if FP-QUAL adopted)","")</f>
        <v/>
      </c>
    </row>
    <row r="195">
      <c r="G195" s="9" t="n"/>
      <c r="H195" s="9" t="n"/>
      <c r="K195" s="9" t="n"/>
      <c r="L195" s="9" t="n"/>
      <c r="M195" s="9" t="n"/>
      <c r="N195" s="9" t="n"/>
      <c r="O195" s="9" t="n"/>
      <c r="Q195" s="9" t="n"/>
      <c r="R195" s="9" t="n"/>
      <c r="W195" s="9" t="n"/>
      <c r="X195" s="9" t="n"/>
      <c r="Z195">
        <f>IF(A195="","",IF(AND(N195&lt;&gt;"",O195&lt;&gt;"",Q195&lt;&gt;"",R195&lt;&gt;"",S195="Y"),"YES","no"))</f>
        <v/>
      </c>
      <c r="AA195" s="9">
        <f>IF(Z195="YES",MAX(N195,O195,Q195,R195),"")</f>
        <v/>
      </c>
      <c r="AB195">
        <f>IF(A195="","",IF(X195&lt;&gt;"","13 Repeat activity",IF(W195&lt;&gt;"","12 First enquiry/order/booking",IF(Z195="YES","11 ACTIVATED",IF(Q195&lt;&gt;"","10 First listing live",IF(O195&lt;&gt;"","9 Profile completed",IF(N195&lt;&gt;"","8 Approved",IF(M195&lt;&gt;"","7 KYC submitted",IF(L195&lt;&gt;"","6 Registration completed",IF(K195&lt;&gt;"","5b Registration started",IF(H195&lt;&gt;"","5a Information sent",IF(G195&lt;&gt;"","5 Interested","—"))))))))))))</f>
        <v/>
      </c>
      <c r="AC195" s="10">
        <f>IF(A195="","",(COUNT(G195,H195,K195,L195,M195,N195,O195,Q195,R195)+(I195="Y")+(P195="Y")+(S195="Y"))/12)</f>
        <v/>
      </c>
      <c r="AD195">
        <f>IF(OR(A195="",COUNT(G195:X195)=0),"",TODAY()-MAX(G195,H195,K195,L195,M195,N195,O195,Q195,R195,W195,X195))</f>
        <v/>
      </c>
      <c r="AE195">
        <f>IF(A195="","",IF(AND(Z195&lt;&gt;"YES",AD195&lt;&gt;"",AD195&gt;THRESHOLDS!$B$12),"STUCK — act today",""))</f>
        <v/>
      </c>
      <c r="AF195">
        <f>IF(A195="","",IF(J195="Active (verified)","",IF(J195="","Ask GST status (readiness R2)","Escalate to founder: orders need verified GSTIN in current code — no tax advice")))</f>
        <v/>
      </c>
      <c r="AG195">
        <f>IF(AND(G195&lt;&gt;"",L195&lt;&gt;""),L195-G195,"")</f>
        <v/>
      </c>
      <c r="AH195">
        <f>IF(AND(L195&lt;&gt;"",N195&lt;&gt;""),N195-L195,"")</f>
        <v/>
      </c>
      <c r="AI195">
        <f>IF(AND(N195&lt;&gt;"",AA195&lt;&gt;""),AA195-N195,"")</f>
        <v/>
      </c>
      <c r="AJ195">
        <f>IF(AND(L195&lt;&gt;"",N195&lt;&gt;"",Q195&lt;&gt;""),"Qualifies (if FP-QUAL adopted)","")</f>
        <v/>
      </c>
    </row>
    <row r="196">
      <c r="G196" s="9" t="n"/>
      <c r="H196" s="9" t="n"/>
      <c r="K196" s="9" t="n"/>
      <c r="L196" s="9" t="n"/>
      <c r="M196" s="9" t="n"/>
      <c r="N196" s="9" t="n"/>
      <c r="O196" s="9" t="n"/>
      <c r="Q196" s="9" t="n"/>
      <c r="R196" s="9" t="n"/>
      <c r="W196" s="9" t="n"/>
      <c r="X196" s="9" t="n"/>
      <c r="Z196">
        <f>IF(A196="","",IF(AND(N196&lt;&gt;"",O196&lt;&gt;"",Q196&lt;&gt;"",R196&lt;&gt;"",S196="Y"),"YES","no"))</f>
        <v/>
      </c>
      <c r="AA196" s="9">
        <f>IF(Z196="YES",MAX(N196,O196,Q196,R196),"")</f>
        <v/>
      </c>
      <c r="AB196">
        <f>IF(A196="","",IF(X196&lt;&gt;"","13 Repeat activity",IF(W196&lt;&gt;"","12 First enquiry/order/booking",IF(Z196="YES","11 ACTIVATED",IF(Q196&lt;&gt;"","10 First listing live",IF(O196&lt;&gt;"","9 Profile completed",IF(N196&lt;&gt;"","8 Approved",IF(M196&lt;&gt;"","7 KYC submitted",IF(L196&lt;&gt;"","6 Registration completed",IF(K196&lt;&gt;"","5b Registration started",IF(H196&lt;&gt;"","5a Information sent",IF(G196&lt;&gt;"","5 Interested","—"))))))))))))</f>
        <v/>
      </c>
      <c r="AC196" s="10">
        <f>IF(A196="","",(COUNT(G196,H196,K196,L196,M196,N196,O196,Q196,R196)+(I196="Y")+(P196="Y")+(S196="Y"))/12)</f>
        <v/>
      </c>
      <c r="AD196">
        <f>IF(OR(A196="",COUNT(G196:X196)=0),"",TODAY()-MAX(G196,H196,K196,L196,M196,N196,O196,Q196,R196,W196,X196))</f>
        <v/>
      </c>
      <c r="AE196">
        <f>IF(A196="","",IF(AND(Z196&lt;&gt;"YES",AD196&lt;&gt;"",AD196&gt;THRESHOLDS!$B$12),"STUCK — act today",""))</f>
        <v/>
      </c>
      <c r="AF196">
        <f>IF(A196="","",IF(J196="Active (verified)","",IF(J196="","Ask GST status (readiness R2)","Escalate to founder: orders need verified GSTIN in current code — no tax advice")))</f>
        <v/>
      </c>
      <c r="AG196">
        <f>IF(AND(G196&lt;&gt;"",L196&lt;&gt;""),L196-G196,"")</f>
        <v/>
      </c>
      <c r="AH196">
        <f>IF(AND(L196&lt;&gt;"",N196&lt;&gt;""),N196-L196,"")</f>
        <v/>
      </c>
      <c r="AI196">
        <f>IF(AND(N196&lt;&gt;"",AA196&lt;&gt;""),AA196-N196,"")</f>
        <v/>
      </c>
      <c r="AJ196">
        <f>IF(AND(L196&lt;&gt;"",N196&lt;&gt;"",Q196&lt;&gt;""),"Qualifies (if FP-QUAL adopted)","")</f>
        <v/>
      </c>
    </row>
    <row r="197">
      <c r="G197" s="9" t="n"/>
      <c r="H197" s="9" t="n"/>
      <c r="K197" s="9" t="n"/>
      <c r="L197" s="9" t="n"/>
      <c r="M197" s="9" t="n"/>
      <c r="N197" s="9" t="n"/>
      <c r="O197" s="9" t="n"/>
      <c r="Q197" s="9" t="n"/>
      <c r="R197" s="9" t="n"/>
      <c r="W197" s="9" t="n"/>
      <c r="X197" s="9" t="n"/>
      <c r="Z197">
        <f>IF(A197="","",IF(AND(N197&lt;&gt;"",O197&lt;&gt;"",Q197&lt;&gt;"",R197&lt;&gt;"",S197="Y"),"YES","no"))</f>
        <v/>
      </c>
      <c r="AA197" s="9">
        <f>IF(Z197="YES",MAX(N197,O197,Q197,R197),"")</f>
        <v/>
      </c>
      <c r="AB197">
        <f>IF(A197="","",IF(X197&lt;&gt;"","13 Repeat activity",IF(W197&lt;&gt;"","12 First enquiry/order/booking",IF(Z197="YES","11 ACTIVATED",IF(Q197&lt;&gt;"","10 First listing live",IF(O197&lt;&gt;"","9 Profile completed",IF(N197&lt;&gt;"","8 Approved",IF(M197&lt;&gt;"","7 KYC submitted",IF(L197&lt;&gt;"","6 Registration completed",IF(K197&lt;&gt;"","5b Registration started",IF(H197&lt;&gt;"","5a Information sent",IF(G197&lt;&gt;"","5 Interested","—"))))))))))))</f>
        <v/>
      </c>
      <c r="AC197" s="10">
        <f>IF(A197="","",(COUNT(G197,H197,K197,L197,M197,N197,O197,Q197,R197)+(I197="Y")+(P197="Y")+(S197="Y"))/12)</f>
        <v/>
      </c>
      <c r="AD197">
        <f>IF(OR(A197="",COUNT(G197:X197)=0),"",TODAY()-MAX(G197,H197,K197,L197,M197,N197,O197,Q197,R197,W197,X197))</f>
        <v/>
      </c>
      <c r="AE197">
        <f>IF(A197="","",IF(AND(Z197&lt;&gt;"YES",AD197&lt;&gt;"",AD197&gt;THRESHOLDS!$B$12),"STUCK — act today",""))</f>
        <v/>
      </c>
      <c r="AF197">
        <f>IF(A197="","",IF(J197="Active (verified)","",IF(J197="","Ask GST status (readiness R2)","Escalate to founder: orders need verified GSTIN in current code — no tax advice")))</f>
        <v/>
      </c>
      <c r="AG197">
        <f>IF(AND(G197&lt;&gt;"",L197&lt;&gt;""),L197-G197,"")</f>
        <v/>
      </c>
      <c r="AH197">
        <f>IF(AND(L197&lt;&gt;"",N197&lt;&gt;""),N197-L197,"")</f>
        <v/>
      </c>
      <c r="AI197">
        <f>IF(AND(N197&lt;&gt;"",AA197&lt;&gt;""),AA197-N197,"")</f>
        <v/>
      </c>
      <c r="AJ197">
        <f>IF(AND(L197&lt;&gt;"",N197&lt;&gt;"",Q197&lt;&gt;""),"Qualifies (if FP-QUAL adopted)","")</f>
        <v/>
      </c>
    </row>
    <row r="198">
      <c r="G198" s="9" t="n"/>
      <c r="H198" s="9" t="n"/>
      <c r="K198" s="9" t="n"/>
      <c r="L198" s="9" t="n"/>
      <c r="M198" s="9" t="n"/>
      <c r="N198" s="9" t="n"/>
      <c r="O198" s="9" t="n"/>
      <c r="Q198" s="9" t="n"/>
      <c r="R198" s="9" t="n"/>
      <c r="W198" s="9" t="n"/>
      <c r="X198" s="9" t="n"/>
      <c r="Z198">
        <f>IF(A198="","",IF(AND(N198&lt;&gt;"",O198&lt;&gt;"",Q198&lt;&gt;"",R198&lt;&gt;"",S198="Y"),"YES","no"))</f>
        <v/>
      </c>
      <c r="AA198" s="9">
        <f>IF(Z198="YES",MAX(N198,O198,Q198,R198),"")</f>
        <v/>
      </c>
      <c r="AB198">
        <f>IF(A198="","",IF(X198&lt;&gt;"","13 Repeat activity",IF(W198&lt;&gt;"","12 First enquiry/order/booking",IF(Z198="YES","11 ACTIVATED",IF(Q198&lt;&gt;"","10 First listing live",IF(O198&lt;&gt;"","9 Profile completed",IF(N198&lt;&gt;"","8 Approved",IF(M198&lt;&gt;"","7 KYC submitted",IF(L198&lt;&gt;"","6 Registration completed",IF(K198&lt;&gt;"","5b Registration started",IF(H198&lt;&gt;"","5a Information sent",IF(G198&lt;&gt;"","5 Interested","—"))))))))))))</f>
        <v/>
      </c>
      <c r="AC198" s="10">
        <f>IF(A198="","",(COUNT(G198,H198,K198,L198,M198,N198,O198,Q198,R198)+(I198="Y")+(P198="Y")+(S198="Y"))/12)</f>
        <v/>
      </c>
      <c r="AD198">
        <f>IF(OR(A198="",COUNT(G198:X198)=0),"",TODAY()-MAX(G198,H198,K198,L198,M198,N198,O198,Q198,R198,W198,X198))</f>
        <v/>
      </c>
      <c r="AE198">
        <f>IF(A198="","",IF(AND(Z198&lt;&gt;"YES",AD198&lt;&gt;"",AD198&gt;THRESHOLDS!$B$12),"STUCK — act today",""))</f>
        <v/>
      </c>
      <c r="AF198">
        <f>IF(A198="","",IF(J198="Active (verified)","",IF(J198="","Ask GST status (readiness R2)","Escalate to founder: orders need verified GSTIN in current code — no tax advice")))</f>
        <v/>
      </c>
      <c r="AG198">
        <f>IF(AND(G198&lt;&gt;"",L198&lt;&gt;""),L198-G198,"")</f>
        <v/>
      </c>
      <c r="AH198">
        <f>IF(AND(L198&lt;&gt;"",N198&lt;&gt;""),N198-L198,"")</f>
        <v/>
      </c>
      <c r="AI198">
        <f>IF(AND(N198&lt;&gt;"",AA198&lt;&gt;""),AA198-N198,"")</f>
        <v/>
      </c>
      <c r="AJ198">
        <f>IF(AND(L198&lt;&gt;"",N198&lt;&gt;"",Q198&lt;&gt;""),"Qualifies (if FP-QUAL adopted)","")</f>
        <v/>
      </c>
    </row>
    <row r="199">
      <c r="G199" s="9" t="n"/>
      <c r="H199" s="9" t="n"/>
      <c r="K199" s="9" t="n"/>
      <c r="L199" s="9" t="n"/>
      <c r="M199" s="9" t="n"/>
      <c r="N199" s="9" t="n"/>
      <c r="O199" s="9" t="n"/>
      <c r="Q199" s="9" t="n"/>
      <c r="R199" s="9" t="n"/>
      <c r="W199" s="9" t="n"/>
      <c r="X199" s="9" t="n"/>
      <c r="Z199">
        <f>IF(A199="","",IF(AND(N199&lt;&gt;"",O199&lt;&gt;"",Q199&lt;&gt;"",R199&lt;&gt;"",S199="Y"),"YES","no"))</f>
        <v/>
      </c>
      <c r="AA199" s="9">
        <f>IF(Z199="YES",MAX(N199,O199,Q199,R199),"")</f>
        <v/>
      </c>
      <c r="AB199">
        <f>IF(A199="","",IF(X199&lt;&gt;"","13 Repeat activity",IF(W199&lt;&gt;"","12 First enquiry/order/booking",IF(Z199="YES","11 ACTIVATED",IF(Q199&lt;&gt;"","10 First listing live",IF(O199&lt;&gt;"","9 Profile completed",IF(N199&lt;&gt;"","8 Approved",IF(M199&lt;&gt;"","7 KYC submitted",IF(L199&lt;&gt;"","6 Registration completed",IF(K199&lt;&gt;"","5b Registration started",IF(H199&lt;&gt;"","5a Information sent",IF(G199&lt;&gt;"","5 Interested","—"))))))))))))</f>
        <v/>
      </c>
      <c r="AC199" s="10">
        <f>IF(A199="","",(COUNT(G199,H199,K199,L199,M199,N199,O199,Q199,R199)+(I199="Y")+(P199="Y")+(S199="Y"))/12)</f>
        <v/>
      </c>
      <c r="AD199">
        <f>IF(OR(A199="",COUNT(G199:X199)=0),"",TODAY()-MAX(G199,H199,K199,L199,M199,N199,O199,Q199,R199,W199,X199))</f>
        <v/>
      </c>
      <c r="AE199">
        <f>IF(A199="","",IF(AND(Z199&lt;&gt;"YES",AD199&lt;&gt;"",AD199&gt;THRESHOLDS!$B$12),"STUCK — act today",""))</f>
        <v/>
      </c>
      <c r="AF199">
        <f>IF(A199="","",IF(J199="Active (verified)","",IF(J199="","Ask GST status (readiness R2)","Escalate to founder: orders need verified GSTIN in current code — no tax advice")))</f>
        <v/>
      </c>
      <c r="AG199">
        <f>IF(AND(G199&lt;&gt;"",L199&lt;&gt;""),L199-G199,"")</f>
        <v/>
      </c>
      <c r="AH199">
        <f>IF(AND(L199&lt;&gt;"",N199&lt;&gt;""),N199-L199,"")</f>
        <v/>
      </c>
      <c r="AI199">
        <f>IF(AND(N199&lt;&gt;"",AA199&lt;&gt;""),AA199-N199,"")</f>
        <v/>
      </c>
      <c r="AJ199">
        <f>IF(AND(L199&lt;&gt;"",N199&lt;&gt;"",Q199&lt;&gt;""),"Qualifies (if FP-QUAL adopted)","")</f>
        <v/>
      </c>
    </row>
    <row r="200">
      <c r="G200" s="9" t="n"/>
      <c r="H200" s="9" t="n"/>
      <c r="K200" s="9" t="n"/>
      <c r="L200" s="9" t="n"/>
      <c r="M200" s="9" t="n"/>
      <c r="N200" s="9" t="n"/>
      <c r="O200" s="9" t="n"/>
      <c r="Q200" s="9" t="n"/>
      <c r="R200" s="9" t="n"/>
      <c r="W200" s="9" t="n"/>
      <c r="X200" s="9" t="n"/>
      <c r="Z200">
        <f>IF(A200="","",IF(AND(N200&lt;&gt;"",O200&lt;&gt;"",Q200&lt;&gt;"",R200&lt;&gt;"",S200="Y"),"YES","no"))</f>
        <v/>
      </c>
      <c r="AA200" s="9">
        <f>IF(Z200="YES",MAX(N200,O200,Q200,R200),"")</f>
        <v/>
      </c>
      <c r="AB200">
        <f>IF(A200="","",IF(X200&lt;&gt;"","13 Repeat activity",IF(W200&lt;&gt;"","12 First enquiry/order/booking",IF(Z200="YES","11 ACTIVATED",IF(Q200&lt;&gt;"","10 First listing live",IF(O200&lt;&gt;"","9 Profile completed",IF(N200&lt;&gt;"","8 Approved",IF(M200&lt;&gt;"","7 KYC submitted",IF(L200&lt;&gt;"","6 Registration completed",IF(K200&lt;&gt;"","5b Registration started",IF(H200&lt;&gt;"","5a Information sent",IF(G200&lt;&gt;"","5 Interested","—"))))))))))))</f>
        <v/>
      </c>
      <c r="AC200" s="10">
        <f>IF(A200="","",(COUNT(G200,H200,K200,L200,M200,N200,O200,Q200,R200)+(I200="Y")+(P200="Y")+(S200="Y"))/12)</f>
        <v/>
      </c>
      <c r="AD200">
        <f>IF(OR(A200="",COUNT(G200:X200)=0),"",TODAY()-MAX(G200,H200,K200,L200,M200,N200,O200,Q200,R200,W200,X200))</f>
        <v/>
      </c>
      <c r="AE200">
        <f>IF(A200="","",IF(AND(Z200&lt;&gt;"YES",AD200&lt;&gt;"",AD200&gt;THRESHOLDS!$B$12),"STUCK — act today",""))</f>
        <v/>
      </c>
      <c r="AF200">
        <f>IF(A200="","",IF(J200="Active (verified)","",IF(J200="","Ask GST status (readiness R2)","Escalate to founder: orders need verified GSTIN in current code — no tax advice")))</f>
        <v/>
      </c>
      <c r="AG200">
        <f>IF(AND(G200&lt;&gt;"",L200&lt;&gt;""),L200-G200,"")</f>
        <v/>
      </c>
      <c r="AH200">
        <f>IF(AND(L200&lt;&gt;"",N200&lt;&gt;""),N200-L200,"")</f>
        <v/>
      </c>
      <c r="AI200">
        <f>IF(AND(N200&lt;&gt;"",AA200&lt;&gt;""),AA200-N200,"")</f>
        <v/>
      </c>
      <c r="AJ200">
        <f>IF(AND(L200&lt;&gt;"",N200&lt;&gt;"",Q200&lt;&gt;""),"Qualifies (if FP-QUAL adopted)","")</f>
        <v/>
      </c>
    </row>
    <row r="201">
      <c r="G201" s="9" t="n"/>
      <c r="H201" s="9" t="n"/>
      <c r="K201" s="9" t="n"/>
      <c r="L201" s="9" t="n"/>
      <c r="M201" s="9" t="n"/>
      <c r="N201" s="9" t="n"/>
      <c r="O201" s="9" t="n"/>
      <c r="Q201" s="9" t="n"/>
      <c r="R201" s="9" t="n"/>
      <c r="W201" s="9" t="n"/>
      <c r="X201" s="9" t="n"/>
      <c r="Z201">
        <f>IF(A201="","",IF(AND(N201&lt;&gt;"",O201&lt;&gt;"",Q201&lt;&gt;"",R201&lt;&gt;"",S201="Y"),"YES","no"))</f>
        <v/>
      </c>
      <c r="AA201" s="9">
        <f>IF(Z201="YES",MAX(N201,O201,Q201,R201),"")</f>
        <v/>
      </c>
      <c r="AB201">
        <f>IF(A201="","",IF(X201&lt;&gt;"","13 Repeat activity",IF(W201&lt;&gt;"","12 First enquiry/order/booking",IF(Z201="YES","11 ACTIVATED",IF(Q201&lt;&gt;"","10 First listing live",IF(O201&lt;&gt;"","9 Profile completed",IF(N201&lt;&gt;"","8 Approved",IF(M201&lt;&gt;"","7 KYC submitted",IF(L201&lt;&gt;"","6 Registration completed",IF(K201&lt;&gt;"","5b Registration started",IF(H201&lt;&gt;"","5a Information sent",IF(G201&lt;&gt;"","5 Interested","—"))))))))))))</f>
        <v/>
      </c>
      <c r="AC201" s="10">
        <f>IF(A201="","",(COUNT(G201,H201,K201,L201,M201,N201,O201,Q201,R201)+(I201="Y")+(P201="Y")+(S201="Y"))/12)</f>
        <v/>
      </c>
      <c r="AD201">
        <f>IF(OR(A201="",COUNT(G201:X201)=0),"",TODAY()-MAX(G201,H201,K201,L201,M201,N201,O201,Q201,R201,W201,X201))</f>
        <v/>
      </c>
      <c r="AE201">
        <f>IF(A201="","",IF(AND(Z201&lt;&gt;"YES",AD201&lt;&gt;"",AD201&gt;THRESHOLDS!$B$12),"STUCK — act today",""))</f>
        <v/>
      </c>
      <c r="AF201">
        <f>IF(A201="","",IF(J201="Active (verified)","",IF(J201="","Ask GST status (readiness R2)","Escalate to founder: orders need verified GSTIN in current code — no tax advice")))</f>
        <v/>
      </c>
      <c r="AG201">
        <f>IF(AND(G201&lt;&gt;"",L201&lt;&gt;""),L201-G201,"")</f>
        <v/>
      </c>
      <c r="AH201">
        <f>IF(AND(L201&lt;&gt;"",N201&lt;&gt;""),N201-L201,"")</f>
        <v/>
      </c>
      <c r="AI201">
        <f>IF(AND(N201&lt;&gt;"",AA201&lt;&gt;""),AA201-N201,"")</f>
        <v/>
      </c>
      <c r="AJ201">
        <f>IF(AND(L201&lt;&gt;"",N201&lt;&gt;"",Q201&lt;&gt;""),"Qualifies (if FP-QUAL adopted)","")</f>
        <v/>
      </c>
    </row>
    <row r="202">
      <c r="G202" s="9" t="n"/>
      <c r="H202" s="9" t="n"/>
      <c r="K202" s="9" t="n"/>
      <c r="L202" s="9" t="n"/>
      <c r="M202" s="9" t="n"/>
      <c r="N202" s="9" t="n"/>
      <c r="O202" s="9" t="n"/>
      <c r="Q202" s="9" t="n"/>
      <c r="R202" s="9" t="n"/>
      <c r="W202" s="9" t="n"/>
      <c r="X202" s="9" t="n"/>
      <c r="Z202">
        <f>IF(A202="","",IF(AND(N202&lt;&gt;"",O202&lt;&gt;"",Q202&lt;&gt;"",R202&lt;&gt;"",S202="Y"),"YES","no"))</f>
        <v/>
      </c>
      <c r="AA202" s="9">
        <f>IF(Z202="YES",MAX(N202,O202,Q202,R202),"")</f>
        <v/>
      </c>
      <c r="AB202">
        <f>IF(A202="","",IF(X202&lt;&gt;"","13 Repeat activity",IF(W202&lt;&gt;"","12 First enquiry/order/booking",IF(Z202="YES","11 ACTIVATED",IF(Q202&lt;&gt;"","10 First listing live",IF(O202&lt;&gt;"","9 Profile completed",IF(N202&lt;&gt;"","8 Approved",IF(M202&lt;&gt;"","7 KYC submitted",IF(L202&lt;&gt;"","6 Registration completed",IF(K202&lt;&gt;"","5b Registration started",IF(H202&lt;&gt;"","5a Information sent",IF(G202&lt;&gt;"","5 Interested","—"))))))))))))</f>
        <v/>
      </c>
      <c r="AC202" s="10">
        <f>IF(A202="","",(COUNT(G202,H202,K202,L202,M202,N202,O202,Q202,R202)+(I202="Y")+(P202="Y")+(S202="Y"))/12)</f>
        <v/>
      </c>
      <c r="AD202">
        <f>IF(OR(A202="",COUNT(G202:X202)=0),"",TODAY()-MAX(G202,H202,K202,L202,M202,N202,O202,Q202,R202,W202,X202))</f>
        <v/>
      </c>
      <c r="AE202">
        <f>IF(A202="","",IF(AND(Z202&lt;&gt;"YES",AD202&lt;&gt;"",AD202&gt;THRESHOLDS!$B$12),"STUCK — act today",""))</f>
        <v/>
      </c>
      <c r="AF202">
        <f>IF(A202="","",IF(J202="Active (verified)","",IF(J202="","Ask GST status (readiness R2)","Escalate to founder: orders need verified GSTIN in current code — no tax advice")))</f>
        <v/>
      </c>
      <c r="AG202">
        <f>IF(AND(G202&lt;&gt;"",L202&lt;&gt;""),L202-G202,"")</f>
        <v/>
      </c>
      <c r="AH202">
        <f>IF(AND(L202&lt;&gt;"",N202&lt;&gt;""),N202-L202,"")</f>
        <v/>
      </c>
      <c r="AI202">
        <f>IF(AND(N202&lt;&gt;"",AA202&lt;&gt;""),AA202-N202,"")</f>
        <v/>
      </c>
      <c r="AJ202">
        <f>IF(AND(L202&lt;&gt;"",N202&lt;&gt;"",Q202&lt;&gt;""),"Qualifies (if FP-QUAL adopted)","")</f>
        <v/>
      </c>
    </row>
    <row r="203">
      <c r="G203" s="9" t="n"/>
      <c r="H203" s="9" t="n"/>
      <c r="K203" s="9" t="n"/>
      <c r="L203" s="9" t="n"/>
      <c r="M203" s="9" t="n"/>
      <c r="N203" s="9" t="n"/>
      <c r="O203" s="9" t="n"/>
      <c r="Q203" s="9" t="n"/>
      <c r="R203" s="9" t="n"/>
      <c r="W203" s="9" t="n"/>
      <c r="X203" s="9" t="n"/>
      <c r="Z203">
        <f>IF(A203="","",IF(AND(N203&lt;&gt;"",O203&lt;&gt;"",Q203&lt;&gt;"",R203&lt;&gt;"",S203="Y"),"YES","no"))</f>
        <v/>
      </c>
      <c r="AA203" s="9">
        <f>IF(Z203="YES",MAX(N203,O203,Q203,R203),"")</f>
        <v/>
      </c>
      <c r="AB203">
        <f>IF(A203="","",IF(X203&lt;&gt;"","13 Repeat activity",IF(W203&lt;&gt;"","12 First enquiry/order/booking",IF(Z203="YES","11 ACTIVATED",IF(Q203&lt;&gt;"","10 First listing live",IF(O203&lt;&gt;"","9 Profile completed",IF(N203&lt;&gt;"","8 Approved",IF(M203&lt;&gt;"","7 KYC submitted",IF(L203&lt;&gt;"","6 Registration completed",IF(K203&lt;&gt;"","5b Registration started",IF(H203&lt;&gt;"","5a Information sent",IF(G203&lt;&gt;"","5 Interested","—"))))))))))))</f>
        <v/>
      </c>
      <c r="AC203" s="10">
        <f>IF(A203="","",(COUNT(G203,H203,K203,L203,M203,N203,O203,Q203,R203)+(I203="Y")+(P203="Y")+(S203="Y"))/12)</f>
        <v/>
      </c>
      <c r="AD203">
        <f>IF(OR(A203="",COUNT(G203:X203)=0),"",TODAY()-MAX(G203,H203,K203,L203,M203,N203,O203,Q203,R203,W203,X203))</f>
        <v/>
      </c>
      <c r="AE203">
        <f>IF(A203="","",IF(AND(Z203&lt;&gt;"YES",AD203&lt;&gt;"",AD203&gt;THRESHOLDS!$B$12),"STUCK — act today",""))</f>
        <v/>
      </c>
      <c r="AF203">
        <f>IF(A203="","",IF(J203="Active (verified)","",IF(J203="","Ask GST status (readiness R2)","Escalate to founder: orders need verified GSTIN in current code — no tax advice")))</f>
        <v/>
      </c>
      <c r="AG203">
        <f>IF(AND(G203&lt;&gt;"",L203&lt;&gt;""),L203-G203,"")</f>
        <v/>
      </c>
      <c r="AH203">
        <f>IF(AND(L203&lt;&gt;"",N203&lt;&gt;""),N203-L203,"")</f>
        <v/>
      </c>
      <c r="AI203">
        <f>IF(AND(N203&lt;&gt;"",AA203&lt;&gt;""),AA203-N203,"")</f>
        <v/>
      </c>
      <c r="AJ203">
        <f>IF(AND(L203&lt;&gt;"",N203&lt;&gt;"",Q203&lt;&gt;""),"Qualifies (if FP-QUAL adopted)","")</f>
        <v/>
      </c>
    </row>
    <row r="204">
      <c r="G204" s="9" t="n"/>
      <c r="H204" s="9" t="n"/>
      <c r="K204" s="9" t="n"/>
      <c r="L204" s="9" t="n"/>
      <c r="M204" s="9" t="n"/>
      <c r="N204" s="9" t="n"/>
      <c r="O204" s="9" t="n"/>
      <c r="Q204" s="9" t="n"/>
      <c r="R204" s="9" t="n"/>
      <c r="W204" s="9" t="n"/>
      <c r="X204" s="9" t="n"/>
      <c r="Z204">
        <f>IF(A204="","",IF(AND(N204&lt;&gt;"",O204&lt;&gt;"",Q204&lt;&gt;"",R204&lt;&gt;"",S204="Y"),"YES","no"))</f>
        <v/>
      </c>
      <c r="AA204" s="9">
        <f>IF(Z204="YES",MAX(N204,O204,Q204,R204),"")</f>
        <v/>
      </c>
      <c r="AB204">
        <f>IF(A204="","",IF(X204&lt;&gt;"","13 Repeat activity",IF(W204&lt;&gt;"","12 First enquiry/order/booking",IF(Z204="YES","11 ACTIVATED",IF(Q204&lt;&gt;"","10 First listing live",IF(O204&lt;&gt;"","9 Profile completed",IF(N204&lt;&gt;"","8 Approved",IF(M204&lt;&gt;"","7 KYC submitted",IF(L204&lt;&gt;"","6 Registration completed",IF(K204&lt;&gt;"","5b Registration started",IF(H204&lt;&gt;"","5a Information sent",IF(G204&lt;&gt;"","5 Interested","—"))))))))))))</f>
        <v/>
      </c>
      <c r="AC204" s="10">
        <f>IF(A204="","",(COUNT(G204,H204,K204,L204,M204,N204,O204,Q204,R204)+(I204="Y")+(P204="Y")+(S204="Y"))/12)</f>
        <v/>
      </c>
      <c r="AD204">
        <f>IF(OR(A204="",COUNT(G204:X204)=0),"",TODAY()-MAX(G204,H204,K204,L204,M204,N204,O204,Q204,R204,W204,X204))</f>
        <v/>
      </c>
      <c r="AE204">
        <f>IF(A204="","",IF(AND(Z204&lt;&gt;"YES",AD204&lt;&gt;"",AD204&gt;THRESHOLDS!$B$12),"STUCK — act today",""))</f>
        <v/>
      </c>
      <c r="AF204">
        <f>IF(A204="","",IF(J204="Active (verified)","",IF(J204="","Ask GST status (readiness R2)","Escalate to founder: orders need verified GSTIN in current code — no tax advice")))</f>
        <v/>
      </c>
      <c r="AG204">
        <f>IF(AND(G204&lt;&gt;"",L204&lt;&gt;""),L204-G204,"")</f>
        <v/>
      </c>
      <c r="AH204">
        <f>IF(AND(L204&lt;&gt;"",N204&lt;&gt;""),N204-L204,"")</f>
        <v/>
      </c>
      <c r="AI204">
        <f>IF(AND(N204&lt;&gt;"",AA204&lt;&gt;""),AA204-N204,"")</f>
        <v/>
      </c>
      <c r="AJ204">
        <f>IF(AND(L204&lt;&gt;"",N204&lt;&gt;"",Q204&lt;&gt;""),"Qualifies (if FP-QUAL adopted)","")</f>
        <v/>
      </c>
    </row>
    <row r="205">
      <c r="G205" s="9" t="n"/>
      <c r="H205" s="9" t="n"/>
      <c r="K205" s="9" t="n"/>
      <c r="L205" s="9" t="n"/>
      <c r="M205" s="9" t="n"/>
      <c r="N205" s="9" t="n"/>
      <c r="O205" s="9" t="n"/>
      <c r="Q205" s="9" t="n"/>
      <c r="R205" s="9" t="n"/>
      <c r="W205" s="9" t="n"/>
      <c r="X205" s="9" t="n"/>
      <c r="Z205">
        <f>IF(A205="","",IF(AND(N205&lt;&gt;"",O205&lt;&gt;"",Q205&lt;&gt;"",R205&lt;&gt;"",S205="Y"),"YES","no"))</f>
        <v/>
      </c>
      <c r="AA205" s="9">
        <f>IF(Z205="YES",MAX(N205,O205,Q205,R205),"")</f>
        <v/>
      </c>
      <c r="AB205">
        <f>IF(A205="","",IF(X205&lt;&gt;"","13 Repeat activity",IF(W205&lt;&gt;"","12 First enquiry/order/booking",IF(Z205="YES","11 ACTIVATED",IF(Q205&lt;&gt;"","10 First listing live",IF(O205&lt;&gt;"","9 Profile completed",IF(N205&lt;&gt;"","8 Approved",IF(M205&lt;&gt;"","7 KYC submitted",IF(L205&lt;&gt;"","6 Registration completed",IF(K205&lt;&gt;"","5b Registration started",IF(H205&lt;&gt;"","5a Information sent",IF(G205&lt;&gt;"","5 Interested","—"))))))))))))</f>
        <v/>
      </c>
      <c r="AC205" s="10">
        <f>IF(A205="","",(COUNT(G205,H205,K205,L205,M205,N205,O205,Q205,R205)+(I205="Y")+(P205="Y")+(S205="Y"))/12)</f>
        <v/>
      </c>
      <c r="AD205">
        <f>IF(OR(A205="",COUNT(G205:X205)=0),"",TODAY()-MAX(G205,H205,K205,L205,M205,N205,O205,Q205,R205,W205,X205))</f>
        <v/>
      </c>
      <c r="AE205">
        <f>IF(A205="","",IF(AND(Z205&lt;&gt;"YES",AD205&lt;&gt;"",AD205&gt;THRESHOLDS!$B$12),"STUCK — act today",""))</f>
        <v/>
      </c>
      <c r="AF205">
        <f>IF(A205="","",IF(J205="Active (verified)","",IF(J205="","Ask GST status (readiness R2)","Escalate to founder: orders need verified GSTIN in current code — no tax advice")))</f>
        <v/>
      </c>
      <c r="AG205">
        <f>IF(AND(G205&lt;&gt;"",L205&lt;&gt;""),L205-G205,"")</f>
        <v/>
      </c>
      <c r="AH205">
        <f>IF(AND(L205&lt;&gt;"",N205&lt;&gt;""),N205-L205,"")</f>
        <v/>
      </c>
      <c r="AI205">
        <f>IF(AND(N205&lt;&gt;"",AA205&lt;&gt;""),AA205-N205,"")</f>
        <v/>
      </c>
      <c r="AJ205">
        <f>IF(AND(L205&lt;&gt;"",N205&lt;&gt;"",Q205&lt;&gt;""),"Qualifies (if FP-QUAL adopted)","")</f>
        <v/>
      </c>
    </row>
    <row r="206">
      <c r="G206" s="9" t="n"/>
      <c r="H206" s="9" t="n"/>
      <c r="K206" s="9" t="n"/>
      <c r="L206" s="9" t="n"/>
      <c r="M206" s="9" t="n"/>
      <c r="N206" s="9" t="n"/>
      <c r="O206" s="9" t="n"/>
      <c r="Q206" s="9" t="n"/>
      <c r="R206" s="9" t="n"/>
      <c r="W206" s="9" t="n"/>
      <c r="X206" s="9" t="n"/>
      <c r="Z206">
        <f>IF(A206="","",IF(AND(N206&lt;&gt;"",O206&lt;&gt;"",Q206&lt;&gt;"",R206&lt;&gt;"",S206="Y"),"YES","no"))</f>
        <v/>
      </c>
      <c r="AA206" s="9">
        <f>IF(Z206="YES",MAX(N206,O206,Q206,R206),"")</f>
        <v/>
      </c>
      <c r="AB206">
        <f>IF(A206="","",IF(X206&lt;&gt;"","13 Repeat activity",IF(W206&lt;&gt;"","12 First enquiry/order/booking",IF(Z206="YES","11 ACTIVATED",IF(Q206&lt;&gt;"","10 First listing live",IF(O206&lt;&gt;"","9 Profile completed",IF(N206&lt;&gt;"","8 Approved",IF(M206&lt;&gt;"","7 KYC submitted",IF(L206&lt;&gt;"","6 Registration completed",IF(K206&lt;&gt;"","5b Registration started",IF(H206&lt;&gt;"","5a Information sent",IF(G206&lt;&gt;"","5 Interested","—"))))))))))))</f>
        <v/>
      </c>
      <c r="AC206" s="10">
        <f>IF(A206="","",(COUNT(G206,H206,K206,L206,M206,N206,O206,Q206,R206)+(I206="Y")+(P206="Y")+(S206="Y"))/12)</f>
        <v/>
      </c>
      <c r="AD206">
        <f>IF(OR(A206="",COUNT(G206:X206)=0),"",TODAY()-MAX(G206,H206,K206,L206,M206,N206,O206,Q206,R206,W206,X206))</f>
        <v/>
      </c>
      <c r="AE206">
        <f>IF(A206="","",IF(AND(Z206&lt;&gt;"YES",AD206&lt;&gt;"",AD206&gt;THRESHOLDS!$B$12),"STUCK — act today",""))</f>
        <v/>
      </c>
      <c r="AF206">
        <f>IF(A206="","",IF(J206="Active (verified)","",IF(J206="","Ask GST status (readiness R2)","Escalate to founder: orders need verified GSTIN in current code — no tax advice")))</f>
        <v/>
      </c>
      <c r="AG206">
        <f>IF(AND(G206&lt;&gt;"",L206&lt;&gt;""),L206-G206,"")</f>
        <v/>
      </c>
      <c r="AH206">
        <f>IF(AND(L206&lt;&gt;"",N206&lt;&gt;""),N206-L206,"")</f>
        <v/>
      </c>
      <c r="AI206">
        <f>IF(AND(N206&lt;&gt;"",AA206&lt;&gt;""),AA206-N206,"")</f>
        <v/>
      </c>
      <c r="AJ206">
        <f>IF(AND(L206&lt;&gt;"",N206&lt;&gt;"",Q206&lt;&gt;""),"Qualifies (if FP-QUAL adopted)","")</f>
        <v/>
      </c>
    </row>
    <row r="207">
      <c r="G207" s="9" t="n"/>
      <c r="H207" s="9" t="n"/>
      <c r="K207" s="9" t="n"/>
      <c r="L207" s="9" t="n"/>
      <c r="M207" s="9" t="n"/>
      <c r="N207" s="9" t="n"/>
      <c r="O207" s="9" t="n"/>
      <c r="Q207" s="9" t="n"/>
      <c r="R207" s="9" t="n"/>
      <c r="W207" s="9" t="n"/>
      <c r="X207" s="9" t="n"/>
      <c r="Z207">
        <f>IF(A207="","",IF(AND(N207&lt;&gt;"",O207&lt;&gt;"",Q207&lt;&gt;"",R207&lt;&gt;"",S207="Y"),"YES","no"))</f>
        <v/>
      </c>
      <c r="AA207" s="9">
        <f>IF(Z207="YES",MAX(N207,O207,Q207,R207),"")</f>
        <v/>
      </c>
      <c r="AB207">
        <f>IF(A207="","",IF(X207&lt;&gt;"","13 Repeat activity",IF(W207&lt;&gt;"","12 First enquiry/order/booking",IF(Z207="YES","11 ACTIVATED",IF(Q207&lt;&gt;"","10 First listing live",IF(O207&lt;&gt;"","9 Profile completed",IF(N207&lt;&gt;"","8 Approved",IF(M207&lt;&gt;"","7 KYC submitted",IF(L207&lt;&gt;"","6 Registration completed",IF(K207&lt;&gt;"","5b Registration started",IF(H207&lt;&gt;"","5a Information sent",IF(G207&lt;&gt;"","5 Interested","—"))))))))))))</f>
        <v/>
      </c>
      <c r="AC207" s="10">
        <f>IF(A207="","",(COUNT(G207,H207,K207,L207,M207,N207,O207,Q207,R207)+(I207="Y")+(P207="Y")+(S207="Y"))/12)</f>
        <v/>
      </c>
      <c r="AD207">
        <f>IF(OR(A207="",COUNT(G207:X207)=0),"",TODAY()-MAX(G207,H207,K207,L207,M207,N207,O207,Q207,R207,W207,X207))</f>
        <v/>
      </c>
      <c r="AE207">
        <f>IF(A207="","",IF(AND(Z207&lt;&gt;"YES",AD207&lt;&gt;"",AD207&gt;THRESHOLDS!$B$12),"STUCK — act today",""))</f>
        <v/>
      </c>
      <c r="AF207">
        <f>IF(A207="","",IF(J207="Active (verified)","",IF(J207="","Ask GST status (readiness R2)","Escalate to founder: orders need verified GSTIN in current code — no tax advice")))</f>
        <v/>
      </c>
      <c r="AG207">
        <f>IF(AND(G207&lt;&gt;"",L207&lt;&gt;""),L207-G207,"")</f>
        <v/>
      </c>
      <c r="AH207">
        <f>IF(AND(L207&lt;&gt;"",N207&lt;&gt;""),N207-L207,"")</f>
        <v/>
      </c>
      <c r="AI207">
        <f>IF(AND(N207&lt;&gt;"",AA207&lt;&gt;""),AA207-N207,"")</f>
        <v/>
      </c>
      <c r="AJ207">
        <f>IF(AND(L207&lt;&gt;"",N207&lt;&gt;"",Q207&lt;&gt;""),"Qualifies (if FP-QUAL adopted)","")</f>
        <v/>
      </c>
    </row>
    <row r="208">
      <c r="G208" s="9" t="n"/>
      <c r="H208" s="9" t="n"/>
      <c r="K208" s="9" t="n"/>
      <c r="L208" s="9" t="n"/>
      <c r="M208" s="9" t="n"/>
      <c r="N208" s="9" t="n"/>
      <c r="O208" s="9" t="n"/>
      <c r="Q208" s="9" t="n"/>
      <c r="R208" s="9" t="n"/>
      <c r="W208" s="9" t="n"/>
      <c r="X208" s="9" t="n"/>
      <c r="Z208">
        <f>IF(A208="","",IF(AND(N208&lt;&gt;"",O208&lt;&gt;"",Q208&lt;&gt;"",R208&lt;&gt;"",S208="Y"),"YES","no"))</f>
        <v/>
      </c>
      <c r="AA208" s="9">
        <f>IF(Z208="YES",MAX(N208,O208,Q208,R208),"")</f>
        <v/>
      </c>
      <c r="AB208">
        <f>IF(A208="","",IF(X208&lt;&gt;"","13 Repeat activity",IF(W208&lt;&gt;"","12 First enquiry/order/booking",IF(Z208="YES","11 ACTIVATED",IF(Q208&lt;&gt;"","10 First listing live",IF(O208&lt;&gt;"","9 Profile completed",IF(N208&lt;&gt;"","8 Approved",IF(M208&lt;&gt;"","7 KYC submitted",IF(L208&lt;&gt;"","6 Registration completed",IF(K208&lt;&gt;"","5b Registration started",IF(H208&lt;&gt;"","5a Information sent",IF(G208&lt;&gt;"","5 Interested","—"))))))))))))</f>
        <v/>
      </c>
      <c r="AC208" s="10">
        <f>IF(A208="","",(COUNT(G208,H208,K208,L208,M208,N208,O208,Q208,R208)+(I208="Y")+(P208="Y")+(S208="Y"))/12)</f>
        <v/>
      </c>
      <c r="AD208">
        <f>IF(OR(A208="",COUNT(G208:X208)=0),"",TODAY()-MAX(G208,H208,K208,L208,M208,N208,O208,Q208,R208,W208,X208))</f>
        <v/>
      </c>
      <c r="AE208">
        <f>IF(A208="","",IF(AND(Z208&lt;&gt;"YES",AD208&lt;&gt;"",AD208&gt;THRESHOLDS!$B$12),"STUCK — act today",""))</f>
        <v/>
      </c>
      <c r="AF208">
        <f>IF(A208="","",IF(J208="Active (verified)","",IF(J208="","Ask GST status (readiness R2)","Escalate to founder: orders need verified GSTIN in current code — no tax advice")))</f>
        <v/>
      </c>
      <c r="AG208">
        <f>IF(AND(G208&lt;&gt;"",L208&lt;&gt;""),L208-G208,"")</f>
        <v/>
      </c>
      <c r="AH208">
        <f>IF(AND(L208&lt;&gt;"",N208&lt;&gt;""),N208-L208,"")</f>
        <v/>
      </c>
      <c r="AI208">
        <f>IF(AND(N208&lt;&gt;"",AA208&lt;&gt;""),AA208-N208,"")</f>
        <v/>
      </c>
      <c r="AJ208">
        <f>IF(AND(L208&lt;&gt;"",N208&lt;&gt;"",Q208&lt;&gt;""),"Qualifies (if FP-QUAL adopted)","")</f>
        <v/>
      </c>
    </row>
    <row r="209">
      <c r="G209" s="9" t="n"/>
      <c r="H209" s="9" t="n"/>
      <c r="K209" s="9" t="n"/>
      <c r="L209" s="9" t="n"/>
      <c r="M209" s="9" t="n"/>
      <c r="N209" s="9" t="n"/>
      <c r="O209" s="9" t="n"/>
      <c r="Q209" s="9" t="n"/>
      <c r="R209" s="9" t="n"/>
      <c r="W209" s="9" t="n"/>
      <c r="X209" s="9" t="n"/>
      <c r="Z209">
        <f>IF(A209="","",IF(AND(N209&lt;&gt;"",O209&lt;&gt;"",Q209&lt;&gt;"",R209&lt;&gt;"",S209="Y"),"YES","no"))</f>
        <v/>
      </c>
      <c r="AA209" s="9">
        <f>IF(Z209="YES",MAX(N209,O209,Q209,R209),"")</f>
        <v/>
      </c>
      <c r="AB209">
        <f>IF(A209="","",IF(X209&lt;&gt;"","13 Repeat activity",IF(W209&lt;&gt;"","12 First enquiry/order/booking",IF(Z209="YES","11 ACTIVATED",IF(Q209&lt;&gt;"","10 First listing live",IF(O209&lt;&gt;"","9 Profile completed",IF(N209&lt;&gt;"","8 Approved",IF(M209&lt;&gt;"","7 KYC submitted",IF(L209&lt;&gt;"","6 Registration completed",IF(K209&lt;&gt;"","5b Registration started",IF(H209&lt;&gt;"","5a Information sent",IF(G209&lt;&gt;"","5 Interested","—"))))))))))))</f>
        <v/>
      </c>
      <c r="AC209" s="10">
        <f>IF(A209="","",(COUNT(G209,H209,K209,L209,M209,N209,O209,Q209,R209)+(I209="Y")+(P209="Y")+(S209="Y"))/12)</f>
        <v/>
      </c>
      <c r="AD209">
        <f>IF(OR(A209="",COUNT(G209:X209)=0),"",TODAY()-MAX(G209,H209,K209,L209,M209,N209,O209,Q209,R209,W209,X209))</f>
        <v/>
      </c>
      <c r="AE209">
        <f>IF(A209="","",IF(AND(Z209&lt;&gt;"YES",AD209&lt;&gt;"",AD209&gt;THRESHOLDS!$B$12),"STUCK — act today",""))</f>
        <v/>
      </c>
      <c r="AF209">
        <f>IF(A209="","",IF(J209="Active (verified)","",IF(J209="","Ask GST status (readiness R2)","Escalate to founder: orders need verified GSTIN in current code — no tax advice")))</f>
        <v/>
      </c>
      <c r="AG209">
        <f>IF(AND(G209&lt;&gt;"",L209&lt;&gt;""),L209-G209,"")</f>
        <v/>
      </c>
      <c r="AH209">
        <f>IF(AND(L209&lt;&gt;"",N209&lt;&gt;""),N209-L209,"")</f>
        <v/>
      </c>
      <c r="AI209">
        <f>IF(AND(N209&lt;&gt;"",AA209&lt;&gt;""),AA209-N209,"")</f>
        <v/>
      </c>
      <c r="AJ209">
        <f>IF(AND(L209&lt;&gt;"",N209&lt;&gt;"",Q209&lt;&gt;""),"Qualifies (if FP-QUAL adopted)","")</f>
        <v/>
      </c>
    </row>
    <row r="210">
      <c r="G210" s="9" t="n"/>
      <c r="H210" s="9" t="n"/>
      <c r="K210" s="9" t="n"/>
      <c r="L210" s="9" t="n"/>
      <c r="M210" s="9" t="n"/>
      <c r="N210" s="9" t="n"/>
      <c r="O210" s="9" t="n"/>
      <c r="Q210" s="9" t="n"/>
      <c r="R210" s="9" t="n"/>
      <c r="W210" s="9" t="n"/>
      <c r="X210" s="9" t="n"/>
      <c r="Z210">
        <f>IF(A210="","",IF(AND(N210&lt;&gt;"",O210&lt;&gt;"",Q210&lt;&gt;"",R210&lt;&gt;"",S210="Y"),"YES","no"))</f>
        <v/>
      </c>
      <c r="AA210" s="9">
        <f>IF(Z210="YES",MAX(N210,O210,Q210,R210),"")</f>
        <v/>
      </c>
      <c r="AB210">
        <f>IF(A210="","",IF(X210&lt;&gt;"","13 Repeat activity",IF(W210&lt;&gt;"","12 First enquiry/order/booking",IF(Z210="YES","11 ACTIVATED",IF(Q210&lt;&gt;"","10 First listing live",IF(O210&lt;&gt;"","9 Profile completed",IF(N210&lt;&gt;"","8 Approved",IF(M210&lt;&gt;"","7 KYC submitted",IF(L210&lt;&gt;"","6 Registration completed",IF(K210&lt;&gt;"","5b Registration started",IF(H210&lt;&gt;"","5a Information sent",IF(G210&lt;&gt;"","5 Interested","—"))))))))))))</f>
        <v/>
      </c>
      <c r="AC210" s="10">
        <f>IF(A210="","",(COUNT(G210,H210,K210,L210,M210,N210,O210,Q210,R210)+(I210="Y")+(P210="Y")+(S210="Y"))/12)</f>
        <v/>
      </c>
      <c r="AD210">
        <f>IF(OR(A210="",COUNT(G210:X210)=0),"",TODAY()-MAX(G210,H210,K210,L210,M210,N210,O210,Q210,R210,W210,X210))</f>
        <v/>
      </c>
      <c r="AE210">
        <f>IF(A210="","",IF(AND(Z210&lt;&gt;"YES",AD210&lt;&gt;"",AD210&gt;THRESHOLDS!$B$12),"STUCK — act today",""))</f>
        <v/>
      </c>
      <c r="AF210">
        <f>IF(A210="","",IF(J210="Active (verified)","",IF(J210="","Ask GST status (readiness R2)","Escalate to founder: orders need verified GSTIN in current code — no tax advice")))</f>
        <v/>
      </c>
      <c r="AG210">
        <f>IF(AND(G210&lt;&gt;"",L210&lt;&gt;""),L210-G210,"")</f>
        <v/>
      </c>
      <c r="AH210">
        <f>IF(AND(L210&lt;&gt;"",N210&lt;&gt;""),N210-L210,"")</f>
        <v/>
      </c>
      <c r="AI210">
        <f>IF(AND(N210&lt;&gt;"",AA210&lt;&gt;""),AA210-N210,"")</f>
        <v/>
      </c>
      <c r="AJ210">
        <f>IF(AND(L210&lt;&gt;"",N210&lt;&gt;"",Q210&lt;&gt;""),"Qualifies (if FP-QUAL adopted)","")</f>
        <v/>
      </c>
    </row>
    <row r="211">
      <c r="G211" s="9" t="n"/>
      <c r="H211" s="9" t="n"/>
      <c r="K211" s="9" t="n"/>
      <c r="L211" s="9" t="n"/>
      <c r="M211" s="9" t="n"/>
      <c r="N211" s="9" t="n"/>
      <c r="O211" s="9" t="n"/>
      <c r="Q211" s="9" t="n"/>
      <c r="R211" s="9" t="n"/>
      <c r="W211" s="9" t="n"/>
      <c r="X211" s="9" t="n"/>
      <c r="Z211">
        <f>IF(A211="","",IF(AND(N211&lt;&gt;"",O211&lt;&gt;"",Q211&lt;&gt;"",R211&lt;&gt;"",S211="Y"),"YES","no"))</f>
        <v/>
      </c>
      <c r="AA211" s="9">
        <f>IF(Z211="YES",MAX(N211,O211,Q211,R211),"")</f>
        <v/>
      </c>
      <c r="AB211">
        <f>IF(A211="","",IF(X211&lt;&gt;"","13 Repeat activity",IF(W211&lt;&gt;"","12 First enquiry/order/booking",IF(Z211="YES","11 ACTIVATED",IF(Q211&lt;&gt;"","10 First listing live",IF(O211&lt;&gt;"","9 Profile completed",IF(N211&lt;&gt;"","8 Approved",IF(M211&lt;&gt;"","7 KYC submitted",IF(L211&lt;&gt;"","6 Registration completed",IF(K211&lt;&gt;"","5b Registration started",IF(H211&lt;&gt;"","5a Information sent",IF(G211&lt;&gt;"","5 Interested","—"))))))))))))</f>
        <v/>
      </c>
      <c r="AC211" s="10">
        <f>IF(A211="","",(COUNT(G211,H211,K211,L211,M211,N211,O211,Q211,R211)+(I211="Y")+(P211="Y")+(S211="Y"))/12)</f>
        <v/>
      </c>
      <c r="AD211">
        <f>IF(OR(A211="",COUNT(G211:X211)=0),"",TODAY()-MAX(G211,H211,K211,L211,M211,N211,O211,Q211,R211,W211,X211))</f>
        <v/>
      </c>
      <c r="AE211">
        <f>IF(A211="","",IF(AND(Z211&lt;&gt;"YES",AD211&lt;&gt;"",AD211&gt;THRESHOLDS!$B$12),"STUCK — act today",""))</f>
        <v/>
      </c>
      <c r="AF211">
        <f>IF(A211="","",IF(J211="Active (verified)","",IF(J211="","Ask GST status (readiness R2)","Escalate to founder: orders need verified GSTIN in current code — no tax advice")))</f>
        <v/>
      </c>
      <c r="AG211">
        <f>IF(AND(G211&lt;&gt;"",L211&lt;&gt;""),L211-G211,"")</f>
        <v/>
      </c>
      <c r="AH211">
        <f>IF(AND(L211&lt;&gt;"",N211&lt;&gt;""),N211-L211,"")</f>
        <v/>
      </c>
      <c r="AI211">
        <f>IF(AND(N211&lt;&gt;"",AA211&lt;&gt;""),AA211-N211,"")</f>
        <v/>
      </c>
      <c r="AJ211">
        <f>IF(AND(L211&lt;&gt;"",N211&lt;&gt;"",Q211&lt;&gt;""),"Qualifies (if FP-QUAL adopted)","")</f>
        <v/>
      </c>
    </row>
    <row r="212">
      <c r="G212" s="9" t="n"/>
      <c r="H212" s="9" t="n"/>
      <c r="K212" s="9" t="n"/>
      <c r="L212" s="9" t="n"/>
      <c r="M212" s="9" t="n"/>
      <c r="N212" s="9" t="n"/>
      <c r="O212" s="9" t="n"/>
      <c r="Q212" s="9" t="n"/>
      <c r="R212" s="9" t="n"/>
      <c r="W212" s="9" t="n"/>
      <c r="X212" s="9" t="n"/>
      <c r="Z212">
        <f>IF(A212="","",IF(AND(N212&lt;&gt;"",O212&lt;&gt;"",Q212&lt;&gt;"",R212&lt;&gt;"",S212="Y"),"YES","no"))</f>
        <v/>
      </c>
      <c r="AA212" s="9">
        <f>IF(Z212="YES",MAX(N212,O212,Q212,R212),"")</f>
        <v/>
      </c>
      <c r="AB212">
        <f>IF(A212="","",IF(X212&lt;&gt;"","13 Repeat activity",IF(W212&lt;&gt;"","12 First enquiry/order/booking",IF(Z212="YES","11 ACTIVATED",IF(Q212&lt;&gt;"","10 First listing live",IF(O212&lt;&gt;"","9 Profile completed",IF(N212&lt;&gt;"","8 Approved",IF(M212&lt;&gt;"","7 KYC submitted",IF(L212&lt;&gt;"","6 Registration completed",IF(K212&lt;&gt;"","5b Registration started",IF(H212&lt;&gt;"","5a Information sent",IF(G212&lt;&gt;"","5 Interested","—"))))))))))))</f>
        <v/>
      </c>
      <c r="AC212" s="10">
        <f>IF(A212="","",(COUNT(G212,H212,K212,L212,M212,N212,O212,Q212,R212)+(I212="Y")+(P212="Y")+(S212="Y"))/12)</f>
        <v/>
      </c>
      <c r="AD212">
        <f>IF(OR(A212="",COUNT(G212:X212)=0),"",TODAY()-MAX(G212,H212,K212,L212,M212,N212,O212,Q212,R212,W212,X212))</f>
        <v/>
      </c>
      <c r="AE212">
        <f>IF(A212="","",IF(AND(Z212&lt;&gt;"YES",AD212&lt;&gt;"",AD212&gt;THRESHOLDS!$B$12),"STUCK — act today",""))</f>
        <v/>
      </c>
      <c r="AF212">
        <f>IF(A212="","",IF(J212="Active (verified)","",IF(J212="","Ask GST status (readiness R2)","Escalate to founder: orders need verified GSTIN in current code — no tax advice")))</f>
        <v/>
      </c>
      <c r="AG212">
        <f>IF(AND(G212&lt;&gt;"",L212&lt;&gt;""),L212-G212,"")</f>
        <v/>
      </c>
      <c r="AH212">
        <f>IF(AND(L212&lt;&gt;"",N212&lt;&gt;""),N212-L212,"")</f>
        <v/>
      </c>
      <c r="AI212">
        <f>IF(AND(N212&lt;&gt;"",AA212&lt;&gt;""),AA212-N212,"")</f>
        <v/>
      </c>
      <c r="AJ212">
        <f>IF(AND(L212&lt;&gt;"",N212&lt;&gt;"",Q212&lt;&gt;""),"Qualifies (if FP-QUAL adopted)","")</f>
        <v/>
      </c>
    </row>
    <row r="213">
      <c r="G213" s="9" t="n"/>
      <c r="H213" s="9" t="n"/>
      <c r="K213" s="9" t="n"/>
      <c r="L213" s="9" t="n"/>
      <c r="M213" s="9" t="n"/>
      <c r="N213" s="9" t="n"/>
      <c r="O213" s="9" t="n"/>
      <c r="Q213" s="9" t="n"/>
      <c r="R213" s="9" t="n"/>
      <c r="W213" s="9" t="n"/>
      <c r="X213" s="9" t="n"/>
      <c r="Z213">
        <f>IF(A213="","",IF(AND(N213&lt;&gt;"",O213&lt;&gt;"",Q213&lt;&gt;"",R213&lt;&gt;"",S213="Y"),"YES","no"))</f>
        <v/>
      </c>
      <c r="AA213" s="9">
        <f>IF(Z213="YES",MAX(N213,O213,Q213,R213),"")</f>
        <v/>
      </c>
      <c r="AB213">
        <f>IF(A213="","",IF(X213&lt;&gt;"","13 Repeat activity",IF(W213&lt;&gt;"","12 First enquiry/order/booking",IF(Z213="YES","11 ACTIVATED",IF(Q213&lt;&gt;"","10 First listing live",IF(O213&lt;&gt;"","9 Profile completed",IF(N213&lt;&gt;"","8 Approved",IF(M213&lt;&gt;"","7 KYC submitted",IF(L213&lt;&gt;"","6 Registration completed",IF(K213&lt;&gt;"","5b Registration started",IF(H213&lt;&gt;"","5a Information sent",IF(G213&lt;&gt;"","5 Interested","—"))))))))))))</f>
        <v/>
      </c>
      <c r="AC213" s="10">
        <f>IF(A213="","",(COUNT(G213,H213,K213,L213,M213,N213,O213,Q213,R213)+(I213="Y")+(P213="Y")+(S213="Y"))/12)</f>
        <v/>
      </c>
      <c r="AD213">
        <f>IF(OR(A213="",COUNT(G213:X213)=0),"",TODAY()-MAX(G213,H213,K213,L213,M213,N213,O213,Q213,R213,W213,X213))</f>
        <v/>
      </c>
      <c r="AE213">
        <f>IF(A213="","",IF(AND(Z213&lt;&gt;"YES",AD213&lt;&gt;"",AD213&gt;THRESHOLDS!$B$12),"STUCK — act today",""))</f>
        <v/>
      </c>
      <c r="AF213">
        <f>IF(A213="","",IF(J213="Active (verified)","",IF(J213="","Ask GST status (readiness R2)","Escalate to founder: orders need verified GSTIN in current code — no tax advice")))</f>
        <v/>
      </c>
      <c r="AG213">
        <f>IF(AND(G213&lt;&gt;"",L213&lt;&gt;""),L213-G213,"")</f>
        <v/>
      </c>
      <c r="AH213">
        <f>IF(AND(L213&lt;&gt;"",N213&lt;&gt;""),N213-L213,"")</f>
        <v/>
      </c>
      <c r="AI213">
        <f>IF(AND(N213&lt;&gt;"",AA213&lt;&gt;""),AA213-N213,"")</f>
        <v/>
      </c>
      <c r="AJ213">
        <f>IF(AND(L213&lt;&gt;"",N213&lt;&gt;"",Q213&lt;&gt;""),"Qualifies (if FP-QUAL adopted)","")</f>
        <v/>
      </c>
    </row>
    <row r="214">
      <c r="G214" s="9" t="n"/>
      <c r="H214" s="9" t="n"/>
      <c r="K214" s="9" t="n"/>
      <c r="L214" s="9" t="n"/>
      <c r="M214" s="9" t="n"/>
      <c r="N214" s="9" t="n"/>
      <c r="O214" s="9" t="n"/>
      <c r="Q214" s="9" t="n"/>
      <c r="R214" s="9" t="n"/>
      <c r="W214" s="9" t="n"/>
      <c r="X214" s="9" t="n"/>
      <c r="Z214">
        <f>IF(A214="","",IF(AND(N214&lt;&gt;"",O214&lt;&gt;"",Q214&lt;&gt;"",R214&lt;&gt;"",S214="Y"),"YES","no"))</f>
        <v/>
      </c>
      <c r="AA214" s="9">
        <f>IF(Z214="YES",MAX(N214,O214,Q214,R214),"")</f>
        <v/>
      </c>
      <c r="AB214">
        <f>IF(A214="","",IF(X214&lt;&gt;"","13 Repeat activity",IF(W214&lt;&gt;"","12 First enquiry/order/booking",IF(Z214="YES","11 ACTIVATED",IF(Q214&lt;&gt;"","10 First listing live",IF(O214&lt;&gt;"","9 Profile completed",IF(N214&lt;&gt;"","8 Approved",IF(M214&lt;&gt;"","7 KYC submitted",IF(L214&lt;&gt;"","6 Registration completed",IF(K214&lt;&gt;"","5b Registration started",IF(H214&lt;&gt;"","5a Information sent",IF(G214&lt;&gt;"","5 Interested","—"))))))))))))</f>
        <v/>
      </c>
      <c r="AC214" s="10">
        <f>IF(A214="","",(COUNT(G214,H214,K214,L214,M214,N214,O214,Q214,R214)+(I214="Y")+(P214="Y")+(S214="Y"))/12)</f>
        <v/>
      </c>
      <c r="AD214">
        <f>IF(OR(A214="",COUNT(G214:X214)=0),"",TODAY()-MAX(G214,H214,K214,L214,M214,N214,O214,Q214,R214,W214,X214))</f>
        <v/>
      </c>
      <c r="AE214">
        <f>IF(A214="","",IF(AND(Z214&lt;&gt;"YES",AD214&lt;&gt;"",AD214&gt;THRESHOLDS!$B$12),"STUCK — act today",""))</f>
        <v/>
      </c>
      <c r="AF214">
        <f>IF(A214="","",IF(J214="Active (verified)","",IF(J214="","Ask GST status (readiness R2)","Escalate to founder: orders need verified GSTIN in current code — no tax advice")))</f>
        <v/>
      </c>
      <c r="AG214">
        <f>IF(AND(G214&lt;&gt;"",L214&lt;&gt;""),L214-G214,"")</f>
        <v/>
      </c>
      <c r="AH214">
        <f>IF(AND(L214&lt;&gt;"",N214&lt;&gt;""),N214-L214,"")</f>
        <v/>
      </c>
      <c r="AI214">
        <f>IF(AND(N214&lt;&gt;"",AA214&lt;&gt;""),AA214-N214,"")</f>
        <v/>
      </c>
      <c r="AJ214">
        <f>IF(AND(L214&lt;&gt;"",N214&lt;&gt;"",Q214&lt;&gt;""),"Qualifies (if FP-QUAL adopted)","")</f>
        <v/>
      </c>
    </row>
    <row r="215">
      <c r="G215" s="9" t="n"/>
      <c r="H215" s="9" t="n"/>
      <c r="K215" s="9" t="n"/>
      <c r="L215" s="9" t="n"/>
      <c r="M215" s="9" t="n"/>
      <c r="N215" s="9" t="n"/>
      <c r="O215" s="9" t="n"/>
      <c r="Q215" s="9" t="n"/>
      <c r="R215" s="9" t="n"/>
      <c r="W215" s="9" t="n"/>
      <c r="X215" s="9" t="n"/>
      <c r="Z215">
        <f>IF(A215="","",IF(AND(N215&lt;&gt;"",O215&lt;&gt;"",Q215&lt;&gt;"",R215&lt;&gt;"",S215="Y"),"YES","no"))</f>
        <v/>
      </c>
      <c r="AA215" s="9">
        <f>IF(Z215="YES",MAX(N215,O215,Q215,R215),"")</f>
        <v/>
      </c>
      <c r="AB215">
        <f>IF(A215="","",IF(X215&lt;&gt;"","13 Repeat activity",IF(W215&lt;&gt;"","12 First enquiry/order/booking",IF(Z215="YES","11 ACTIVATED",IF(Q215&lt;&gt;"","10 First listing live",IF(O215&lt;&gt;"","9 Profile completed",IF(N215&lt;&gt;"","8 Approved",IF(M215&lt;&gt;"","7 KYC submitted",IF(L215&lt;&gt;"","6 Registration completed",IF(K215&lt;&gt;"","5b Registration started",IF(H215&lt;&gt;"","5a Information sent",IF(G215&lt;&gt;"","5 Interested","—"))))))))))))</f>
        <v/>
      </c>
      <c r="AC215" s="10">
        <f>IF(A215="","",(COUNT(G215,H215,K215,L215,M215,N215,O215,Q215,R215)+(I215="Y")+(P215="Y")+(S215="Y"))/12)</f>
        <v/>
      </c>
      <c r="AD215">
        <f>IF(OR(A215="",COUNT(G215:X215)=0),"",TODAY()-MAX(G215,H215,K215,L215,M215,N215,O215,Q215,R215,W215,X215))</f>
        <v/>
      </c>
      <c r="AE215">
        <f>IF(A215="","",IF(AND(Z215&lt;&gt;"YES",AD215&lt;&gt;"",AD215&gt;THRESHOLDS!$B$12),"STUCK — act today",""))</f>
        <v/>
      </c>
      <c r="AF215">
        <f>IF(A215="","",IF(J215="Active (verified)","",IF(J215="","Ask GST status (readiness R2)","Escalate to founder: orders need verified GSTIN in current code — no tax advice")))</f>
        <v/>
      </c>
      <c r="AG215">
        <f>IF(AND(G215&lt;&gt;"",L215&lt;&gt;""),L215-G215,"")</f>
        <v/>
      </c>
      <c r="AH215">
        <f>IF(AND(L215&lt;&gt;"",N215&lt;&gt;""),N215-L215,"")</f>
        <v/>
      </c>
      <c r="AI215">
        <f>IF(AND(N215&lt;&gt;"",AA215&lt;&gt;""),AA215-N215,"")</f>
        <v/>
      </c>
      <c r="AJ215">
        <f>IF(AND(L215&lt;&gt;"",N215&lt;&gt;"",Q215&lt;&gt;""),"Qualifies (if FP-QUAL adopted)","")</f>
        <v/>
      </c>
    </row>
    <row r="216">
      <c r="G216" s="9" t="n"/>
      <c r="H216" s="9" t="n"/>
      <c r="K216" s="9" t="n"/>
      <c r="L216" s="9" t="n"/>
      <c r="M216" s="9" t="n"/>
      <c r="N216" s="9" t="n"/>
      <c r="O216" s="9" t="n"/>
      <c r="Q216" s="9" t="n"/>
      <c r="R216" s="9" t="n"/>
      <c r="W216" s="9" t="n"/>
      <c r="X216" s="9" t="n"/>
      <c r="Z216">
        <f>IF(A216="","",IF(AND(N216&lt;&gt;"",O216&lt;&gt;"",Q216&lt;&gt;"",R216&lt;&gt;"",S216="Y"),"YES","no"))</f>
        <v/>
      </c>
      <c r="AA216" s="9">
        <f>IF(Z216="YES",MAX(N216,O216,Q216,R216),"")</f>
        <v/>
      </c>
      <c r="AB216">
        <f>IF(A216="","",IF(X216&lt;&gt;"","13 Repeat activity",IF(W216&lt;&gt;"","12 First enquiry/order/booking",IF(Z216="YES","11 ACTIVATED",IF(Q216&lt;&gt;"","10 First listing live",IF(O216&lt;&gt;"","9 Profile completed",IF(N216&lt;&gt;"","8 Approved",IF(M216&lt;&gt;"","7 KYC submitted",IF(L216&lt;&gt;"","6 Registration completed",IF(K216&lt;&gt;"","5b Registration started",IF(H216&lt;&gt;"","5a Information sent",IF(G216&lt;&gt;"","5 Interested","—"))))))))))))</f>
        <v/>
      </c>
      <c r="AC216" s="10">
        <f>IF(A216="","",(COUNT(G216,H216,K216,L216,M216,N216,O216,Q216,R216)+(I216="Y")+(P216="Y")+(S216="Y"))/12)</f>
        <v/>
      </c>
      <c r="AD216">
        <f>IF(OR(A216="",COUNT(G216:X216)=0),"",TODAY()-MAX(G216,H216,K216,L216,M216,N216,O216,Q216,R216,W216,X216))</f>
        <v/>
      </c>
      <c r="AE216">
        <f>IF(A216="","",IF(AND(Z216&lt;&gt;"YES",AD216&lt;&gt;"",AD216&gt;THRESHOLDS!$B$12),"STUCK — act today",""))</f>
        <v/>
      </c>
      <c r="AF216">
        <f>IF(A216="","",IF(J216="Active (verified)","",IF(J216="","Ask GST status (readiness R2)","Escalate to founder: orders need verified GSTIN in current code — no tax advice")))</f>
        <v/>
      </c>
      <c r="AG216">
        <f>IF(AND(G216&lt;&gt;"",L216&lt;&gt;""),L216-G216,"")</f>
        <v/>
      </c>
      <c r="AH216">
        <f>IF(AND(L216&lt;&gt;"",N216&lt;&gt;""),N216-L216,"")</f>
        <v/>
      </c>
      <c r="AI216">
        <f>IF(AND(N216&lt;&gt;"",AA216&lt;&gt;""),AA216-N216,"")</f>
        <v/>
      </c>
      <c r="AJ216">
        <f>IF(AND(L216&lt;&gt;"",N216&lt;&gt;"",Q216&lt;&gt;""),"Qualifies (if FP-QUAL adopted)","")</f>
        <v/>
      </c>
    </row>
    <row r="217">
      <c r="G217" s="9" t="n"/>
      <c r="H217" s="9" t="n"/>
      <c r="K217" s="9" t="n"/>
      <c r="L217" s="9" t="n"/>
      <c r="M217" s="9" t="n"/>
      <c r="N217" s="9" t="n"/>
      <c r="O217" s="9" t="n"/>
      <c r="Q217" s="9" t="n"/>
      <c r="R217" s="9" t="n"/>
      <c r="W217" s="9" t="n"/>
      <c r="X217" s="9" t="n"/>
      <c r="Z217">
        <f>IF(A217="","",IF(AND(N217&lt;&gt;"",O217&lt;&gt;"",Q217&lt;&gt;"",R217&lt;&gt;"",S217="Y"),"YES","no"))</f>
        <v/>
      </c>
      <c r="AA217" s="9">
        <f>IF(Z217="YES",MAX(N217,O217,Q217,R217),"")</f>
        <v/>
      </c>
      <c r="AB217">
        <f>IF(A217="","",IF(X217&lt;&gt;"","13 Repeat activity",IF(W217&lt;&gt;"","12 First enquiry/order/booking",IF(Z217="YES","11 ACTIVATED",IF(Q217&lt;&gt;"","10 First listing live",IF(O217&lt;&gt;"","9 Profile completed",IF(N217&lt;&gt;"","8 Approved",IF(M217&lt;&gt;"","7 KYC submitted",IF(L217&lt;&gt;"","6 Registration completed",IF(K217&lt;&gt;"","5b Registration started",IF(H217&lt;&gt;"","5a Information sent",IF(G217&lt;&gt;"","5 Interested","—"))))))))))))</f>
        <v/>
      </c>
      <c r="AC217" s="10">
        <f>IF(A217="","",(COUNT(G217,H217,K217,L217,M217,N217,O217,Q217,R217)+(I217="Y")+(P217="Y")+(S217="Y"))/12)</f>
        <v/>
      </c>
      <c r="AD217">
        <f>IF(OR(A217="",COUNT(G217:X217)=0),"",TODAY()-MAX(G217,H217,K217,L217,M217,N217,O217,Q217,R217,W217,X217))</f>
        <v/>
      </c>
      <c r="AE217">
        <f>IF(A217="","",IF(AND(Z217&lt;&gt;"YES",AD217&lt;&gt;"",AD217&gt;THRESHOLDS!$B$12),"STUCK — act today",""))</f>
        <v/>
      </c>
      <c r="AF217">
        <f>IF(A217="","",IF(J217="Active (verified)","",IF(J217="","Ask GST status (readiness R2)","Escalate to founder: orders need verified GSTIN in current code — no tax advice")))</f>
        <v/>
      </c>
      <c r="AG217">
        <f>IF(AND(G217&lt;&gt;"",L217&lt;&gt;""),L217-G217,"")</f>
        <v/>
      </c>
      <c r="AH217">
        <f>IF(AND(L217&lt;&gt;"",N217&lt;&gt;""),N217-L217,"")</f>
        <v/>
      </c>
      <c r="AI217">
        <f>IF(AND(N217&lt;&gt;"",AA217&lt;&gt;""),AA217-N217,"")</f>
        <v/>
      </c>
      <c r="AJ217">
        <f>IF(AND(L217&lt;&gt;"",N217&lt;&gt;"",Q217&lt;&gt;""),"Qualifies (if FP-QUAL adopted)","")</f>
        <v/>
      </c>
    </row>
    <row r="218">
      <c r="G218" s="9" t="n"/>
      <c r="H218" s="9" t="n"/>
      <c r="K218" s="9" t="n"/>
      <c r="L218" s="9" t="n"/>
      <c r="M218" s="9" t="n"/>
      <c r="N218" s="9" t="n"/>
      <c r="O218" s="9" t="n"/>
      <c r="Q218" s="9" t="n"/>
      <c r="R218" s="9" t="n"/>
      <c r="W218" s="9" t="n"/>
      <c r="X218" s="9" t="n"/>
      <c r="Z218">
        <f>IF(A218="","",IF(AND(N218&lt;&gt;"",O218&lt;&gt;"",Q218&lt;&gt;"",R218&lt;&gt;"",S218="Y"),"YES","no"))</f>
        <v/>
      </c>
      <c r="AA218" s="9">
        <f>IF(Z218="YES",MAX(N218,O218,Q218,R218),"")</f>
        <v/>
      </c>
      <c r="AB218">
        <f>IF(A218="","",IF(X218&lt;&gt;"","13 Repeat activity",IF(W218&lt;&gt;"","12 First enquiry/order/booking",IF(Z218="YES","11 ACTIVATED",IF(Q218&lt;&gt;"","10 First listing live",IF(O218&lt;&gt;"","9 Profile completed",IF(N218&lt;&gt;"","8 Approved",IF(M218&lt;&gt;"","7 KYC submitted",IF(L218&lt;&gt;"","6 Registration completed",IF(K218&lt;&gt;"","5b Registration started",IF(H218&lt;&gt;"","5a Information sent",IF(G218&lt;&gt;"","5 Interested","—"))))))))))))</f>
        <v/>
      </c>
      <c r="AC218" s="10">
        <f>IF(A218="","",(COUNT(G218,H218,K218,L218,M218,N218,O218,Q218,R218)+(I218="Y")+(P218="Y")+(S218="Y"))/12)</f>
        <v/>
      </c>
      <c r="AD218">
        <f>IF(OR(A218="",COUNT(G218:X218)=0),"",TODAY()-MAX(G218,H218,K218,L218,M218,N218,O218,Q218,R218,W218,X218))</f>
        <v/>
      </c>
      <c r="AE218">
        <f>IF(A218="","",IF(AND(Z218&lt;&gt;"YES",AD218&lt;&gt;"",AD218&gt;THRESHOLDS!$B$12),"STUCK — act today",""))</f>
        <v/>
      </c>
      <c r="AF218">
        <f>IF(A218="","",IF(J218="Active (verified)","",IF(J218="","Ask GST status (readiness R2)","Escalate to founder: orders need verified GSTIN in current code — no tax advice")))</f>
        <v/>
      </c>
      <c r="AG218">
        <f>IF(AND(G218&lt;&gt;"",L218&lt;&gt;""),L218-G218,"")</f>
        <v/>
      </c>
      <c r="AH218">
        <f>IF(AND(L218&lt;&gt;"",N218&lt;&gt;""),N218-L218,"")</f>
        <v/>
      </c>
      <c r="AI218">
        <f>IF(AND(N218&lt;&gt;"",AA218&lt;&gt;""),AA218-N218,"")</f>
        <v/>
      </c>
      <c r="AJ218">
        <f>IF(AND(L218&lt;&gt;"",N218&lt;&gt;"",Q218&lt;&gt;""),"Qualifies (if FP-QUAL adopted)","")</f>
        <v/>
      </c>
    </row>
    <row r="219">
      <c r="G219" s="9" t="n"/>
      <c r="H219" s="9" t="n"/>
      <c r="K219" s="9" t="n"/>
      <c r="L219" s="9" t="n"/>
      <c r="M219" s="9" t="n"/>
      <c r="N219" s="9" t="n"/>
      <c r="O219" s="9" t="n"/>
      <c r="Q219" s="9" t="n"/>
      <c r="R219" s="9" t="n"/>
      <c r="W219" s="9" t="n"/>
      <c r="X219" s="9" t="n"/>
      <c r="Z219">
        <f>IF(A219="","",IF(AND(N219&lt;&gt;"",O219&lt;&gt;"",Q219&lt;&gt;"",R219&lt;&gt;"",S219="Y"),"YES","no"))</f>
        <v/>
      </c>
      <c r="AA219" s="9">
        <f>IF(Z219="YES",MAX(N219,O219,Q219,R219),"")</f>
        <v/>
      </c>
      <c r="AB219">
        <f>IF(A219="","",IF(X219&lt;&gt;"","13 Repeat activity",IF(W219&lt;&gt;"","12 First enquiry/order/booking",IF(Z219="YES","11 ACTIVATED",IF(Q219&lt;&gt;"","10 First listing live",IF(O219&lt;&gt;"","9 Profile completed",IF(N219&lt;&gt;"","8 Approved",IF(M219&lt;&gt;"","7 KYC submitted",IF(L219&lt;&gt;"","6 Registration completed",IF(K219&lt;&gt;"","5b Registration started",IF(H219&lt;&gt;"","5a Information sent",IF(G219&lt;&gt;"","5 Interested","—"))))))))))))</f>
        <v/>
      </c>
      <c r="AC219" s="10">
        <f>IF(A219="","",(COUNT(G219,H219,K219,L219,M219,N219,O219,Q219,R219)+(I219="Y")+(P219="Y")+(S219="Y"))/12)</f>
        <v/>
      </c>
      <c r="AD219">
        <f>IF(OR(A219="",COUNT(G219:X219)=0),"",TODAY()-MAX(G219,H219,K219,L219,M219,N219,O219,Q219,R219,W219,X219))</f>
        <v/>
      </c>
      <c r="AE219">
        <f>IF(A219="","",IF(AND(Z219&lt;&gt;"YES",AD219&lt;&gt;"",AD219&gt;THRESHOLDS!$B$12),"STUCK — act today",""))</f>
        <v/>
      </c>
      <c r="AF219">
        <f>IF(A219="","",IF(J219="Active (verified)","",IF(J219="","Ask GST status (readiness R2)","Escalate to founder: orders need verified GSTIN in current code — no tax advice")))</f>
        <v/>
      </c>
      <c r="AG219">
        <f>IF(AND(G219&lt;&gt;"",L219&lt;&gt;""),L219-G219,"")</f>
        <v/>
      </c>
      <c r="AH219">
        <f>IF(AND(L219&lt;&gt;"",N219&lt;&gt;""),N219-L219,"")</f>
        <v/>
      </c>
      <c r="AI219">
        <f>IF(AND(N219&lt;&gt;"",AA219&lt;&gt;""),AA219-N219,"")</f>
        <v/>
      </c>
      <c r="AJ219">
        <f>IF(AND(L219&lt;&gt;"",N219&lt;&gt;"",Q219&lt;&gt;""),"Qualifies (if FP-QUAL adopted)","")</f>
        <v/>
      </c>
    </row>
    <row r="220">
      <c r="G220" s="9" t="n"/>
      <c r="H220" s="9" t="n"/>
      <c r="K220" s="9" t="n"/>
      <c r="L220" s="9" t="n"/>
      <c r="M220" s="9" t="n"/>
      <c r="N220" s="9" t="n"/>
      <c r="O220" s="9" t="n"/>
      <c r="Q220" s="9" t="n"/>
      <c r="R220" s="9" t="n"/>
      <c r="W220" s="9" t="n"/>
      <c r="X220" s="9" t="n"/>
      <c r="Z220">
        <f>IF(A220="","",IF(AND(N220&lt;&gt;"",O220&lt;&gt;"",Q220&lt;&gt;"",R220&lt;&gt;"",S220="Y"),"YES","no"))</f>
        <v/>
      </c>
      <c r="AA220" s="9">
        <f>IF(Z220="YES",MAX(N220,O220,Q220,R220),"")</f>
        <v/>
      </c>
      <c r="AB220">
        <f>IF(A220="","",IF(X220&lt;&gt;"","13 Repeat activity",IF(W220&lt;&gt;"","12 First enquiry/order/booking",IF(Z220="YES","11 ACTIVATED",IF(Q220&lt;&gt;"","10 First listing live",IF(O220&lt;&gt;"","9 Profile completed",IF(N220&lt;&gt;"","8 Approved",IF(M220&lt;&gt;"","7 KYC submitted",IF(L220&lt;&gt;"","6 Registration completed",IF(K220&lt;&gt;"","5b Registration started",IF(H220&lt;&gt;"","5a Information sent",IF(G220&lt;&gt;"","5 Interested","—"))))))))))))</f>
        <v/>
      </c>
      <c r="AC220" s="10">
        <f>IF(A220="","",(COUNT(G220,H220,K220,L220,M220,N220,O220,Q220,R220)+(I220="Y")+(P220="Y")+(S220="Y"))/12)</f>
        <v/>
      </c>
      <c r="AD220">
        <f>IF(OR(A220="",COUNT(G220:X220)=0),"",TODAY()-MAX(G220,H220,K220,L220,M220,N220,O220,Q220,R220,W220,X220))</f>
        <v/>
      </c>
      <c r="AE220">
        <f>IF(A220="","",IF(AND(Z220&lt;&gt;"YES",AD220&lt;&gt;"",AD220&gt;THRESHOLDS!$B$12),"STUCK — act today",""))</f>
        <v/>
      </c>
      <c r="AF220">
        <f>IF(A220="","",IF(J220="Active (verified)","",IF(J220="","Ask GST status (readiness R2)","Escalate to founder: orders need verified GSTIN in current code — no tax advice")))</f>
        <v/>
      </c>
      <c r="AG220">
        <f>IF(AND(G220&lt;&gt;"",L220&lt;&gt;""),L220-G220,"")</f>
        <v/>
      </c>
      <c r="AH220">
        <f>IF(AND(L220&lt;&gt;"",N220&lt;&gt;""),N220-L220,"")</f>
        <v/>
      </c>
      <c r="AI220">
        <f>IF(AND(N220&lt;&gt;"",AA220&lt;&gt;""),AA220-N220,"")</f>
        <v/>
      </c>
      <c r="AJ220">
        <f>IF(AND(L220&lt;&gt;"",N220&lt;&gt;"",Q220&lt;&gt;""),"Qualifies (if FP-QUAL adopted)","")</f>
        <v/>
      </c>
    </row>
    <row r="221">
      <c r="G221" s="9" t="n"/>
      <c r="H221" s="9" t="n"/>
      <c r="K221" s="9" t="n"/>
      <c r="L221" s="9" t="n"/>
      <c r="M221" s="9" t="n"/>
      <c r="N221" s="9" t="n"/>
      <c r="O221" s="9" t="n"/>
      <c r="Q221" s="9" t="n"/>
      <c r="R221" s="9" t="n"/>
      <c r="W221" s="9" t="n"/>
      <c r="X221" s="9" t="n"/>
      <c r="Z221">
        <f>IF(A221="","",IF(AND(N221&lt;&gt;"",O221&lt;&gt;"",Q221&lt;&gt;"",R221&lt;&gt;"",S221="Y"),"YES","no"))</f>
        <v/>
      </c>
      <c r="AA221" s="9">
        <f>IF(Z221="YES",MAX(N221,O221,Q221,R221),"")</f>
        <v/>
      </c>
      <c r="AB221">
        <f>IF(A221="","",IF(X221&lt;&gt;"","13 Repeat activity",IF(W221&lt;&gt;"","12 First enquiry/order/booking",IF(Z221="YES","11 ACTIVATED",IF(Q221&lt;&gt;"","10 First listing live",IF(O221&lt;&gt;"","9 Profile completed",IF(N221&lt;&gt;"","8 Approved",IF(M221&lt;&gt;"","7 KYC submitted",IF(L221&lt;&gt;"","6 Registration completed",IF(K221&lt;&gt;"","5b Registration started",IF(H221&lt;&gt;"","5a Information sent",IF(G221&lt;&gt;"","5 Interested","—"))))))))))))</f>
        <v/>
      </c>
      <c r="AC221" s="10">
        <f>IF(A221="","",(COUNT(G221,H221,K221,L221,M221,N221,O221,Q221,R221)+(I221="Y")+(P221="Y")+(S221="Y"))/12)</f>
        <v/>
      </c>
      <c r="AD221">
        <f>IF(OR(A221="",COUNT(G221:X221)=0),"",TODAY()-MAX(G221,H221,K221,L221,M221,N221,O221,Q221,R221,W221,X221))</f>
        <v/>
      </c>
      <c r="AE221">
        <f>IF(A221="","",IF(AND(Z221&lt;&gt;"YES",AD221&lt;&gt;"",AD221&gt;THRESHOLDS!$B$12),"STUCK — act today",""))</f>
        <v/>
      </c>
      <c r="AF221">
        <f>IF(A221="","",IF(J221="Active (verified)","",IF(J221="","Ask GST status (readiness R2)","Escalate to founder: orders need verified GSTIN in current code — no tax advice")))</f>
        <v/>
      </c>
      <c r="AG221">
        <f>IF(AND(G221&lt;&gt;"",L221&lt;&gt;""),L221-G221,"")</f>
        <v/>
      </c>
      <c r="AH221">
        <f>IF(AND(L221&lt;&gt;"",N221&lt;&gt;""),N221-L221,"")</f>
        <v/>
      </c>
      <c r="AI221">
        <f>IF(AND(N221&lt;&gt;"",AA221&lt;&gt;""),AA221-N221,"")</f>
        <v/>
      </c>
      <c r="AJ221">
        <f>IF(AND(L221&lt;&gt;"",N221&lt;&gt;"",Q221&lt;&gt;""),"Qualifies (if FP-QUAL adopted)","")</f>
        <v/>
      </c>
    </row>
    <row r="222">
      <c r="G222" s="9" t="n"/>
      <c r="H222" s="9" t="n"/>
      <c r="K222" s="9" t="n"/>
      <c r="L222" s="9" t="n"/>
      <c r="M222" s="9" t="n"/>
      <c r="N222" s="9" t="n"/>
      <c r="O222" s="9" t="n"/>
      <c r="Q222" s="9" t="n"/>
      <c r="R222" s="9" t="n"/>
      <c r="W222" s="9" t="n"/>
      <c r="X222" s="9" t="n"/>
      <c r="Z222">
        <f>IF(A222="","",IF(AND(N222&lt;&gt;"",O222&lt;&gt;"",Q222&lt;&gt;"",R222&lt;&gt;"",S222="Y"),"YES","no"))</f>
        <v/>
      </c>
      <c r="AA222" s="9">
        <f>IF(Z222="YES",MAX(N222,O222,Q222,R222),"")</f>
        <v/>
      </c>
      <c r="AB222">
        <f>IF(A222="","",IF(X222&lt;&gt;"","13 Repeat activity",IF(W222&lt;&gt;"","12 First enquiry/order/booking",IF(Z222="YES","11 ACTIVATED",IF(Q222&lt;&gt;"","10 First listing live",IF(O222&lt;&gt;"","9 Profile completed",IF(N222&lt;&gt;"","8 Approved",IF(M222&lt;&gt;"","7 KYC submitted",IF(L222&lt;&gt;"","6 Registration completed",IF(K222&lt;&gt;"","5b Registration started",IF(H222&lt;&gt;"","5a Information sent",IF(G222&lt;&gt;"","5 Interested","—"))))))))))))</f>
        <v/>
      </c>
      <c r="AC222" s="10">
        <f>IF(A222="","",(COUNT(G222,H222,K222,L222,M222,N222,O222,Q222,R222)+(I222="Y")+(P222="Y")+(S222="Y"))/12)</f>
        <v/>
      </c>
      <c r="AD222">
        <f>IF(OR(A222="",COUNT(G222:X222)=0),"",TODAY()-MAX(G222,H222,K222,L222,M222,N222,O222,Q222,R222,W222,X222))</f>
        <v/>
      </c>
      <c r="AE222">
        <f>IF(A222="","",IF(AND(Z222&lt;&gt;"YES",AD222&lt;&gt;"",AD222&gt;THRESHOLDS!$B$12),"STUCK — act today",""))</f>
        <v/>
      </c>
      <c r="AF222">
        <f>IF(A222="","",IF(J222="Active (verified)","",IF(J222="","Ask GST status (readiness R2)","Escalate to founder: orders need verified GSTIN in current code — no tax advice")))</f>
        <v/>
      </c>
      <c r="AG222">
        <f>IF(AND(G222&lt;&gt;"",L222&lt;&gt;""),L222-G222,"")</f>
        <v/>
      </c>
      <c r="AH222">
        <f>IF(AND(L222&lt;&gt;"",N222&lt;&gt;""),N222-L222,"")</f>
        <v/>
      </c>
      <c r="AI222">
        <f>IF(AND(N222&lt;&gt;"",AA222&lt;&gt;""),AA222-N222,"")</f>
        <v/>
      </c>
      <c r="AJ222">
        <f>IF(AND(L222&lt;&gt;"",N222&lt;&gt;"",Q222&lt;&gt;""),"Qualifies (if FP-QUAL adopted)","")</f>
        <v/>
      </c>
    </row>
    <row r="223">
      <c r="G223" s="9" t="n"/>
      <c r="H223" s="9" t="n"/>
      <c r="K223" s="9" t="n"/>
      <c r="L223" s="9" t="n"/>
      <c r="M223" s="9" t="n"/>
      <c r="N223" s="9" t="n"/>
      <c r="O223" s="9" t="n"/>
      <c r="Q223" s="9" t="n"/>
      <c r="R223" s="9" t="n"/>
      <c r="W223" s="9" t="n"/>
      <c r="X223" s="9" t="n"/>
      <c r="Z223">
        <f>IF(A223="","",IF(AND(N223&lt;&gt;"",O223&lt;&gt;"",Q223&lt;&gt;"",R223&lt;&gt;"",S223="Y"),"YES","no"))</f>
        <v/>
      </c>
      <c r="AA223" s="9">
        <f>IF(Z223="YES",MAX(N223,O223,Q223,R223),"")</f>
        <v/>
      </c>
      <c r="AB223">
        <f>IF(A223="","",IF(X223&lt;&gt;"","13 Repeat activity",IF(W223&lt;&gt;"","12 First enquiry/order/booking",IF(Z223="YES","11 ACTIVATED",IF(Q223&lt;&gt;"","10 First listing live",IF(O223&lt;&gt;"","9 Profile completed",IF(N223&lt;&gt;"","8 Approved",IF(M223&lt;&gt;"","7 KYC submitted",IF(L223&lt;&gt;"","6 Registration completed",IF(K223&lt;&gt;"","5b Registration started",IF(H223&lt;&gt;"","5a Information sent",IF(G223&lt;&gt;"","5 Interested","—"))))))))))))</f>
        <v/>
      </c>
      <c r="AC223" s="10">
        <f>IF(A223="","",(COUNT(G223,H223,K223,L223,M223,N223,O223,Q223,R223)+(I223="Y")+(P223="Y")+(S223="Y"))/12)</f>
        <v/>
      </c>
      <c r="AD223">
        <f>IF(OR(A223="",COUNT(G223:X223)=0),"",TODAY()-MAX(G223,H223,K223,L223,M223,N223,O223,Q223,R223,W223,X223))</f>
        <v/>
      </c>
      <c r="AE223">
        <f>IF(A223="","",IF(AND(Z223&lt;&gt;"YES",AD223&lt;&gt;"",AD223&gt;THRESHOLDS!$B$12),"STUCK — act today",""))</f>
        <v/>
      </c>
      <c r="AF223">
        <f>IF(A223="","",IF(J223="Active (verified)","",IF(J223="","Ask GST status (readiness R2)","Escalate to founder: orders need verified GSTIN in current code — no tax advice")))</f>
        <v/>
      </c>
      <c r="AG223">
        <f>IF(AND(G223&lt;&gt;"",L223&lt;&gt;""),L223-G223,"")</f>
        <v/>
      </c>
      <c r="AH223">
        <f>IF(AND(L223&lt;&gt;"",N223&lt;&gt;""),N223-L223,"")</f>
        <v/>
      </c>
      <c r="AI223">
        <f>IF(AND(N223&lt;&gt;"",AA223&lt;&gt;""),AA223-N223,"")</f>
        <v/>
      </c>
      <c r="AJ223">
        <f>IF(AND(L223&lt;&gt;"",N223&lt;&gt;"",Q223&lt;&gt;""),"Qualifies (if FP-QUAL adopted)","")</f>
        <v/>
      </c>
    </row>
    <row r="224">
      <c r="G224" s="9" t="n"/>
      <c r="H224" s="9" t="n"/>
      <c r="K224" s="9" t="n"/>
      <c r="L224" s="9" t="n"/>
      <c r="M224" s="9" t="n"/>
      <c r="N224" s="9" t="n"/>
      <c r="O224" s="9" t="n"/>
      <c r="Q224" s="9" t="n"/>
      <c r="R224" s="9" t="n"/>
      <c r="W224" s="9" t="n"/>
      <c r="X224" s="9" t="n"/>
      <c r="Z224">
        <f>IF(A224="","",IF(AND(N224&lt;&gt;"",O224&lt;&gt;"",Q224&lt;&gt;"",R224&lt;&gt;"",S224="Y"),"YES","no"))</f>
        <v/>
      </c>
      <c r="AA224" s="9">
        <f>IF(Z224="YES",MAX(N224,O224,Q224,R224),"")</f>
        <v/>
      </c>
      <c r="AB224">
        <f>IF(A224="","",IF(X224&lt;&gt;"","13 Repeat activity",IF(W224&lt;&gt;"","12 First enquiry/order/booking",IF(Z224="YES","11 ACTIVATED",IF(Q224&lt;&gt;"","10 First listing live",IF(O224&lt;&gt;"","9 Profile completed",IF(N224&lt;&gt;"","8 Approved",IF(M224&lt;&gt;"","7 KYC submitted",IF(L224&lt;&gt;"","6 Registration completed",IF(K224&lt;&gt;"","5b Registration started",IF(H224&lt;&gt;"","5a Information sent",IF(G224&lt;&gt;"","5 Interested","—"))))))))))))</f>
        <v/>
      </c>
      <c r="AC224" s="10">
        <f>IF(A224="","",(COUNT(G224,H224,K224,L224,M224,N224,O224,Q224,R224)+(I224="Y")+(P224="Y")+(S224="Y"))/12)</f>
        <v/>
      </c>
      <c r="AD224">
        <f>IF(OR(A224="",COUNT(G224:X224)=0),"",TODAY()-MAX(G224,H224,K224,L224,M224,N224,O224,Q224,R224,W224,X224))</f>
        <v/>
      </c>
      <c r="AE224">
        <f>IF(A224="","",IF(AND(Z224&lt;&gt;"YES",AD224&lt;&gt;"",AD224&gt;THRESHOLDS!$B$12),"STUCK — act today",""))</f>
        <v/>
      </c>
      <c r="AF224">
        <f>IF(A224="","",IF(J224="Active (verified)","",IF(J224="","Ask GST status (readiness R2)","Escalate to founder: orders need verified GSTIN in current code — no tax advice")))</f>
        <v/>
      </c>
      <c r="AG224">
        <f>IF(AND(G224&lt;&gt;"",L224&lt;&gt;""),L224-G224,"")</f>
        <v/>
      </c>
      <c r="AH224">
        <f>IF(AND(L224&lt;&gt;"",N224&lt;&gt;""),N224-L224,"")</f>
        <v/>
      </c>
      <c r="AI224">
        <f>IF(AND(N224&lt;&gt;"",AA224&lt;&gt;""),AA224-N224,"")</f>
        <v/>
      </c>
      <c r="AJ224">
        <f>IF(AND(L224&lt;&gt;"",N224&lt;&gt;"",Q224&lt;&gt;""),"Qualifies (if FP-QUAL adopted)","")</f>
        <v/>
      </c>
    </row>
    <row r="225">
      <c r="G225" s="9" t="n"/>
      <c r="H225" s="9" t="n"/>
      <c r="K225" s="9" t="n"/>
      <c r="L225" s="9" t="n"/>
      <c r="M225" s="9" t="n"/>
      <c r="N225" s="9" t="n"/>
      <c r="O225" s="9" t="n"/>
      <c r="Q225" s="9" t="n"/>
      <c r="R225" s="9" t="n"/>
      <c r="W225" s="9" t="n"/>
      <c r="X225" s="9" t="n"/>
      <c r="Z225">
        <f>IF(A225="","",IF(AND(N225&lt;&gt;"",O225&lt;&gt;"",Q225&lt;&gt;"",R225&lt;&gt;"",S225="Y"),"YES","no"))</f>
        <v/>
      </c>
      <c r="AA225" s="9">
        <f>IF(Z225="YES",MAX(N225,O225,Q225,R225),"")</f>
        <v/>
      </c>
      <c r="AB225">
        <f>IF(A225="","",IF(X225&lt;&gt;"","13 Repeat activity",IF(W225&lt;&gt;"","12 First enquiry/order/booking",IF(Z225="YES","11 ACTIVATED",IF(Q225&lt;&gt;"","10 First listing live",IF(O225&lt;&gt;"","9 Profile completed",IF(N225&lt;&gt;"","8 Approved",IF(M225&lt;&gt;"","7 KYC submitted",IF(L225&lt;&gt;"","6 Registration completed",IF(K225&lt;&gt;"","5b Registration started",IF(H225&lt;&gt;"","5a Information sent",IF(G225&lt;&gt;"","5 Interested","—"))))))))))))</f>
        <v/>
      </c>
      <c r="AC225" s="10">
        <f>IF(A225="","",(COUNT(G225,H225,K225,L225,M225,N225,O225,Q225,R225)+(I225="Y")+(P225="Y")+(S225="Y"))/12)</f>
        <v/>
      </c>
      <c r="AD225">
        <f>IF(OR(A225="",COUNT(G225:X225)=0),"",TODAY()-MAX(G225,H225,K225,L225,M225,N225,O225,Q225,R225,W225,X225))</f>
        <v/>
      </c>
      <c r="AE225">
        <f>IF(A225="","",IF(AND(Z225&lt;&gt;"YES",AD225&lt;&gt;"",AD225&gt;THRESHOLDS!$B$12),"STUCK — act today",""))</f>
        <v/>
      </c>
      <c r="AF225">
        <f>IF(A225="","",IF(J225="Active (verified)","",IF(J225="","Ask GST status (readiness R2)","Escalate to founder: orders need verified GSTIN in current code — no tax advice")))</f>
        <v/>
      </c>
      <c r="AG225">
        <f>IF(AND(G225&lt;&gt;"",L225&lt;&gt;""),L225-G225,"")</f>
        <v/>
      </c>
      <c r="AH225">
        <f>IF(AND(L225&lt;&gt;"",N225&lt;&gt;""),N225-L225,"")</f>
        <v/>
      </c>
      <c r="AI225">
        <f>IF(AND(N225&lt;&gt;"",AA225&lt;&gt;""),AA225-N225,"")</f>
        <v/>
      </c>
      <c r="AJ225">
        <f>IF(AND(L225&lt;&gt;"",N225&lt;&gt;"",Q225&lt;&gt;""),"Qualifies (if FP-QUAL adopted)","")</f>
        <v/>
      </c>
    </row>
    <row r="226">
      <c r="G226" s="9" t="n"/>
      <c r="H226" s="9" t="n"/>
      <c r="K226" s="9" t="n"/>
      <c r="L226" s="9" t="n"/>
      <c r="M226" s="9" t="n"/>
      <c r="N226" s="9" t="n"/>
      <c r="O226" s="9" t="n"/>
      <c r="Q226" s="9" t="n"/>
      <c r="R226" s="9" t="n"/>
      <c r="W226" s="9" t="n"/>
      <c r="X226" s="9" t="n"/>
      <c r="Z226">
        <f>IF(A226="","",IF(AND(N226&lt;&gt;"",O226&lt;&gt;"",Q226&lt;&gt;"",R226&lt;&gt;"",S226="Y"),"YES","no"))</f>
        <v/>
      </c>
      <c r="AA226" s="9">
        <f>IF(Z226="YES",MAX(N226,O226,Q226,R226),"")</f>
        <v/>
      </c>
      <c r="AB226">
        <f>IF(A226="","",IF(X226&lt;&gt;"","13 Repeat activity",IF(W226&lt;&gt;"","12 First enquiry/order/booking",IF(Z226="YES","11 ACTIVATED",IF(Q226&lt;&gt;"","10 First listing live",IF(O226&lt;&gt;"","9 Profile completed",IF(N226&lt;&gt;"","8 Approved",IF(M226&lt;&gt;"","7 KYC submitted",IF(L226&lt;&gt;"","6 Registration completed",IF(K226&lt;&gt;"","5b Registration started",IF(H226&lt;&gt;"","5a Information sent",IF(G226&lt;&gt;"","5 Interested","—"))))))))))))</f>
        <v/>
      </c>
      <c r="AC226" s="10">
        <f>IF(A226="","",(COUNT(G226,H226,K226,L226,M226,N226,O226,Q226,R226)+(I226="Y")+(P226="Y")+(S226="Y"))/12)</f>
        <v/>
      </c>
      <c r="AD226">
        <f>IF(OR(A226="",COUNT(G226:X226)=0),"",TODAY()-MAX(G226,H226,K226,L226,M226,N226,O226,Q226,R226,W226,X226))</f>
        <v/>
      </c>
      <c r="AE226">
        <f>IF(A226="","",IF(AND(Z226&lt;&gt;"YES",AD226&lt;&gt;"",AD226&gt;THRESHOLDS!$B$12),"STUCK — act today",""))</f>
        <v/>
      </c>
      <c r="AF226">
        <f>IF(A226="","",IF(J226="Active (verified)","",IF(J226="","Ask GST status (readiness R2)","Escalate to founder: orders need verified GSTIN in current code — no tax advice")))</f>
        <v/>
      </c>
      <c r="AG226">
        <f>IF(AND(G226&lt;&gt;"",L226&lt;&gt;""),L226-G226,"")</f>
        <v/>
      </c>
      <c r="AH226">
        <f>IF(AND(L226&lt;&gt;"",N226&lt;&gt;""),N226-L226,"")</f>
        <v/>
      </c>
      <c r="AI226">
        <f>IF(AND(N226&lt;&gt;"",AA226&lt;&gt;""),AA226-N226,"")</f>
        <v/>
      </c>
      <c r="AJ226">
        <f>IF(AND(L226&lt;&gt;"",N226&lt;&gt;"",Q226&lt;&gt;""),"Qualifies (if FP-QUAL adopted)","")</f>
        <v/>
      </c>
    </row>
    <row r="227">
      <c r="G227" s="9" t="n"/>
      <c r="H227" s="9" t="n"/>
      <c r="K227" s="9" t="n"/>
      <c r="L227" s="9" t="n"/>
      <c r="M227" s="9" t="n"/>
      <c r="N227" s="9" t="n"/>
      <c r="O227" s="9" t="n"/>
      <c r="Q227" s="9" t="n"/>
      <c r="R227" s="9" t="n"/>
      <c r="W227" s="9" t="n"/>
      <c r="X227" s="9" t="n"/>
      <c r="Z227">
        <f>IF(A227="","",IF(AND(N227&lt;&gt;"",O227&lt;&gt;"",Q227&lt;&gt;"",R227&lt;&gt;"",S227="Y"),"YES","no"))</f>
        <v/>
      </c>
      <c r="AA227" s="9">
        <f>IF(Z227="YES",MAX(N227,O227,Q227,R227),"")</f>
        <v/>
      </c>
      <c r="AB227">
        <f>IF(A227="","",IF(X227&lt;&gt;"","13 Repeat activity",IF(W227&lt;&gt;"","12 First enquiry/order/booking",IF(Z227="YES","11 ACTIVATED",IF(Q227&lt;&gt;"","10 First listing live",IF(O227&lt;&gt;"","9 Profile completed",IF(N227&lt;&gt;"","8 Approved",IF(M227&lt;&gt;"","7 KYC submitted",IF(L227&lt;&gt;"","6 Registration completed",IF(K227&lt;&gt;"","5b Registration started",IF(H227&lt;&gt;"","5a Information sent",IF(G227&lt;&gt;"","5 Interested","—"))))))))))))</f>
        <v/>
      </c>
      <c r="AC227" s="10">
        <f>IF(A227="","",(COUNT(G227,H227,K227,L227,M227,N227,O227,Q227,R227)+(I227="Y")+(P227="Y")+(S227="Y"))/12)</f>
        <v/>
      </c>
      <c r="AD227">
        <f>IF(OR(A227="",COUNT(G227:X227)=0),"",TODAY()-MAX(G227,H227,K227,L227,M227,N227,O227,Q227,R227,W227,X227))</f>
        <v/>
      </c>
      <c r="AE227">
        <f>IF(A227="","",IF(AND(Z227&lt;&gt;"YES",AD227&lt;&gt;"",AD227&gt;THRESHOLDS!$B$12),"STUCK — act today",""))</f>
        <v/>
      </c>
      <c r="AF227">
        <f>IF(A227="","",IF(J227="Active (verified)","",IF(J227="","Ask GST status (readiness R2)","Escalate to founder: orders need verified GSTIN in current code — no tax advice")))</f>
        <v/>
      </c>
      <c r="AG227">
        <f>IF(AND(G227&lt;&gt;"",L227&lt;&gt;""),L227-G227,"")</f>
        <v/>
      </c>
      <c r="AH227">
        <f>IF(AND(L227&lt;&gt;"",N227&lt;&gt;""),N227-L227,"")</f>
        <v/>
      </c>
      <c r="AI227">
        <f>IF(AND(N227&lt;&gt;"",AA227&lt;&gt;""),AA227-N227,"")</f>
        <v/>
      </c>
      <c r="AJ227">
        <f>IF(AND(L227&lt;&gt;"",N227&lt;&gt;"",Q227&lt;&gt;""),"Qualifies (if FP-QUAL adopted)","")</f>
        <v/>
      </c>
    </row>
    <row r="228">
      <c r="G228" s="9" t="n"/>
      <c r="H228" s="9" t="n"/>
      <c r="K228" s="9" t="n"/>
      <c r="L228" s="9" t="n"/>
      <c r="M228" s="9" t="n"/>
      <c r="N228" s="9" t="n"/>
      <c r="O228" s="9" t="n"/>
      <c r="Q228" s="9" t="n"/>
      <c r="R228" s="9" t="n"/>
      <c r="W228" s="9" t="n"/>
      <c r="X228" s="9" t="n"/>
      <c r="Z228">
        <f>IF(A228="","",IF(AND(N228&lt;&gt;"",O228&lt;&gt;"",Q228&lt;&gt;"",R228&lt;&gt;"",S228="Y"),"YES","no"))</f>
        <v/>
      </c>
      <c r="AA228" s="9">
        <f>IF(Z228="YES",MAX(N228,O228,Q228,R228),"")</f>
        <v/>
      </c>
      <c r="AB228">
        <f>IF(A228="","",IF(X228&lt;&gt;"","13 Repeat activity",IF(W228&lt;&gt;"","12 First enquiry/order/booking",IF(Z228="YES","11 ACTIVATED",IF(Q228&lt;&gt;"","10 First listing live",IF(O228&lt;&gt;"","9 Profile completed",IF(N228&lt;&gt;"","8 Approved",IF(M228&lt;&gt;"","7 KYC submitted",IF(L228&lt;&gt;"","6 Registration completed",IF(K228&lt;&gt;"","5b Registration started",IF(H228&lt;&gt;"","5a Information sent",IF(G228&lt;&gt;"","5 Interested","—"))))))))))))</f>
        <v/>
      </c>
      <c r="AC228" s="10">
        <f>IF(A228="","",(COUNT(G228,H228,K228,L228,M228,N228,O228,Q228,R228)+(I228="Y")+(P228="Y")+(S228="Y"))/12)</f>
        <v/>
      </c>
      <c r="AD228">
        <f>IF(OR(A228="",COUNT(G228:X228)=0),"",TODAY()-MAX(G228,H228,K228,L228,M228,N228,O228,Q228,R228,W228,X228))</f>
        <v/>
      </c>
      <c r="AE228">
        <f>IF(A228="","",IF(AND(Z228&lt;&gt;"YES",AD228&lt;&gt;"",AD228&gt;THRESHOLDS!$B$12),"STUCK — act today",""))</f>
        <v/>
      </c>
      <c r="AF228">
        <f>IF(A228="","",IF(J228="Active (verified)","",IF(J228="","Ask GST status (readiness R2)","Escalate to founder: orders need verified GSTIN in current code — no tax advice")))</f>
        <v/>
      </c>
      <c r="AG228">
        <f>IF(AND(G228&lt;&gt;"",L228&lt;&gt;""),L228-G228,"")</f>
        <v/>
      </c>
      <c r="AH228">
        <f>IF(AND(L228&lt;&gt;"",N228&lt;&gt;""),N228-L228,"")</f>
        <v/>
      </c>
      <c r="AI228">
        <f>IF(AND(N228&lt;&gt;"",AA228&lt;&gt;""),AA228-N228,"")</f>
        <v/>
      </c>
      <c r="AJ228">
        <f>IF(AND(L228&lt;&gt;"",N228&lt;&gt;"",Q228&lt;&gt;""),"Qualifies (if FP-QUAL adopted)","")</f>
        <v/>
      </c>
    </row>
    <row r="229">
      <c r="G229" s="9" t="n"/>
      <c r="H229" s="9" t="n"/>
      <c r="K229" s="9" t="n"/>
      <c r="L229" s="9" t="n"/>
      <c r="M229" s="9" t="n"/>
      <c r="N229" s="9" t="n"/>
      <c r="O229" s="9" t="n"/>
      <c r="Q229" s="9" t="n"/>
      <c r="R229" s="9" t="n"/>
      <c r="W229" s="9" t="n"/>
      <c r="X229" s="9" t="n"/>
      <c r="Z229">
        <f>IF(A229="","",IF(AND(N229&lt;&gt;"",O229&lt;&gt;"",Q229&lt;&gt;"",R229&lt;&gt;"",S229="Y"),"YES","no"))</f>
        <v/>
      </c>
      <c r="AA229" s="9">
        <f>IF(Z229="YES",MAX(N229,O229,Q229,R229),"")</f>
        <v/>
      </c>
      <c r="AB229">
        <f>IF(A229="","",IF(X229&lt;&gt;"","13 Repeat activity",IF(W229&lt;&gt;"","12 First enquiry/order/booking",IF(Z229="YES","11 ACTIVATED",IF(Q229&lt;&gt;"","10 First listing live",IF(O229&lt;&gt;"","9 Profile completed",IF(N229&lt;&gt;"","8 Approved",IF(M229&lt;&gt;"","7 KYC submitted",IF(L229&lt;&gt;"","6 Registration completed",IF(K229&lt;&gt;"","5b Registration started",IF(H229&lt;&gt;"","5a Information sent",IF(G229&lt;&gt;"","5 Interested","—"))))))))))))</f>
        <v/>
      </c>
      <c r="AC229" s="10">
        <f>IF(A229="","",(COUNT(G229,H229,K229,L229,M229,N229,O229,Q229,R229)+(I229="Y")+(P229="Y")+(S229="Y"))/12)</f>
        <v/>
      </c>
      <c r="AD229">
        <f>IF(OR(A229="",COUNT(G229:X229)=0),"",TODAY()-MAX(G229,H229,K229,L229,M229,N229,O229,Q229,R229,W229,X229))</f>
        <v/>
      </c>
      <c r="AE229">
        <f>IF(A229="","",IF(AND(Z229&lt;&gt;"YES",AD229&lt;&gt;"",AD229&gt;THRESHOLDS!$B$12),"STUCK — act today",""))</f>
        <v/>
      </c>
      <c r="AF229">
        <f>IF(A229="","",IF(J229="Active (verified)","",IF(J229="","Ask GST status (readiness R2)","Escalate to founder: orders need verified GSTIN in current code — no tax advice")))</f>
        <v/>
      </c>
      <c r="AG229">
        <f>IF(AND(G229&lt;&gt;"",L229&lt;&gt;""),L229-G229,"")</f>
        <v/>
      </c>
      <c r="AH229">
        <f>IF(AND(L229&lt;&gt;"",N229&lt;&gt;""),N229-L229,"")</f>
        <v/>
      </c>
      <c r="AI229">
        <f>IF(AND(N229&lt;&gt;"",AA229&lt;&gt;""),AA229-N229,"")</f>
        <v/>
      </c>
      <c r="AJ229">
        <f>IF(AND(L229&lt;&gt;"",N229&lt;&gt;"",Q229&lt;&gt;""),"Qualifies (if FP-QUAL adopted)","")</f>
        <v/>
      </c>
    </row>
    <row r="230">
      <c r="G230" s="9" t="n"/>
      <c r="H230" s="9" t="n"/>
      <c r="K230" s="9" t="n"/>
      <c r="L230" s="9" t="n"/>
      <c r="M230" s="9" t="n"/>
      <c r="N230" s="9" t="n"/>
      <c r="O230" s="9" t="n"/>
      <c r="Q230" s="9" t="n"/>
      <c r="R230" s="9" t="n"/>
      <c r="W230" s="9" t="n"/>
      <c r="X230" s="9" t="n"/>
      <c r="Z230">
        <f>IF(A230="","",IF(AND(N230&lt;&gt;"",O230&lt;&gt;"",Q230&lt;&gt;"",R230&lt;&gt;"",S230="Y"),"YES","no"))</f>
        <v/>
      </c>
      <c r="AA230" s="9">
        <f>IF(Z230="YES",MAX(N230,O230,Q230,R230),"")</f>
        <v/>
      </c>
      <c r="AB230">
        <f>IF(A230="","",IF(X230&lt;&gt;"","13 Repeat activity",IF(W230&lt;&gt;"","12 First enquiry/order/booking",IF(Z230="YES","11 ACTIVATED",IF(Q230&lt;&gt;"","10 First listing live",IF(O230&lt;&gt;"","9 Profile completed",IF(N230&lt;&gt;"","8 Approved",IF(M230&lt;&gt;"","7 KYC submitted",IF(L230&lt;&gt;"","6 Registration completed",IF(K230&lt;&gt;"","5b Registration started",IF(H230&lt;&gt;"","5a Information sent",IF(G230&lt;&gt;"","5 Interested","—"))))))))))))</f>
        <v/>
      </c>
      <c r="AC230" s="10">
        <f>IF(A230="","",(COUNT(G230,H230,K230,L230,M230,N230,O230,Q230,R230)+(I230="Y")+(P230="Y")+(S230="Y"))/12)</f>
        <v/>
      </c>
      <c r="AD230">
        <f>IF(OR(A230="",COUNT(G230:X230)=0),"",TODAY()-MAX(G230,H230,K230,L230,M230,N230,O230,Q230,R230,W230,X230))</f>
        <v/>
      </c>
      <c r="AE230">
        <f>IF(A230="","",IF(AND(Z230&lt;&gt;"YES",AD230&lt;&gt;"",AD230&gt;THRESHOLDS!$B$12),"STUCK — act today",""))</f>
        <v/>
      </c>
      <c r="AF230">
        <f>IF(A230="","",IF(J230="Active (verified)","",IF(J230="","Ask GST status (readiness R2)","Escalate to founder: orders need verified GSTIN in current code — no tax advice")))</f>
        <v/>
      </c>
      <c r="AG230">
        <f>IF(AND(G230&lt;&gt;"",L230&lt;&gt;""),L230-G230,"")</f>
        <v/>
      </c>
      <c r="AH230">
        <f>IF(AND(L230&lt;&gt;"",N230&lt;&gt;""),N230-L230,"")</f>
        <v/>
      </c>
      <c r="AI230">
        <f>IF(AND(N230&lt;&gt;"",AA230&lt;&gt;""),AA230-N230,"")</f>
        <v/>
      </c>
      <c r="AJ230">
        <f>IF(AND(L230&lt;&gt;"",N230&lt;&gt;"",Q230&lt;&gt;""),"Qualifies (if FP-QUAL adopted)","")</f>
        <v/>
      </c>
    </row>
    <row r="231">
      <c r="G231" s="9" t="n"/>
      <c r="H231" s="9" t="n"/>
      <c r="K231" s="9" t="n"/>
      <c r="L231" s="9" t="n"/>
      <c r="M231" s="9" t="n"/>
      <c r="N231" s="9" t="n"/>
      <c r="O231" s="9" t="n"/>
      <c r="Q231" s="9" t="n"/>
      <c r="R231" s="9" t="n"/>
      <c r="W231" s="9" t="n"/>
      <c r="X231" s="9" t="n"/>
      <c r="Z231">
        <f>IF(A231="","",IF(AND(N231&lt;&gt;"",O231&lt;&gt;"",Q231&lt;&gt;"",R231&lt;&gt;"",S231="Y"),"YES","no"))</f>
        <v/>
      </c>
      <c r="AA231" s="9">
        <f>IF(Z231="YES",MAX(N231,O231,Q231,R231),"")</f>
        <v/>
      </c>
      <c r="AB231">
        <f>IF(A231="","",IF(X231&lt;&gt;"","13 Repeat activity",IF(W231&lt;&gt;"","12 First enquiry/order/booking",IF(Z231="YES","11 ACTIVATED",IF(Q231&lt;&gt;"","10 First listing live",IF(O231&lt;&gt;"","9 Profile completed",IF(N231&lt;&gt;"","8 Approved",IF(M231&lt;&gt;"","7 KYC submitted",IF(L231&lt;&gt;"","6 Registration completed",IF(K231&lt;&gt;"","5b Registration started",IF(H231&lt;&gt;"","5a Information sent",IF(G231&lt;&gt;"","5 Interested","—"))))))))))))</f>
        <v/>
      </c>
      <c r="AC231" s="10">
        <f>IF(A231="","",(COUNT(G231,H231,K231,L231,M231,N231,O231,Q231,R231)+(I231="Y")+(P231="Y")+(S231="Y"))/12)</f>
        <v/>
      </c>
      <c r="AD231">
        <f>IF(OR(A231="",COUNT(G231:X231)=0),"",TODAY()-MAX(G231,H231,K231,L231,M231,N231,O231,Q231,R231,W231,X231))</f>
        <v/>
      </c>
      <c r="AE231">
        <f>IF(A231="","",IF(AND(Z231&lt;&gt;"YES",AD231&lt;&gt;"",AD231&gt;THRESHOLDS!$B$12),"STUCK — act today",""))</f>
        <v/>
      </c>
      <c r="AF231">
        <f>IF(A231="","",IF(J231="Active (verified)","",IF(J231="","Ask GST status (readiness R2)","Escalate to founder: orders need verified GSTIN in current code — no tax advice")))</f>
        <v/>
      </c>
      <c r="AG231">
        <f>IF(AND(G231&lt;&gt;"",L231&lt;&gt;""),L231-G231,"")</f>
        <v/>
      </c>
      <c r="AH231">
        <f>IF(AND(L231&lt;&gt;"",N231&lt;&gt;""),N231-L231,"")</f>
        <v/>
      </c>
      <c r="AI231">
        <f>IF(AND(N231&lt;&gt;"",AA231&lt;&gt;""),AA231-N231,"")</f>
        <v/>
      </c>
      <c r="AJ231">
        <f>IF(AND(L231&lt;&gt;"",N231&lt;&gt;"",Q231&lt;&gt;""),"Qualifies (if FP-QUAL adopted)","")</f>
        <v/>
      </c>
    </row>
    <row r="232">
      <c r="G232" s="9" t="n"/>
      <c r="H232" s="9" t="n"/>
      <c r="K232" s="9" t="n"/>
      <c r="L232" s="9" t="n"/>
      <c r="M232" s="9" t="n"/>
      <c r="N232" s="9" t="n"/>
      <c r="O232" s="9" t="n"/>
      <c r="Q232" s="9" t="n"/>
      <c r="R232" s="9" t="n"/>
      <c r="W232" s="9" t="n"/>
      <c r="X232" s="9" t="n"/>
      <c r="Z232">
        <f>IF(A232="","",IF(AND(N232&lt;&gt;"",O232&lt;&gt;"",Q232&lt;&gt;"",R232&lt;&gt;"",S232="Y"),"YES","no"))</f>
        <v/>
      </c>
      <c r="AA232" s="9">
        <f>IF(Z232="YES",MAX(N232,O232,Q232,R232),"")</f>
        <v/>
      </c>
      <c r="AB232">
        <f>IF(A232="","",IF(X232&lt;&gt;"","13 Repeat activity",IF(W232&lt;&gt;"","12 First enquiry/order/booking",IF(Z232="YES","11 ACTIVATED",IF(Q232&lt;&gt;"","10 First listing live",IF(O232&lt;&gt;"","9 Profile completed",IF(N232&lt;&gt;"","8 Approved",IF(M232&lt;&gt;"","7 KYC submitted",IF(L232&lt;&gt;"","6 Registration completed",IF(K232&lt;&gt;"","5b Registration started",IF(H232&lt;&gt;"","5a Information sent",IF(G232&lt;&gt;"","5 Interested","—"))))))))))))</f>
        <v/>
      </c>
      <c r="AC232" s="10">
        <f>IF(A232="","",(COUNT(G232,H232,K232,L232,M232,N232,O232,Q232,R232)+(I232="Y")+(P232="Y")+(S232="Y"))/12)</f>
        <v/>
      </c>
      <c r="AD232">
        <f>IF(OR(A232="",COUNT(G232:X232)=0),"",TODAY()-MAX(G232,H232,K232,L232,M232,N232,O232,Q232,R232,W232,X232))</f>
        <v/>
      </c>
      <c r="AE232">
        <f>IF(A232="","",IF(AND(Z232&lt;&gt;"YES",AD232&lt;&gt;"",AD232&gt;THRESHOLDS!$B$12),"STUCK — act today",""))</f>
        <v/>
      </c>
      <c r="AF232">
        <f>IF(A232="","",IF(J232="Active (verified)","",IF(J232="","Ask GST status (readiness R2)","Escalate to founder: orders need verified GSTIN in current code — no tax advice")))</f>
        <v/>
      </c>
      <c r="AG232">
        <f>IF(AND(G232&lt;&gt;"",L232&lt;&gt;""),L232-G232,"")</f>
        <v/>
      </c>
      <c r="AH232">
        <f>IF(AND(L232&lt;&gt;"",N232&lt;&gt;""),N232-L232,"")</f>
        <v/>
      </c>
      <c r="AI232">
        <f>IF(AND(N232&lt;&gt;"",AA232&lt;&gt;""),AA232-N232,"")</f>
        <v/>
      </c>
      <c r="AJ232">
        <f>IF(AND(L232&lt;&gt;"",N232&lt;&gt;"",Q232&lt;&gt;""),"Qualifies (if FP-QUAL adopted)","")</f>
        <v/>
      </c>
    </row>
    <row r="233">
      <c r="G233" s="9" t="n"/>
      <c r="H233" s="9" t="n"/>
      <c r="K233" s="9" t="n"/>
      <c r="L233" s="9" t="n"/>
      <c r="M233" s="9" t="n"/>
      <c r="N233" s="9" t="n"/>
      <c r="O233" s="9" t="n"/>
      <c r="Q233" s="9" t="n"/>
      <c r="R233" s="9" t="n"/>
      <c r="W233" s="9" t="n"/>
      <c r="X233" s="9" t="n"/>
      <c r="Z233">
        <f>IF(A233="","",IF(AND(N233&lt;&gt;"",O233&lt;&gt;"",Q233&lt;&gt;"",R233&lt;&gt;"",S233="Y"),"YES","no"))</f>
        <v/>
      </c>
      <c r="AA233" s="9">
        <f>IF(Z233="YES",MAX(N233,O233,Q233,R233),"")</f>
        <v/>
      </c>
      <c r="AB233">
        <f>IF(A233="","",IF(X233&lt;&gt;"","13 Repeat activity",IF(W233&lt;&gt;"","12 First enquiry/order/booking",IF(Z233="YES","11 ACTIVATED",IF(Q233&lt;&gt;"","10 First listing live",IF(O233&lt;&gt;"","9 Profile completed",IF(N233&lt;&gt;"","8 Approved",IF(M233&lt;&gt;"","7 KYC submitted",IF(L233&lt;&gt;"","6 Registration completed",IF(K233&lt;&gt;"","5b Registration started",IF(H233&lt;&gt;"","5a Information sent",IF(G233&lt;&gt;"","5 Interested","—"))))))))))))</f>
        <v/>
      </c>
      <c r="AC233" s="10">
        <f>IF(A233="","",(COUNT(G233,H233,K233,L233,M233,N233,O233,Q233,R233)+(I233="Y")+(P233="Y")+(S233="Y"))/12)</f>
        <v/>
      </c>
      <c r="AD233">
        <f>IF(OR(A233="",COUNT(G233:X233)=0),"",TODAY()-MAX(G233,H233,K233,L233,M233,N233,O233,Q233,R233,W233,X233))</f>
        <v/>
      </c>
      <c r="AE233">
        <f>IF(A233="","",IF(AND(Z233&lt;&gt;"YES",AD233&lt;&gt;"",AD233&gt;THRESHOLDS!$B$12),"STUCK — act today",""))</f>
        <v/>
      </c>
      <c r="AF233">
        <f>IF(A233="","",IF(J233="Active (verified)","",IF(J233="","Ask GST status (readiness R2)","Escalate to founder: orders need verified GSTIN in current code — no tax advice")))</f>
        <v/>
      </c>
      <c r="AG233">
        <f>IF(AND(G233&lt;&gt;"",L233&lt;&gt;""),L233-G233,"")</f>
        <v/>
      </c>
      <c r="AH233">
        <f>IF(AND(L233&lt;&gt;"",N233&lt;&gt;""),N233-L233,"")</f>
        <v/>
      </c>
      <c r="AI233">
        <f>IF(AND(N233&lt;&gt;"",AA233&lt;&gt;""),AA233-N233,"")</f>
        <v/>
      </c>
      <c r="AJ233">
        <f>IF(AND(L233&lt;&gt;"",N233&lt;&gt;"",Q233&lt;&gt;""),"Qualifies (if FP-QUAL adopted)","")</f>
        <v/>
      </c>
    </row>
    <row r="234">
      <c r="G234" s="9" t="n"/>
      <c r="H234" s="9" t="n"/>
      <c r="K234" s="9" t="n"/>
      <c r="L234" s="9" t="n"/>
      <c r="M234" s="9" t="n"/>
      <c r="N234" s="9" t="n"/>
      <c r="O234" s="9" t="n"/>
      <c r="Q234" s="9" t="n"/>
      <c r="R234" s="9" t="n"/>
      <c r="W234" s="9" t="n"/>
      <c r="X234" s="9" t="n"/>
      <c r="Z234">
        <f>IF(A234="","",IF(AND(N234&lt;&gt;"",O234&lt;&gt;"",Q234&lt;&gt;"",R234&lt;&gt;"",S234="Y"),"YES","no"))</f>
        <v/>
      </c>
      <c r="AA234" s="9">
        <f>IF(Z234="YES",MAX(N234,O234,Q234,R234),"")</f>
        <v/>
      </c>
      <c r="AB234">
        <f>IF(A234="","",IF(X234&lt;&gt;"","13 Repeat activity",IF(W234&lt;&gt;"","12 First enquiry/order/booking",IF(Z234="YES","11 ACTIVATED",IF(Q234&lt;&gt;"","10 First listing live",IF(O234&lt;&gt;"","9 Profile completed",IF(N234&lt;&gt;"","8 Approved",IF(M234&lt;&gt;"","7 KYC submitted",IF(L234&lt;&gt;"","6 Registration completed",IF(K234&lt;&gt;"","5b Registration started",IF(H234&lt;&gt;"","5a Information sent",IF(G234&lt;&gt;"","5 Interested","—"))))))))))))</f>
        <v/>
      </c>
      <c r="AC234" s="10">
        <f>IF(A234="","",(COUNT(G234,H234,K234,L234,M234,N234,O234,Q234,R234)+(I234="Y")+(P234="Y")+(S234="Y"))/12)</f>
        <v/>
      </c>
      <c r="AD234">
        <f>IF(OR(A234="",COUNT(G234:X234)=0),"",TODAY()-MAX(G234,H234,K234,L234,M234,N234,O234,Q234,R234,W234,X234))</f>
        <v/>
      </c>
      <c r="AE234">
        <f>IF(A234="","",IF(AND(Z234&lt;&gt;"YES",AD234&lt;&gt;"",AD234&gt;THRESHOLDS!$B$12),"STUCK — act today",""))</f>
        <v/>
      </c>
      <c r="AF234">
        <f>IF(A234="","",IF(J234="Active (verified)","",IF(J234="","Ask GST status (readiness R2)","Escalate to founder: orders need verified GSTIN in current code — no tax advice")))</f>
        <v/>
      </c>
      <c r="AG234">
        <f>IF(AND(G234&lt;&gt;"",L234&lt;&gt;""),L234-G234,"")</f>
        <v/>
      </c>
      <c r="AH234">
        <f>IF(AND(L234&lt;&gt;"",N234&lt;&gt;""),N234-L234,"")</f>
        <v/>
      </c>
      <c r="AI234">
        <f>IF(AND(N234&lt;&gt;"",AA234&lt;&gt;""),AA234-N234,"")</f>
        <v/>
      </c>
      <c r="AJ234">
        <f>IF(AND(L234&lt;&gt;"",N234&lt;&gt;"",Q234&lt;&gt;""),"Qualifies (if FP-QUAL adopted)","")</f>
        <v/>
      </c>
    </row>
    <row r="235">
      <c r="G235" s="9" t="n"/>
      <c r="H235" s="9" t="n"/>
      <c r="K235" s="9" t="n"/>
      <c r="L235" s="9" t="n"/>
      <c r="M235" s="9" t="n"/>
      <c r="N235" s="9" t="n"/>
      <c r="O235" s="9" t="n"/>
      <c r="Q235" s="9" t="n"/>
      <c r="R235" s="9" t="n"/>
      <c r="W235" s="9" t="n"/>
      <c r="X235" s="9" t="n"/>
      <c r="Z235">
        <f>IF(A235="","",IF(AND(N235&lt;&gt;"",O235&lt;&gt;"",Q235&lt;&gt;"",R235&lt;&gt;"",S235="Y"),"YES","no"))</f>
        <v/>
      </c>
      <c r="AA235" s="9">
        <f>IF(Z235="YES",MAX(N235,O235,Q235,R235),"")</f>
        <v/>
      </c>
      <c r="AB235">
        <f>IF(A235="","",IF(X235&lt;&gt;"","13 Repeat activity",IF(W235&lt;&gt;"","12 First enquiry/order/booking",IF(Z235="YES","11 ACTIVATED",IF(Q235&lt;&gt;"","10 First listing live",IF(O235&lt;&gt;"","9 Profile completed",IF(N235&lt;&gt;"","8 Approved",IF(M235&lt;&gt;"","7 KYC submitted",IF(L235&lt;&gt;"","6 Registration completed",IF(K235&lt;&gt;"","5b Registration started",IF(H235&lt;&gt;"","5a Information sent",IF(G235&lt;&gt;"","5 Interested","—"))))))))))))</f>
        <v/>
      </c>
      <c r="AC235" s="10">
        <f>IF(A235="","",(COUNT(G235,H235,K235,L235,M235,N235,O235,Q235,R235)+(I235="Y")+(P235="Y")+(S235="Y"))/12)</f>
        <v/>
      </c>
      <c r="AD235">
        <f>IF(OR(A235="",COUNT(G235:X235)=0),"",TODAY()-MAX(G235,H235,K235,L235,M235,N235,O235,Q235,R235,W235,X235))</f>
        <v/>
      </c>
      <c r="AE235">
        <f>IF(A235="","",IF(AND(Z235&lt;&gt;"YES",AD235&lt;&gt;"",AD235&gt;THRESHOLDS!$B$12),"STUCK — act today",""))</f>
        <v/>
      </c>
      <c r="AF235">
        <f>IF(A235="","",IF(J235="Active (verified)","",IF(J235="","Ask GST status (readiness R2)","Escalate to founder: orders need verified GSTIN in current code — no tax advice")))</f>
        <v/>
      </c>
      <c r="AG235">
        <f>IF(AND(G235&lt;&gt;"",L235&lt;&gt;""),L235-G235,"")</f>
        <v/>
      </c>
      <c r="AH235">
        <f>IF(AND(L235&lt;&gt;"",N235&lt;&gt;""),N235-L235,"")</f>
        <v/>
      </c>
      <c r="AI235">
        <f>IF(AND(N235&lt;&gt;"",AA235&lt;&gt;""),AA235-N235,"")</f>
        <v/>
      </c>
      <c r="AJ235">
        <f>IF(AND(L235&lt;&gt;"",N235&lt;&gt;"",Q235&lt;&gt;""),"Qualifies (if FP-QUAL adopted)","")</f>
        <v/>
      </c>
    </row>
    <row r="236">
      <c r="G236" s="9" t="n"/>
      <c r="H236" s="9" t="n"/>
      <c r="K236" s="9" t="n"/>
      <c r="L236" s="9" t="n"/>
      <c r="M236" s="9" t="n"/>
      <c r="N236" s="9" t="n"/>
      <c r="O236" s="9" t="n"/>
      <c r="Q236" s="9" t="n"/>
      <c r="R236" s="9" t="n"/>
      <c r="W236" s="9" t="n"/>
      <c r="X236" s="9" t="n"/>
      <c r="Z236">
        <f>IF(A236="","",IF(AND(N236&lt;&gt;"",O236&lt;&gt;"",Q236&lt;&gt;"",R236&lt;&gt;"",S236="Y"),"YES","no"))</f>
        <v/>
      </c>
      <c r="AA236" s="9">
        <f>IF(Z236="YES",MAX(N236,O236,Q236,R236),"")</f>
        <v/>
      </c>
      <c r="AB236">
        <f>IF(A236="","",IF(X236&lt;&gt;"","13 Repeat activity",IF(W236&lt;&gt;"","12 First enquiry/order/booking",IF(Z236="YES","11 ACTIVATED",IF(Q236&lt;&gt;"","10 First listing live",IF(O236&lt;&gt;"","9 Profile completed",IF(N236&lt;&gt;"","8 Approved",IF(M236&lt;&gt;"","7 KYC submitted",IF(L236&lt;&gt;"","6 Registration completed",IF(K236&lt;&gt;"","5b Registration started",IF(H236&lt;&gt;"","5a Information sent",IF(G236&lt;&gt;"","5 Interested","—"))))))))))))</f>
        <v/>
      </c>
      <c r="AC236" s="10">
        <f>IF(A236="","",(COUNT(G236,H236,K236,L236,M236,N236,O236,Q236,R236)+(I236="Y")+(P236="Y")+(S236="Y"))/12)</f>
        <v/>
      </c>
      <c r="AD236">
        <f>IF(OR(A236="",COUNT(G236:X236)=0),"",TODAY()-MAX(G236,H236,K236,L236,M236,N236,O236,Q236,R236,W236,X236))</f>
        <v/>
      </c>
      <c r="AE236">
        <f>IF(A236="","",IF(AND(Z236&lt;&gt;"YES",AD236&lt;&gt;"",AD236&gt;THRESHOLDS!$B$12),"STUCK — act today",""))</f>
        <v/>
      </c>
      <c r="AF236">
        <f>IF(A236="","",IF(J236="Active (verified)","",IF(J236="","Ask GST status (readiness R2)","Escalate to founder: orders need verified GSTIN in current code — no tax advice")))</f>
        <v/>
      </c>
      <c r="AG236">
        <f>IF(AND(G236&lt;&gt;"",L236&lt;&gt;""),L236-G236,"")</f>
        <v/>
      </c>
      <c r="AH236">
        <f>IF(AND(L236&lt;&gt;"",N236&lt;&gt;""),N236-L236,"")</f>
        <v/>
      </c>
      <c r="AI236">
        <f>IF(AND(N236&lt;&gt;"",AA236&lt;&gt;""),AA236-N236,"")</f>
        <v/>
      </c>
      <c r="AJ236">
        <f>IF(AND(L236&lt;&gt;"",N236&lt;&gt;"",Q236&lt;&gt;""),"Qualifies (if FP-QUAL adopted)","")</f>
        <v/>
      </c>
    </row>
    <row r="237">
      <c r="G237" s="9" t="n"/>
      <c r="H237" s="9" t="n"/>
      <c r="K237" s="9" t="n"/>
      <c r="L237" s="9" t="n"/>
      <c r="M237" s="9" t="n"/>
      <c r="N237" s="9" t="n"/>
      <c r="O237" s="9" t="n"/>
      <c r="Q237" s="9" t="n"/>
      <c r="R237" s="9" t="n"/>
      <c r="W237" s="9" t="n"/>
      <c r="X237" s="9" t="n"/>
      <c r="Z237">
        <f>IF(A237="","",IF(AND(N237&lt;&gt;"",O237&lt;&gt;"",Q237&lt;&gt;"",R237&lt;&gt;"",S237="Y"),"YES","no"))</f>
        <v/>
      </c>
      <c r="AA237" s="9">
        <f>IF(Z237="YES",MAX(N237,O237,Q237,R237),"")</f>
        <v/>
      </c>
      <c r="AB237">
        <f>IF(A237="","",IF(X237&lt;&gt;"","13 Repeat activity",IF(W237&lt;&gt;"","12 First enquiry/order/booking",IF(Z237="YES","11 ACTIVATED",IF(Q237&lt;&gt;"","10 First listing live",IF(O237&lt;&gt;"","9 Profile completed",IF(N237&lt;&gt;"","8 Approved",IF(M237&lt;&gt;"","7 KYC submitted",IF(L237&lt;&gt;"","6 Registration completed",IF(K237&lt;&gt;"","5b Registration started",IF(H237&lt;&gt;"","5a Information sent",IF(G237&lt;&gt;"","5 Interested","—"))))))))))))</f>
        <v/>
      </c>
      <c r="AC237" s="10">
        <f>IF(A237="","",(COUNT(G237,H237,K237,L237,M237,N237,O237,Q237,R237)+(I237="Y")+(P237="Y")+(S237="Y"))/12)</f>
        <v/>
      </c>
      <c r="AD237">
        <f>IF(OR(A237="",COUNT(G237:X237)=0),"",TODAY()-MAX(G237,H237,K237,L237,M237,N237,O237,Q237,R237,W237,X237))</f>
        <v/>
      </c>
      <c r="AE237">
        <f>IF(A237="","",IF(AND(Z237&lt;&gt;"YES",AD237&lt;&gt;"",AD237&gt;THRESHOLDS!$B$12),"STUCK — act today",""))</f>
        <v/>
      </c>
      <c r="AF237">
        <f>IF(A237="","",IF(J237="Active (verified)","",IF(J237="","Ask GST status (readiness R2)","Escalate to founder: orders need verified GSTIN in current code — no tax advice")))</f>
        <v/>
      </c>
      <c r="AG237">
        <f>IF(AND(G237&lt;&gt;"",L237&lt;&gt;""),L237-G237,"")</f>
        <v/>
      </c>
      <c r="AH237">
        <f>IF(AND(L237&lt;&gt;"",N237&lt;&gt;""),N237-L237,"")</f>
        <v/>
      </c>
      <c r="AI237">
        <f>IF(AND(N237&lt;&gt;"",AA237&lt;&gt;""),AA237-N237,"")</f>
        <v/>
      </c>
      <c r="AJ237">
        <f>IF(AND(L237&lt;&gt;"",N237&lt;&gt;"",Q237&lt;&gt;""),"Qualifies (if FP-QUAL adopted)","")</f>
        <v/>
      </c>
    </row>
    <row r="238">
      <c r="G238" s="9" t="n"/>
      <c r="H238" s="9" t="n"/>
      <c r="K238" s="9" t="n"/>
      <c r="L238" s="9" t="n"/>
      <c r="M238" s="9" t="n"/>
      <c r="N238" s="9" t="n"/>
      <c r="O238" s="9" t="n"/>
      <c r="Q238" s="9" t="n"/>
      <c r="R238" s="9" t="n"/>
      <c r="W238" s="9" t="n"/>
      <c r="X238" s="9" t="n"/>
      <c r="Z238">
        <f>IF(A238="","",IF(AND(N238&lt;&gt;"",O238&lt;&gt;"",Q238&lt;&gt;"",R238&lt;&gt;"",S238="Y"),"YES","no"))</f>
        <v/>
      </c>
      <c r="AA238" s="9">
        <f>IF(Z238="YES",MAX(N238,O238,Q238,R238),"")</f>
        <v/>
      </c>
      <c r="AB238">
        <f>IF(A238="","",IF(X238&lt;&gt;"","13 Repeat activity",IF(W238&lt;&gt;"","12 First enquiry/order/booking",IF(Z238="YES","11 ACTIVATED",IF(Q238&lt;&gt;"","10 First listing live",IF(O238&lt;&gt;"","9 Profile completed",IF(N238&lt;&gt;"","8 Approved",IF(M238&lt;&gt;"","7 KYC submitted",IF(L238&lt;&gt;"","6 Registration completed",IF(K238&lt;&gt;"","5b Registration started",IF(H238&lt;&gt;"","5a Information sent",IF(G238&lt;&gt;"","5 Interested","—"))))))))))))</f>
        <v/>
      </c>
      <c r="AC238" s="10">
        <f>IF(A238="","",(COUNT(G238,H238,K238,L238,M238,N238,O238,Q238,R238)+(I238="Y")+(P238="Y")+(S238="Y"))/12)</f>
        <v/>
      </c>
      <c r="AD238">
        <f>IF(OR(A238="",COUNT(G238:X238)=0),"",TODAY()-MAX(G238,H238,K238,L238,M238,N238,O238,Q238,R238,W238,X238))</f>
        <v/>
      </c>
      <c r="AE238">
        <f>IF(A238="","",IF(AND(Z238&lt;&gt;"YES",AD238&lt;&gt;"",AD238&gt;THRESHOLDS!$B$12),"STUCK — act today",""))</f>
        <v/>
      </c>
      <c r="AF238">
        <f>IF(A238="","",IF(J238="Active (verified)","",IF(J238="","Ask GST status (readiness R2)","Escalate to founder: orders need verified GSTIN in current code — no tax advice")))</f>
        <v/>
      </c>
      <c r="AG238">
        <f>IF(AND(G238&lt;&gt;"",L238&lt;&gt;""),L238-G238,"")</f>
        <v/>
      </c>
      <c r="AH238">
        <f>IF(AND(L238&lt;&gt;"",N238&lt;&gt;""),N238-L238,"")</f>
        <v/>
      </c>
      <c r="AI238">
        <f>IF(AND(N238&lt;&gt;"",AA238&lt;&gt;""),AA238-N238,"")</f>
        <v/>
      </c>
      <c r="AJ238">
        <f>IF(AND(L238&lt;&gt;"",N238&lt;&gt;"",Q238&lt;&gt;""),"Qualifies (if FP-QUAL adopted)","")</f>
        <v/>
      </c>
    </row>
    <row r="239">
      <c r="G239" s="9" t="n"/>
      <c r="H239" s="9" t="n"/>
      <c r="K239" s="9" t="n"/>
      <c r="L239" s="9" t="n"/>
      <c r="M239" s="9" t="n"/>
      <c r="N239" s="9" t="n"/>
      <c r="O239" s="9" t="n"/>
      <c r="Q239" s="9" t="n"/>
      <c r="R239" s="9" t="n"/>
      <c r="W239" s="9" t="n"/>
      <c r="X239" s="9" t="n"/>
      <c r="Z239">
        <f>IF(A239="","",IF(AND(N239&lt;&gt;"",O239&lt;&gt;"",Q239&lt;&gt;"",R239&lt;&gt;"",S239="Y"),"YES","no"))</f>
        <v/>
      </c>
      <c r="AA239" s="9">
        <f>IF(Z239="YES",MAX(N239,O239,Q239,R239),"")</f>
        <v/>
      </c>
      <c r="AB239">
        <f>IF(A239="","",IF(X239&lt;&gt;"","13 Repeat activity",IF(W239&lt;&gt;"","12 First enquiry/order/booking",IF(Z239="YES","11 ACTIVATED",IF(Q239&lt;&gt;"","10 First listing live",IF(O239&lt;&gt;"","9 Profile completed",IF(N239&lt;&gt;"","8 Approved",IF(M239&lt;&gt;"","7 KYC submitted",IF(L239&lt;&gt;"","6 Registration completed",IF(K239&lt;&gt;"","5b Registration started",IF(H239&lt;&gt;"","5a Information sent",IF(G239&lt;&gt;"","5 Interested","—"))))))))))))</f>
        <v/>
      </c>
      <c r="AC239" s="10">
        <f>IF(A239="","",(COUNT(G239,H239,K239,L239,M239,N239,O239,Q239,R239)+(I239="Y")+(P239="Y")+(S239="Y"))/12)</f>
        <v/>
      </c>
      <c r="AD239">
        <f>IF(OR(A239="",COUNT(G239:X239)=0),"",TODAY()-MAX(G239,H239,K239,L239,M239,N239,O239,Q239,R239,W239,X239))</f>
        <v/>
      </c>
      <c r="AE239">
        <f>IF(A239="","",IF(AND(Z239&lt;&gt;"YES",AD239&lt;&gt;"",AD239&gt;THRESHOLDS!$B$12),"STUCK — act today",""))</f>
        <v/>
      </c>
      <c r="AF239">
        <f>IF(A239="","",IF(J239="Active (verified)","",IF(J239="","Ask GST status (readiness R2)","Escalate to founder: orders need verified GSTIN in current code — no tax advice")))</f>
        <v/>
      </c>
      <c r="AG239">
        <f>IF(AND(G239&lt;&gt;"",L239&lt;&gt;""),L239-G239,"")</f>
        <v/>
      </c>
      <c r="AH239">
        <f>IF(AND(L239&lt;&gt;"",N239&lt;&gt;""),N239-L239,"")</f>
        <v/>
      </c>
      <c r="AI239">
        <f>IF(AND(N239&lt;&gt;"",AA239&lt;&gt;""),AA239-N239,"")</f>
        <v/>
      </c>
      <c r="AJ239">
        <f>IF(AND(L239&lt;&gt;"",N239&lt;&gt;"",Q239&lt;&gt;""),"Qualifies (if FP-QUAL adopted)","")</f>
        <v/>
      </c>
    </row>
    <row r="240">
      <c r="G240" s="9" t="n"/>
      <c r="H240" s="9" t="n"/>
      <c r="K240" s="9" t="n"/>
      <c r="L240" s="9" t="n"/>
      <c r="M240" s="9" t="n"/>
      <c r="N240" s="9" t="n"/>
      <c r="O240" s="9" t="n"/>
      <c r="Q240" s="9" t="n"/>
      <c r="R240" s="9" t="n"/>
      <c r="W240" s="9" t="n"/>
      <c r="X240" s="9" t="n"/>
      <c r="Z240">
        <f>IF(A240="","",IF(AND(N240&lt;&gt;"",O240&lt;&gt;"",Q240&lt;&gt;"",R240&lt;&gt;"",S240="Y"),"YES","no"))</f>
        <v/>
      </c>
      <c r="AA240" s="9">
        <f>IF(Z240="YES",MAX(N240,O240,Q240,R240),"")</f>
        <v/>
      </c>
      <c r="AB240">
        <f>IF(A240="","",IF(X240&lt;&gt;"","13 Repeat activity",IF(W240&lt;&gt;"","12 First enquiry/order/booking",IF(Z240="YES","11 ACTIVATED",IF(Q240&lt;&gt;"","10 First listing live",IF(O240&lt;&gt;"","9 Profile completed",IF(N240&lt;&gt;"","8 Approved",IF(M240&lt;&gt;"","7 KYC submitted",IF(L240&lt;&gt;"","6 Registration completed",IF(K240&lt;&gt;"","5b Registration started",IF(H240&lt;&gt;"","5a Information sent",IF(G240&lt;&gt;"","5 Interested","—"))))))))))))</f>
        <v/>
      </c>
      <c r="AC240" s="10">
        <f>IF(A240="","",(COUNT(G240,H240,K240,L240,M240,N240,O240,Q240,R240)+(I240="Y")+(P240="Y")+(S240="Y"))/12)</f>
        <v/>
      </c>
      <c r="AD240">
        <f>IF(OR(A240="",COUNT(G240:X240)=0),"",TODAY()-MAX(G240,H240,K240,L240,M240,N240,O240,Q240,R240,W240,X240))</f>
        <v/>
      </c>
      <c r="AE240">
        <f>IF(A240="","",IF(AND(Z240&lt;&gt;"YES",AD240&lt;&gt;"",AD240&gt;THRESHOLDS!$B$12),"STUCK — act today",""))</f>
        <v/>
      </c>
      <c r="AF240">
        <f>IF(A240="","",IF(J240="Active (verified)","",IF(J240="","Ask GST status (readiness R2)","Escalate to founder: orders need verified GSTIN in current code — no tax advice")))</f>
        <v/>
      </c>
      <c r="AG240">
        <f>IF(AND(G240&lt;&gt;"",L240&lt;&gt;""),L240-G240,"")</f>
        <v/>
      </c>
      <c r="AH240">
        <f>IF(AND(L240&lt;&gt;"",N240&lt;&gt;""),N240-L240,"")</f>
        <v/>
      </c>
      <c r="AI240">
        <f>IF(AND(N240&lt;&gt;"",AA240&lt;&gt;""),AA240-N240,"")</f>
        <v/>
      </c>
      <c r="AJ240">
        <f>IF(AND(L240&lt;&gt;"",N240&lt;&gt;"",Q240&lt;&gt;""),"Qualifies (if FP-QUAL adopted)","")</f>
        <v/>
      </c>
    </row>
    <row r="241">
      <c r="G241" s="9" t="n"/>
      <c r="H241" s="9" t="n"/>
      <c r="K241" s="9" t="n"/>
      <c r="L241" s="9" t="n"/>
      <c r="M241" s="9" t="n"/>
      <c r="N241" s="9" t="n"/>
      <c r="O241" s="9" t="n"/>
      <c r="Q241" s="9" t="n"/>
      <c r="R241" s="9" t="n"/>
      <c r="W241" s="9" t="n"/>
      <c r="X241" s="9" t="n"/>
      <c r="Z241">
        <f>IF(A241="","",IF(AND(N241&lt;&gt;"",O241&lt;&gt;"",Q241&lt;&gt;"",R241&lt;&gt;"",S241="Y"),"YES","no"))</f>
        <v/>
      </c>
      <c r="AA241" s="9">
        <f>IF(Z241="YES",MAX(N241,O241,Q241,R241),"")</f>
        <v/>
      </c>
      <c r="AB241">
        <f>IF(A241="","",IF(X241&lt;&gt;"","13 Repeat activity",IF(W241&lt;&gt;"","12 First enquiry/order/booking",IF(Z241="YES","11 ACTIVATED",IF(Q241&lt;&gt;"","10 First listing live",IF(O241&lt;&gt;"","9 Profile completed",IF(N241&lt;&gt;"","8 Approved",IF(M241&lt;&gt;"","7 KYC submitted",IF(L241&lt;&gt;"","6 Registration completed",IF(K241&lt;&gt;"","5b Registration started",IF(H241&lt;&gt;"","5a Information sent",IF(G241&lt;&gt;"","5 Interested","—"))))))))))))</f>
        <v/>
      </c>
      <c r="AC241" s="10">
        <f>IF(A241="","",(COUNT(G241,H241,K241,L241,M241,N241,O241,Q241,R241)+(I241="Y")+(P241="Y")+(S241="Y"))/12)</f>
        <v/>
      </c>
      <c r="AD241">
        <f>IF(OR(A241="",COUNT(G241:X241)=0),"",TODAY()-MAX(G241,H241,K241,L241,M241,N241,O241,Q241,R241,W241,X241))</f>
        <v/>
      </c>
      <c r="AE241">
        <f>IF(A241="","",IF(AND(Z241&lt;&gt;"YES",AD241&lt;&gt;"",AD241&gt;THRESHOLDS!$B$12),"STUCK — act today",""))</f>
        <v/>
      </c>
      <c r="AF241">
        <f>IF(A241="","",IF(J241="Active (verified)","",IF(J241="","Ask GST status (readiness R2)","Escalate to founder: orders need verified GSTIN in current code — no tax advice")))</f>
        <v/>
      </c>
      <c r="AG241">
        <f>IF(AND(G241&lt;&gt;"",L241&lt;&gt;""),L241-G241,"")</f>
        <v/>
      </c>
      <c r="AH241">
        <f>IF(AND(L241&lt;&gt;"",N241&lt;&gt;""),N241-L241,"")</f>
        <v/>
      </c>
      <c r="AI241">
        <f>IF(AND(N241&lt;&gt;"",AA241&lt;&gt;""),AA241-N241,"")</f>
        <v/>
      </c>
      <c r="AJ241">
        <f>IF(AND(L241&lt;&gt;"",N241&lt;&gt;"",Q241&lt;&gt;""),"Qualifies (if FP-QUAL adopted)","")</f>
        <v/>
      </c>
    </row>
    <row r="242">
      <c r="G242" s="9" t="n"/>
      <c r="H242" s="9" t="n"/>
      <c r="K242" s="9" t="n"/>
      <c r="L242" s="9" t="n"/>
      <c r="M242" s="9" t="n"/>
      <c r="N242" s="9" t="n"/>
      <c r="O242" s="9" t="n"/>
      <c r="Q242" s="9" t="n"/>
      <c r="R242" s="9" t="n"/>
      <c r="W242" s="9" t="n"/>
      <c r="X242" s="9" t="n"/>
      <c r="Z242">
        <f>IF(A242="","",IF(AND(N242&lt;&gt;"",O242&lt;&gt;"",Q242&lt;&gt;"",R242&lt;&gt;"",S242="Y"),"YES","no"))</f>
        <v/>
      </c>
      <c r="AA242" s="9">
        <f>IF(Z242="YES",MAX(N242,O242,Q242,R242),"")</f>
        <v/>
      </c>
      <c r="AB242">
        <f>IF(A242="","",IF(X242&lt;&gt;"","13 Repeat activity",IF(W242&lt;&gt;"","12 First enquiry/order/booking",IF(Z242="YES","11 ACTIVATED",IF(Q242&lt;&gt;"","10 First listing live",IF(O242&lt;&gt;"","9 Profile completed",IF(N242&lt;&gt;"","8 Approved",IF(M242&lt;&gt;"","7 KYC submitted",IF(L242&lt;&gt;"","6 Registration completed",IF(K242&lt;&gt;"","5b Registration started",IF(H242&lt;&gt;"","5a Information sent",IF(G242&lt;&gt;"","5 Interested","—"))))))))))))</f>
        <v/>
      </c>
      <c r="AC242" s="10">
        <f>IF(A242="","",(COUNT(G242,H242,K242,L242,M242,N242,O242,Q242,R242)+(I242="Y")+(P242="Y")+(S242="Y"))/12)</f>
        <v/>
      </c>
      <c r="AD242">
        <f>IF(OR(A242="",COUNT(G242:X242)=0),"",TODAY()-MAX(G242,H242,K242,L242,M242,N242,O242,Q242,R242,W242,X242))</f>
        <v/>
      </c>
      <c r="AE242">
        <f>IF(A242="","",IF(AND(Z242&lt;&gt;"YES",AD242&lt;&gt;"",AD242&gt;THRESHOLDS!$B$12),"STUCK — act today",""))</f>
        <v/>
      </c>
      <c r="AF242">
        <f>IF(A242="","",IF(J242="Active (verified)","",IF(J242="","Ask GST status (readiness R2)","Escalate to founder: orders need verified GSTIN in current code — no tax advice")))</f>
        <v/>
      </c>
      <c r="AG242">
        <f>IF(AND(G242&lt;&gt;"",L242&lt;&gt;""),L242-G242,"")</f>
        <v/>
      </c>
      <c r="AH242">
        <f>IF(AND(L242&lt;&gt;"",N242&lt;&gt;""),N242-L242,"")</f>
        <v/>
      </c>
      <c r="AI242">
        <f>IF(AND(N242&lt;&gt;"",AA242&lt;&gt;""),AA242-N242,"")</f>
        <v/>
      </c>
      <c r="AJ242">
        <f>IF(AND(L242&lt;&gt;"",N242&lt;&gt;"",Q242&lt;&gt;""),"Qualifies (if FP-QUAL adopted)","")</f>
        <v/>
      </c>
    </row>
    <row r="243">
      <c r="G243" s="9" t="n"/>
      <c r="H243" s="9" t="n"/>
      <c r="K243" s="9" t="n"/>
      <c r="L243" s="9" t="n"/>
      <c r="M243" s="9" t="n"/>
      <c r="N243" s="9" t="n"/>
      <c r="O243" s="9" t="n"/>
      <c r="Q243" s="9" t="n"/>
      <c r="R243" s="9" t="n"/>
      <c r="W243" s="9" t="n"/>
      <c r="X243" s="9" t="n"/>
      <c r="Z243">
        <f>IF(A243="","",IF(AND(N243&lt;&gt;"",O243&lt;&gt;"",Q243&lt;&gt;"",R243&lt;&gt;"",S243="Y"),"YES","no"))</f>
        <v/>
      </c>
      <c r="AA243" s="9">
        <f>IF(Z243="YES",MAX(N243,O243,Q243,R243),"")</f>
        <v/>
      </c>
      <c r="AB243">
        <f>IF(A243="","",IF(X243&lt;&gt;"","13 Repeat activity",IF(W243&lt;&gt;"","12 First enquiry/order/booking",IF(Z243="YES","11 ACTIVATED",IF(Q243&lt;&gt;"","10 First listing live",IF(O243&lt;&gt;"","9 Profile completed",IF(N243&lt;&gt;"","8 Approved",IF(M243&lt;&gt;"","7 KYC submitted",IF(L243&lt;&gt;"","6 Registration completed",IF(K243&lt;&gt;"","5b Registration started",IF(H243&lt;&gt;"","5a Information sent",IF(G243&lt;&gt;"","5 Interested","—"))))))))))))</f>
        <v/>
      </c>
      <c r="AC243" s="10">
        <f>IF(A243="","",(COUNT(G243,H243,K243,L243,M243,N243,O243,Q243,R243)+(I243="Y")+(P243="Y")+(S243="Y"))/12)</f>
        <v/>
      </c>
      <c r="AD243">
        <f>IF(OR(A243="",COUNT(G243:X243)=0),"",TODAY()-MAX(G243,H243,K243,L243,M243,N243,O243,Q243,R243,W243,X243))</f>
        <v/>
      </c>
      <c r="AE243">
        <f>IF(A243="","",IF(AND(Z243&lt;&gt;"YES",AD243&lt;&gt;"",AD243&gt;THRESHOLDS!$B$12),"STUCK — act today",""))</f>
        <v/>
      </c>
      <c r="AF243">
        <f>IF(A243="","",IF(J243="Active (verified)","",IF(J243="","Ask GST status (readiness R2)","Escalate to founder: orders need verified GSTIN in current code — no tax advice")))</f>
        <v/>
      </c>
      <c r="AG243">
        <f>IF(AND(G243&lt;&gt;"",L243&lt;&gt;""),L243-G243,"")</f>
        <v/>
      </c>
      <c r="AH243">
        <f>IF(AND(L243&lt;&gt;"",N243&lt;&gt;""),N243-L243,"")</f>
        <v/>
      </c>
      <c r="AI243">
        <f>IF(AND(N243&lt;&gt;"",AA243&lt;&gt;""),AA243-N243,"")</f>
        <v/>
      </c>
      <c r="AJ243">
        <f>IF(AND(L243&lt;&gt;"",N243&lt;&gt;"",Q243&lt;&gt;""),"Qualifies (if FP-QUAL adopted)","")</f>
        <v/>
      </c>
    </row>
    <row r="244">
      <c r="G244" s="9" t="n"/>
      <c r="H244" s="9" t="n"/>
      <c r="K244" s="9" t="n"/>
      <c r="L244" s="9" t="n"/>
      <c r="M244" s="9" t="n"/>
      <c r="N244" s="9" t="n"/>
      <c r="O244" s="9" t="n"/>
      <c r="Q244" s="9" t="n"/>
      <c r="R244" s="9" t="n"/>
      <c r="W244" s="9" t="n"/>
      <c r="X244" s="9" t="n"/>
      <c r="Z244">
        <f>IF(A244="","",IF(AND(N244&lt;&gt;"",O244&lt;&gt;"",Q244&lt;&gt;"",R244&lt;&gt;"",S244="Y"),"YES","no"))</f>
        <v/>
      </c>
      <c r="AA244" s="9">
        <f>IF(Z244="YES",MAX(N244,O244,Q244,R244),"")</f>
        <v/>
      </c>
      <c r="AB244">
        <f>IF(A244="","",IF(X244&lt;&gt;"","13 Repeat activity",IF(W244&lt;&gt;"","12 First enquiry/order/booking",IF(Z244="YES","11 ACTIVATED",IF(Q244&lt;&gt;"","10 First listing live",IF(O244&lt;&gt;"","9 Profile completed",IF(N244&lt;&gt;"","8 Approved",IF(M244&lt;&gt;"","7 KYC submitted",IF(L244&lt;&gt;"","6 Registration completed",IF(K244&lt;&gt;"","5b Registration started",IF(H244&lt;&gt;"","5a Information sent",IF(G244&lt;&gt;"","5 Interested","—"))))))))))))</f>
        <v/>
      </c>
      <c r="AC244" s="10">
        <f>IF(A244="","",(COUNT(G244,H244,K244,L244,M244,N244,O244,Q244,R244)+(I244="Y")+(P244="Y")+(S244="Y"))/12)</f>
        <v/>
      </c>
      <c r="AD244">
        <f>IF(OR(A244="",COUNT(G244:X244)=0),"",TODAY()-MAX(G244,H244,K244,L244,M244,N244,O244,Q244,R244,W244,X244))</f>
        <v/>
      </c>
      <c r="AE244">
        <f>IF(A244="","",IF(AND(Z244&lt;&gt;"YES",AD244&lt;&gt;"",AD244&gt;THRESHOLDS!$B$12),"STUCK — act today",""))</f>
        <v/>
      </c>
      <c r="AF244">
        <f>IF(A244="","",IF(J244="Active (verified)","",IF(J244="","Ask GST status (readiness R2)","Escalate to founder: orders need verified GSTIN in current code — no tax advice")))</f>
        <v/>
      </c>
      <c r="AG244">
        <f>IF(AND(G244&lt;&gt;"",L244&lt;&gt;""),L244-G244,"")</f>
        <v/>
      </c>
      <c r="AH244">
        <f>IF(AND(L244&lt;&gt;"",N244&lt;&gt;""),N244-L244,"")</f>
        <v/>
      </c>
      <c r="AI244">
        <f>IF(AND(N244&lt;&gt;"",AA244&lt;&gt;""),AA244-N244,"")</f>
        <v/>
      </c>
      <c r="AJ244">
        <f>IF(AND(L244&lt;&gt;"",N244&lt;&gt;"",Q244&lt;&gt;""),"Qualifies (if FP-QUAL adopted)","")</f>
        <v/>
      </c>
    </row>
    <row r="245">
      <c r="G245" s="9" t="n"/>
      <c r="H245" s="9" t="n"/>
      <c r="K245" s="9" t="n"/>
      <c r="L245" s="9" t="n"/>
      <c r="M245" s="9" t="n"/>
      <c r="N245" s="9" t="n"/>
      <c r="O245" s="9" t="n"/>
      <c r="Q245" s="9" t="n"/>
      <c r="R245" s="9" t="n"/>
      <c r="W245" s="9" t="n"/>
      <c r="X245" s="9" t="n"/>
      <c r="Z245">
        <f>IF(A245="","",IF(AND(N245&lt;&gt;"",O245&lt;&gt;"",Q245&lt;&gt;"",R245&lt;&gt;"",S245="Y"),"YES","no"))</f>
        <v/>
      </c>
      <c r="AA245" s="9">
        <f>IF(Z245="YES",MAX(N245,O245,Q245,R245),"")</f>
        <v/>
      </c>
      <c r="AB245">
        <f>IF(A245="","",IF(X245&lt;&gt;"","13 Repeat activity",IF(W245&lt;&gt;"","12 First enquiry/order/booking",IF(Z245="YES","11 ACTIVATED",IF(Q245&lt;&gt;"","10 First listing live",IF(O245&lt;&gt;"","9 Profile completed",IF(N245&lt;&gt;"","8 Approved",IF(M245&lt;&gt;"","7 KYC submitted",IF(L245&lt;&gt;"","6 Registration completed",IF(K245&lt;&gt;"","5b Registration started",IF(H245&lt;&gt;"","5a Information sent",IF(G245&lt;&gt;"","5 Interested","—"))))))))))))</f>
        <v/>
      </c>
      <c r="AC245" s="10">
        <f>IF(A245="","",(COUNT(G245,H245,K245,L245,M245,N245,O245,Q245,R245)+(I245="Y")+(P245="Y")+(S245="Y"))/12)</f>
        <v/>
      </c>
      <c r="AD245">
        <f>IF(OR(A245="",COUNT(G245:X245)=0),"",TODAY()-MAX(G245,H245,K245,L245,M245,N245,O245,Q245,R245,W245,X245))</f>
        <v/>
      </c>
      <c r="AE245">
        <f>IF(A245="","",IF(AND(Z245&lt;&gt;"YES",AD245&lt;&gt;"",AD245&gt;THRESHOLDS!$B$12),"STUCK — act today",""))</f>
        <v/>
      </c>
      <c r="AF245">
        <f>IF(A245="","",IF(J245="Active (verified)","",IF(J245="","Ask GST status (readiness R2)","Escalate to founder: orders need verified GSTIN in current code — no tax advice")))</f>
        <v/>
      </c>
      <c r="AG245">
        <f>IF(AND(G245&lt;&gt;"",L245&lt;&gt;""),L245-G245,"")</f>
        <v/>
      </c>
      <c r="AH245">
        <f>IF(AND(L245&lt;&gt;"",N245&lt;&gt;""),N245-L245,"")</f>
        <v/>
      </c>
      <c r="AI245">
        <f>IF(AND(N245&lt;&gt;"",AA245&lt;&gt;""),AA245-N245,"")</f>
        <v/>
      </c>
      <c r="AJ245">
        <f>IF(AND(L245&lt;&gt;"",N245&lt;&gt;"",Q245&lt;&gt;""),"Qualifies (if FP-QUAL adopted)","")</f>
        <v/>
      </c>
    </row>
    <row r="246">
      <c r="G246" s="9" t="n"/>
      <c r="H246" s="9" t="n"/>
      <c r="K246" s="9" t="n"/>
      <c r="L246" s="9" t="n"/>
      <c r="M246" s="9" t="n"/>
      <c r="N246" s="9" t="n"/>
      <c r="O246" s="9" t="n"/>
      <c r="Q246" s="9" t="n"/>
      <c r="R246" s="9" t="n"/>
      <c r="W246" s="9" t="n"/>
      <c r="X246" s="9" t="n"/>
      <c r="Z246">
        <f>IF(A246="","",IF(AND(N246&lt;&gt;"",O246&lt;&gt;"",Q246&lt;&gt;"",R246&lt;&gt;"",S246="Y"),"YES","no"))</f>
        <v/>
      </c>
      <c r="AA246" s="9">
        <f>IF(Z246="YES",MAX(N246,O246,Q246,R246),"")</f>
        <v/>
      </c>
      <c r="AB246">
        <f>IF(A246="","",IF(X246&lt;&gt;"","13 Repeat activity",IF(W246&lt;&gt;"","12 First enquiry/order/booking",IF(Z246="YES","11 ACTIVATED",IF(Q246&lt;&gt;"","10 First listing live",IF(O246&lt;&gt;"","9 Profile completed",IF(N246&lt;&gt;"","8 Approved",IF(M246&lt;&gt;"","7 KYC submitted",IF(L246&lt;&gt;"","6 Registration completed",IF(K246&lt;&gt;"","5b Registration started",IF(H246&lt;&gt;"","5a Information sent",IF(G246&lt;&gt;"","5 Interested","—"))))))))))))</f>
        <v/>
      </c>
      <c r="AC246" s="10">
        <f>IF(A246="","",(COUNT(G246,H246,K246,L246,M246,N246,O246,Q246,R246)+(I246="Y")+(P246="Y")+(S246="Y"))/12)</f>
        <v/>
      </c>
      <c r="AD246">
        <f>IF(OR(A246="",COUNT(G246:X246)=0),"",TODAY()-MAX(G246,H246,K246,L246,M246,N246,O246,Q246,R246,W246,X246))</f>
        <v/>
      </c>
      <c r="AE246">
        <f>IF(A246="","",IF(AND(Z246&lt;&gt;"YES",AD246&lt;&gt;"",AD246&gt;THRESHOLDS!$B$12),"STUCK — act today",""))</f>
        <v/>
      </c>
      <c r="AF246">
        <f>IF(A246="","",IF(J246="Active (verified)","",IF(J246="","Ask GST status (readiness R2)","Escalate to founder: orders need verified GSTIN in current code — no tax advice")))</f>
        <v/>
      </c>
      <c r="AG246">
        <f>IF(AND(G246&lt;&gt;"",L246&lt;&gt;""),L246-G246,"")</f>
        <v/>
      </c>
      <c r="AH246">
        <f>IF(AND(L246&lt;&gt;"",N246&lt;&gt;""),N246-L246,"")</f>
        <v/>
      </c>
      <c r="AI246">
        <f>IF(AND(N246&lt;&gt;"",AA246&lt;&gt;""),AA246-N246,"")</f>
        <v/>
      </c>
      <c r="AJ246">
        <f>IF(AND(L246&lt;&gt;"",N246&lt;&gt;"",Q246&lt;&gt;""),"Qualifies (if FP-QUAL adopted)","")</f>
        <v/>
      </c>
    </row>
    <row r="247">
      <c r="G247" s="9" t="n"/>
      <c r="H247" s="9" t="n"/>
      <c r="K247" s="9" t="n"/>
      <c r="L247" s="9" t="n"/>
      <c r="M247" s="9" t="n"/>
      <c r="N247" s="9" t="n"/>
      <c r="O247" s="9" t="n"/>
      <c r="Q247" s="9" t="n"/>
      <c r="R247" s="9" t="n"/>
      <c r="W247" s="9" t="n"/>
      <c r="X247" s="9" t="n"/>
      <c r="Z247">
        <f>IF(A247="","",IF(AND(N247&lt;&gt;"",O247&lt;&gt;"",Q247&lt;&gt;"",R247&lt;&gt;"",S247="Y"),"YES","no"))</f>
        <v/>
      </c>
      <c r="AA247" s="9">
        <f>IF(Z247="YES",MAX(N247,O247,Q247,R247),"")</f>
        <v/>
      </c>
      <c r="AB247">
        <f>IF(A247="","",IF(X247&lt;&gt;"","13 Repeat activity",IF(W247&lt;&gt;"","12 First enquiry/order/booking",IF(Z247="YES","11 ACTIVATED",IF(Q247&lt;&gt;"","10 First listing live",IF(O247&lt;&gt;"","9 Profile completed",IF(N247&lt;&gt;"","8 Approved",IF(M247&lt;&gt;"","7 KYC submitted",IF(L247&lt;&gt;"","6 Registration completed",IF(K247&lt;&gt;"","5b Registration started",IF(H247&lt;&gt;"","5a Information sent",IF(G247&lt;&gt;"","5 Interested","—"))))))))))))</f>
        <v/>
      </c>
      <c r="AC247" s="10">
        <f>IF(A247="","",(COUNT(G247,H247,K247,L247,M247,N247,O247,Q247,R247)+(I247="Y")+(P247="Y")+(S247="Y"))/12)</f>
        <v/>
      </c>
      <c r="AD247">
        <f>IF(OR(A247="",COUNT(G247:X247)=0),"",TODAY()-MAX(G247,H247,K247,L247,M247,N247,O247,Q247,R247,W247,X247))</f>
        <v/>
      </c>
      <c r="AE247">
        <f>IF(A247="","",IF(AND(Z247&lt;&gt;"YES",AD247&lt;&gt;"",AD247&gt;THRESHOLDS!$B$12),"STUCK — act today",""))</f>
        <v/>
      </c>
      <c r="AF247">
        <f>IF(A247="","",IF(J247="Active (verified)","",IF(J247="","Ask GST status (readiness R2)","Escalate to founder: orders need verified GSTIN in current code — no tax advice")))</f>
        <v/>
      </c>
      <c r="AG247">
        <f>IF(AND(G247&lt;&gt;"",L247&lt;&gt;""),L247-G247,"")</f>
        <v/>
      </c>
      <c r="AH247">
        <f>IF(AND(L247&lt;&gt;"",N247&lt;&gt;""),N247-L247,"")</f>
        <v/>
      </c>
      <c r="AI247">
        <f>IF(AND(N247&lt;&gt;"",AA247&lt;&gt;""),AA247-N247,"")</f>
        <v/>
      </c>
      <c r="AJ247">
        <f>IF(AND(L247&lt;&gt;"",N247&lt;&gt;"",Q247&lt;&gt;""),"Qualifies (if FP-QUAL adopted)","")</f>
        <v/>
      </c>
    </row>
    <row r="248">
      <c r="G248" s="9" t="n"/>
      <c r="H248" s="9" t="n"/>
      <c r="K248" s="9" t="n"/>
      <c r="L248" s="9" t="n"/>
      <c r="M248" s="9" t="n"/>
      <c r="N248" s="9" t="n"/>
      <c r="O248" s="9" t="n"/>
      <c r="Q248" s="9" t="n"/>
      <c r="R248" s="9" t="n"/>
      <c r="W248" s="9" t="n"/>
      <c r="X248" s="9" t="n"/>
      <c r="Z248">
        <f>IF(A248="","",IF(AND(N248&lt;&gt;"",O248&lt;&gt;"",Q248&lt;&gt;"",R248&lt;&gt;"",S248="Y"),"YES","no"))</f>
        <v/>
      </c>
      <c r="AA248" s="9">
        <f>IF(Z248="YES",MAX(N248,O248,Q248,R248),"")</f>
        <v/>
      </c>
      <c r="AB248">
        <f>IF(A248="","",IF(X248&lt;&gt;"","13 Repeat activity",IF(W248&lt;&gt;"","12 First enquiry/order/booking",IF(Z248="YES","11 ACTIVATED",IF(Q248&lt;&gt;"","10 First listing live",IF(O248&lt;&gt;"","9 Profile completed",IF(N248&lt;&gt;"","8 Approved",IF(M248&lt;&gt;"","7 KYC submitted",IF(L248&lt;&gt;"","6 Registration completed",IF(K248&lt;&gt;"","5b Registration started",IF(H248&lt;&gt;"","5a Information sent",IF(G248&lt;&gt;"","5 Interested","—"))))))))))))</f>
        <v/>
      </c>
      <c r="AC248" s="10">
        <f>IF(A248="","",(COUNT(G248,H248,K248,L248,M248,N248,O248,Q248,R248)+(I248="Y")+(P248="Y")+(S248="Y"))/12)</f>
        <v/>
      </c>
      <c r="AD248">
        <f>IF(OR(A248="",COUNT(G248:X248)=0),"",TODAY()-MAX(G248,H248,K248,L248,M248,N248,O248,Q248,R248,W248,X248))</f>
        <v/>
      </c>
      <c r="AE248">
        <f>IF(A248="","",IF(AND(Z248&lt;&gt;"YES",AD248&lt;&gt;"",AD248&gt;THRESHOLDS!$B$12),"STUCK — act today",""))</f>
        <v/>
      </c>
      <c r="AF248">
        <f>IF(A248="","",IF(J248="Active (verified)","",IF(J248="","Ask GST status (readiness R2)","Escalate to founder: orders need verified GSTIN in current code — no tax advice")))</f>
        <v/>
      </c>
      <c r="AG248">
        <f>IF(AND(G248&lt;&gt;"",L248&lt;&gt;""),L248-G248,"")</f>
        <v/>
      </c>
      <c r="AH248">
        <f>IF(AND(L248&lt;&gt;"",N248&lt;&gt;""),N248-L248,"")</f>
        <v/>
      </c>
      <c r="AI248">
        <f>IF(AND(N248&lt;&gt;"",AA248&lt;&gt;""),AA248-N248,"")</f>
        <v/>
      </c>
      <c r="AJ248">
        <f>IF(AND(L248&lt;&gt;"",N248&lt;&gt;"",Q248&lt;&gt;""),"Qualifies (if FP-QUAL adopted)","")</f>
        <v/>
      </c>
    </row>
    <row r="249">
      <c r="G249" s="9" t="n"/>
      <c r="H249" s="9" t="n"/>
      <c r="K249" s="9" t="n"/>
      <c r="L249" s="9" t="n"/>
      <c r="M249" s="9" t="n"/>
      <c r="N249" s="9" t="n"/>
      <c r="O249" s="9" t="n"/>
      <c r="Q249" s="9" t="n"/>
      <c r="R249" s="9" t="n"/>
      <c r="W249" s="9" t="n"/>
      <c r="X249" s="9" t="n"/>
      <c r="Z249">
        <f>IF(A249="","",IF(AND(N249&lt;&gt;"",O249&lt;&gt;"",Q249&lt;&gt;"",R249&lt;&gt;"",S249="Y"),"YES","no"))</f>
        <v/>
      </c>
      <c r="AA249" s="9">
        <f>IF(Z249="YES",MAX(N249,O249,Q249,R249),"")</f>
        <v/>
      </c>
      <c r="AB249">
        <f>IF(A249="","",IF(X249&lt;&gt;"","13 Repeat activity",IF(W249&lt;&gt;"","12 First enquiry/order/booking",IF(Z249="YES","11 ACTIVATED",IF(Q249&lt;&gt;"","10 First listing live",IF(O249&lt;&gt;"","9 Profile completed",IF(N249&lt;&gt;"","8 Approved",IF(M249&lt;&gt;"","7 KYC submitted",IF(L249&lt;&gt;"","6 Registration completed",IF(K249&lt;&gt;"","5b Registration started",IF(H249&lt;&gt;"","5a Information sent",IF(G249&lt;&gt;"","5 Interested","—"))))))))))))</f>
        <v/>
      </c>
      <c r="AC249" s="10">
        <f>IF(A249="","",(COUNT(G249,H249,K249,L249,M249,N249,O249,Q249,R249)+(I249="Y")+(P249="Y")+(S249="Y"))/12)</f>
        <v/>
      </c>
      <c r="AD249">
        <f>IF(OR(A249="",COUNT(G249:X249)=0),"",TODAY()-MAX(G249,H249,K249,L249,M249,N249,O249,Q249,R249,W249,X249))</f>
        <v/>
      </c>
      <c r="AE249">
        <f>IF(A249="","",IF(AND(Z249&lt;&gt;"YES",AD249&lt;&gt;"",AD249&gt;THRESHOLDS!$B$12),"STUCK — act today",""))</f>
        <v/>
      </c>
      <c r="AF249">
        <f>IF(A249="","",IF(J249="Active (verified)","",IF(J249="","Ask GST status (readiness R2)","Escalate to founder: orders need verified GSTIN in current code — no tax advice")))</f>
        <v/>
      </c>
      <c r="AG249">
        <f>IF(AND(G249&lt;&gt;"",L249&lt;&gt;""),L249-G249,"")</f>
        <v/>
      </c>
      <c r="AH249">
        <f>IF(AND(L249&lt;&gt;"",N249&lt;&gt;""),N249-L249,"")</f>
        <v/>
      </c>
      <c r="AI249">
        <f>IF(AND(N249&lt;&gt;"",AA249&lt;&gt;""),AA249-N249,"")</f>
        <v/>
      </c>
      <c r="AJ249">
        <f>IF(AND(L249&lt;&gt;"",N249&lt;&gt;"",Q249&lt;&gt;""),"Qualifies (if FP-QUAL adopted)","")</f>
        <v/>
      </c>
    </row>
    <row r="250">
      <c r="G250" s="9" t="n"/>
      <c r="H250" s="9" t="n"/>
      <c r="K250" s="9" t="n"/>
      <c r="L250" s="9" t="n"/>
      <c r="M250" s="9" t="n"/>
      <c r="N250" s="9" t="n"/>
      <c r="O250" s="9" t="n"/>
      <c r="Q250" s="9" t="n"/>
      <c r="R250" s="9" t="n"/>
      <c r="W250" s="9" t="n"/>
      <c r="X250" s="9" t="n"/>
      <c r="Z250">
        <f>IF(A250="","",IF(AND(N250&lt;&gt;"",O250&lt;&gt;"",Q250&lt;&gt;"",R250&lt;&gt;"",S250="Y"),"YES","no"))</f>
        <v/>
      </c>
      <c r="AA250" s="9">
        <f>IF(Z250="YES",MAX(N250,O250,Q250,R250),"")</f>
        <v/>
      </c>
      <c r="AB250">
        <f>IF(A250="","",IF(X250&lt;&gt;"","13 Repeat activity",IF(W250&lt;&gt;"","12 First enquiry/order/booking",IF(Z250="YES","11 ACTIVATED",IF(Q250&lt;&gt;"","10 First listing live",IF(O250&lt;&gt;"","9 Profile completed",IF(N250&lt;&gt;"","8 Approved",IF(M250&lt;&gt;"","7 KYC submitted",IF(L250&lt;&gt;"","6 Registration completed",IF(K250&lt;&gt;"","5b Registration started",IF(H250&lt;&gt;"","5a Information sent",IF(G250&lt;&gt;"","5 Interested","—"))))))))))))</f>
        <v/>
      </c>
      <c r="AC250" s="10">
        <f>IF(A250="","",(COUNT(G250,H250,K250,L250,M250,N250,O250,Q250,R250)+(I250="Y")+(P250="Y")+(S250="Y"))/12)</f>
        <v/>
      </c>
      <c r="AD250">
        <f>IF(OR(A250="",COUNT(G250:X250)=0),"",TODAY()-MAX(G250,H250,K250,L250,M250,N250,O250,Q250,R250,W250,X250))</f>
        <v/>
      </c>
      <c r="AE250">
        <f>IF(A250="","",IF(AND(Z250&lt;&gt;"YES",AD250&lt;&gt;"",AD250&gt;THRESHOLDS!$B$12),"STUCK — act today",""))</f>
        <v/>
      </c>
      <c r="AF250">
        <f>IF(A250="","",IF(J250="Active (verified)","",IF(J250="","Ask GST status (readiness R2)","Escalate to founder: orders need verified GSTIN in current code — no tax advice")))</f>
        <v/>
      </c>
      <c r="AG250">
        <f>IF(AND(G250&lt;&gt;"",L250&lt;&gt;""),L250-G250,"")</f>
        <v/>
      </c>
      <c r="AH250">
        <f>IF(AND(L250&lt;&gt;"",N250&lt;&gt;""),N250-L250,"")</f>
        <v/>
      </c>
      <c r="AI250">
        <f>IF(AND(N250&lt;&gt;"",AA250&lt;&gt;""),AA250-N250,"")</f>
        <v/>
      </c>
      <c r="AJ250">
        <f>IF(AND(L250&lt;&gt;"",N250&lt;&gt;"",Q250&lt;&gt;""),"Qualifies (if FP-QUAL adopted)","")</f>
        <v/>
      </c>
    </row>
    <row r="251">
      <c r="G251" s="9" t="n"/>
      <c r="H251" s="9" t="n"/>
      <c r="K251" s="9" t="n"/>
      <c r="L251" s="9" t="n"/>
      <c r="M251" s="9" t="n"/>
      <c r="N251" s="9" t="n"/>
      <c r="O251" s="9" t="n"/>
      <c r="Q251" s="9" t="n"/>
      <c r="R251" s="9" t="n"/>
      <c r="W251" s="9" t="n"/>
      <c r="X251" s="9" t="n"/>
      <c r="Z251">
        <f>IF(A251="","",IF(AND(N251&lt;&gt;"",O251&lt;&gt;"",Q251&lt;&gt;"",R251&lt;&gt;"",S251="Y"),"YES","no"))</f>
        <v/>
      </c>
      <c r="AA251" s="9">
        <f>IF(Z251="YES",MAX(N251,O251,Q251,R251),"")</f>
        <v/>
      </c>
      <c r="AB251">
        <f>IF(A251="","",IF(X251&lt;&gt;"","13 Repeat activity",IF(W251&lt;&gt;"","12 First enquiry/order/booking",IF(Z251="YES","11 ACTIVATED",IF(Q251&lt;&gt;"","10 First listing live",IF(O251&lt;&gt;"","9 Profile completed",IF(N251&lt;&gt;"","8 Approved",IF(M251&lt;&gt;"","7 KYC submitted",IF(L251&lt;&gt;"","6 Registration completed",IF(K251&lt;&gt;"","5b Registration started",IF(H251&lt;&gt;"","5a Information sent",IF(G251&lt;&gt;"","5 Interested","—"))))))))))))</f>
        <v/>
      </c>
      <c r="AC251" s="10">
        <f>IF(A251="","",(COUNT(G251,H251,K251,L251,M251,N251,O251,Q251,R251)+(I251="Y")+(P251="Y")+(S251="Y"))/12)</f>
        <v/>
      </c>
      <c r="AD251">
        <f>IF(OR(A251="",COUNT(G251:X251)=0),"",TODAY()-MAX(G251,H251,K251,L251,M251,N251,O251,Q251,R251,W251,X251))</f>
        <v/>
      </c>
      <c r="AE251">
        <f>IF(A251="","",IF(AND(Z251&lt;&gt;"YES",AD251&lt;&gt;"",AD251&gt;THRESHOLDS!$B$12),"STUCK — act today",""))</f>
        <v/>
      </c>
      <c r="AF251">
        <f>IF(A251="","",IF(J251="Active (verified)","",IF(J251="","Ask GST status (readiness R2)","Escalate to founder: orders need verified GSTIN in current code — no tax advice")))</f>
        <v/>
      </c>
      <c r="AG251">
        <f>IF(AND(G251&lt;&gt;"",L251&lt;&gt;""),L251-G251,"")</f>
        <v/>
      </c>
      <c r="AH251">
        <f>IF(AND(L251&lt;&gt;"",N251&lt;&gt;""),N251-L251,"")</f>
        <v/>
      </c>
      <c r="AI251">
        <f>IF(AND(N251&lt;&gt;"",AA251&lt;&gt;""),AA251-N251,"")</f>
        <v/>
      </c>
      <c r="AJ251">
        <f>IF(AND(L251&lt;&gt;"",N251&lt;&gt;"",Q251&lt;&gt;""),"Qualifies (if FP-QUAL adopted)","")</f>
        <v/>
      </c>
    </row>
    <row r="252">
      <c r="G252" s="9" t="n"/>
      <c r="H252" s="9" t="n"/>
      <c r="K252" s="9" t="n"/>
      <c r="L252" s="9" t="n"/>
      <c r="M252" s="9" t="n"/>
      <c r="N252" s="9" t="n"/>
      <c r="O252" s="9" t="n"/>
      <c r="Q252" s="9" t="n"/>
      <c r="R252" s="9" t="n"/>
      <c r="W252" s="9" t="n"/>
      <c r="X252" s="9" t="n"/>
      <c r="Z252">
        <f>IF(A252="","",IF(AND(N252&lt;&gt;"",O252&lt;&gt;"",Q252&lt;&gt;"",R252&lt;&gt;"",S252="Y"),"YES","no"))</f>
        <v/>
      </c>
      <c r="AA252" s="9">
        <f>IF(Z252="YES",MAX(N252,O252,Q252,R252),"")</f>
        <v/>
      </c>
      <c r="AB252">
        <f>IF(A252="","",IF(X252&lt;&gt;"","13 Repeat activity",IF(W252&lt;&gt;"","12 First enquiry/order/booking",IF(Z252="YES","11 ACTIVATED",IF(Q252&lt;&gt;"","10 First listing live",IF(O252&lt;&gt;"","9 Profile completed",IF(N252&lt;&gt;"","8 Approved",IF(M252&lt;&gt;"","7 KYC submitted",IF(L252&lt;&gt;"","6 Registration completed",IF(K252&lt;&gt;"","5b Registration started",IF(H252&lt;&gt;"","5a Information sent",IF(G252&lt;&gt;"","5 Interested","—"))))))))))))</f>
        <v/>
      </c>
      <c r="AC252" s="10">
        <f>IF(A252="","",(COUNT(G252,H252,K252,L252,M252,N252,O252,Q252,R252)+(I252="Y")+(P252="Y")+(S252="Y"))/12)</f>
        <v/>
      </c>
      <c r="AD252">
        <f>IF(OR(A252="",COUNT(G252:X252)=0),"",TODAY()-MAX(G252,H252,K252,L252,M252,N252,O252,Q252,R252,W252,X252))</f>
        <v/>
      </c>
      <c r="AE252">
        <f>IF(A252="","",IF(AND(Z252&lt;&gt;"YES",AD252&lt;&gt;"",AD252&gt;THRESHOLDS!$B$12),"STUCK — act today",""))</f>
        <v/>
      </c>
      <c r="AF252">
        <f>IF(A252="","",IF(J252="Active (verified)","",IF(J252="","Ask GST status (readiness R2)","Escalate to founder: orders need verified GSTIN in current code — no tax advice")))</f>
        <v/>
      </c>
      <c r="AG252">
        <f>IF(AND(G252&lt;&gt;"",L252&lt;&gt;""),L252-G252,"")</f>
        <v/>
      </c>
      <c r="AH252">
        <f>IF(AND(L252&lt;&gt;"",N252&lt;&gt;""),N252-L252,"")</f>
        <v/>
      </c>
      <c r="AI252">
        <f>IF(AND(N252&lt;&gt;"",AA252&lt;&gt;""),AA252-N252,"")</f>
        <v/>
      </c>
      <c r="AJ252">
        <f>IF(AND(L252&lt;&gt;"",N252&lt;&gt;"",Q252&lt;&gt;""),"Qualifies (if FP-QUAL adopted)","")</f>
        <v/>
      </c>
    </row>
    <row r="253">
      <c r="G253" s="9" t="n"/>
      <c r="H253" s="9" t="n"/>
      <c r="K253" s="9" t="n"/>
      <c r="L253" s="9" t="n"/>
      <c r="M253" s="9" t="n"/>
      <c r="N253" s="9" t="n"/>
      <c r="O253" s="9" t="n"/>
      <c r="Q253" s="9" t="n"/>
      <c r="R253" s="9" t="n"/>
      <c r="W253" s="9" t="n"/>
      <c r="X253" s="9" t="n"/>
      <c r="Z253">
        <f>IF(A253="","",IF(AND(N253&lt;&gt;"",O253&lt;&gt;"",Q253&lt;&gt;"",R253&lt;&gt;"",S253="Y"),"YES","no"))</f>
        <v/>
      </c>
      <c r="AA253" s="9">
        <f>IF(Z253="YES",MAX(N253,O253,Q253,R253),"")</f>
        <v/>
      </c>
      <c r="AB253">
        <f>IF(A253="","",IF(X253&lt;&gt;"","13 Repeat activity",IF(W253&lt;&gt;"","12 First enquiry/order/booking",IF(Z253="YES","11 ACTIVATED",IF(Q253&lt;&gt;"","10 First listing live",IF(O253&lt;&gt;"","9 Profile completed",IF(N253&lt;&gt;"","8 Approved",IF(M253&lt;&gt;"","7 KYC submitted",IF(L253&lt;&gt;"","6 Registration completed",IF(K253&lt;&gt;"","5b Registration started",IF(H253&lt;&gt;"","5a Information sent",IF(G253&lt;&gt;"","5 Interested","—"))))))))))))</f>
        <v/>
      </c>
      <c r="AC253" s="10">
        <f>IF(A253="","",(COUNT(G253,H253,K253,L253,M253,N253,O253,Q253,R253)+(I253="Y")+(P253="Y")+(S253="Y"))/12)</f>
        <v/>
      </c>
      <c r="AD253">
        <f>IF(OR(A253="",COUNT(G253:X253)=0),"",TODAY()-MAX(G253,H253,K253,L253,M253,N253,O253,Q253,R253,W253,X253))</f>
        <v/>
      </c>
      <c r="AE253">
        <f>IF(A253="","",IF(AND(Z253&lt;&gt;"YES",AD253&lt;&gt;"",AD253&gt;THRESHOLDS!$B$12),"STUCK — act today",""))</f>
        <v/>
      </c>
      <c r="AF253">
        <f>IF(A253="","",IF(J253="Active (verified)","",IF(J253="","Ask GST status (readiness R2)","Escalate to founder: orders need verified GSTIN in current code — no tax advice")))</f>
        <v/>
      </c>
      <c r="AG253">
        <f>IF(AND(G253&lt;&gt;"",L253&lt;&gt;""),L253-G253,"")</f>
        <v/>
      </c>
      <c r="AH253">
        <f>IF(AND(L253&lt;&gt;"",N253&lt;&gt;""),N253-L253,"")</f>
        <v/>
      </c>
      <c r="AI253">
        <f>IF(AND(N253&lt;&gt;"",AA253&lt;&gt;""),AA253-N253,"")</f>
        <v/>
      </c>
      <c r="AJ253">
        <f>IF(AND(L253&lt;&gt;"",N253&lt;&gt;"",Q253&lt;&gt;""),"Qualifies (if FP-QUAL adopted)","")</f>
        <v/>
      </c>
    </row>
    <row r="254">
      <c r="G254" s="9" t="n"/>
      <c r="H254" s="9" t="n"/>
      <c r="K254" s="9" t="n"/>
      <c r="L254" s="9" t="n"/>
      <c r="M254" s="9" t="n"/>
      <c r="N254" s="9" t="n"/>
      <c r="O254" s="9" t="n"/>
      <c r="Q254" s="9" t="n"/>
      <c r="R254" s="9" t="n"/>
      <c r="W254" s="9" t="n"/>
      <c r="X254" s="9" t="n"/>
      <c r="Z254">
        <f>IF(A254="","",IF(AND(N254&lt;&gt;"",O254&lt;&gt;"",Q254&lt;&gt;"",R254&lt;&gt;"",S254="Y"),"YES","no"))</f>
        <v/>
      </c>
      <c r="AA254" s="9">
        <f>IF(Z254="YES",MAX(N254,O254,Q254,R254),"")</f>
        <v/>
      </c>
      <c r="AB254">
        <f>IF(A254="","",IF(X254&lt;&gt;"","13 Repeat activity",IF(W254&lt;&gt;"","12 First enquiry/order/booking",IF(Z254="YES","11 ACTIVATED",IF(Q254&lt;&gt;"","10 First listing live",IF(O254&lt;&gt;"","9 Profile completed",IF(N254&lt;&gt;"","8 Approved",IF(M254&lt;&gt;"","7 KYC submitted",IF(L254&lt;&gt;"","6 Registration completed",IF(K254&lt;&gt;"","5b Registration started",IF(H254&lt;&gt;"","5a Information sent",IF(G254&lt;&gt;"","5 Interested","—"))))))))))))</f>
        <v/>
      </c>
      <c r="AC254" s="10">
        <f>IF(A254="","",(COUNT(G254,H254,K254,L254,M254,N254,O254,Q254,R254)+(I254="Y")+(P254="Y")+(S254="Y"))/12)</f>
        <v/>
      </c>
      <c r="AD254">
        <f>IF(OR(A254="",COUNT(G254:X254)=0),"",TODAY()-MAX(G254,H254,K254,L254,M254,N254,O254,Q254,R254,W254,X254))</f>
        <v/>
      </c>
      <c r="AE254">
        <f>IF(A254="","",IF(AND(Z254&lt;&gt;"YES",AD254&lt;&gt;"",AD254&gt;THRESHOLDS!$B$12),"STUCK — act today",""))</f>
        <v/>
      </c>
      <c r="AF254">
        <f>IF(A254="","",IF(J254="Active (verified)","",IF(J254="","Ask GST status (readiness R2)","Escalate to founder: orders need verified GSTIN in current code — no tax advice")))</f>
        <v/>
      </c>
      <c r="AG254">
        <f>IF(AND(G254&lt;&gt;"",L254&lt;&gt;""),L254-G254,"")</f>
        <v/>
      </c>
      <c r="AH254">
        <f>IF(AND(L254&lt;&gt;"",N254&lt;&gt;""),N254-L254,"")</f>
        <v/>
      </c>
      <c r="AI254">
        <f>IF(AND(N254&lt;&gt;"",AA254&lt;&gt;""),AA254-N254,"")</f>
        <v/>
      </c>
      <c r="AJ254">
        <f>IF(AND(L254&lt;&gt;"",N254&lt;&gt;"",Q254&lt;&gt;""),"Qualifies (if FP-QUAL adopted)","")</f>
        <v/>
      </c>
    </row>
    <row r="255">
      <c r="G255" s="9" t="n"/>
      <c r="H255" s="9" t="n"/>
      <c r="K255" s="9" t="n"/>
      <c r="L255" s="9" t="n"/>
      <c r="M255" s="9" t="n"/>
      <c r="N255" s="9" t="n"/>
      <c r="O255" s="9" t="n"/>
      <c r="Q255" s="9" t="n"/>
      <c r="R255" s="9" t="n"/>
      <c r="W255" s="9" t="n"/>
      <c r="X255" s="9" t="n"/>
      <c r="Z255">
        <f>IF(A255="","",IF(AND(N255&lt;&gt;"",O255&lt;&gt;"",Q255&lt;&gt;"",R255&lt;&gt;"",S255="Y"),"YES","no"))</f>
        <v/>
      </c>
      <c r="AA255" s="9">
        <f>IF(Z255="YES",MAX(N255,O255,Q255,R255),"")</f>
        <v/>
      </c>
      <c r="AB255">
        <f>IF(A255="","",IF(X255&lt;&gt;"","13 Repeat activity",IF(W255&lt;&gt;"","12 First enquiry/order/booking",IF(Z255="YES","11 ACTIVATED",IF(Q255&lt;&gt;"","10 First listing live",IF(O255&lt;&gt;"","9 Profile completed",IF(N255&lt;&gt;"","8 Approved",IF(M255&lt;&gt;"","7 KYC submitted",IF(L255&lt;&gt;"","6 Registration completed",IF(K255&lt;&gt;"","5b Registration started",IF(H255&lt;&gt;"","5a Information sent",IF(G255&lt;&gt;"","5 Interested","—"))))))))))))</f>
        <v/>
      </c>
      <c r="AC255" s="10">
        <f>IF(A255="","",(COUNT(G255,H255,K255,L255,M255,N255,O255,Q255,R255)+(I255="Y")+(P255="Y")+(S255="Y"))/12)</f>
        <v/>
      </c>
      <c r="AD255">
        <f>IF(OR(A255="",COUNT(G255:X255)=0),"",TODAY()-MAX(G255,H255,K255,L255,M255,N255,O255,Q255,R255,W255,X255))</f>
        <v/>
      </c>
      <c r="AE255">
        <f>IF(A255="","",IF(AND(Z255&lt;&gt;"YES",AD255&lt;&gt;"",AD255&gt;THRESHOLDS!$B$12),"STUCK — act today",""))</f>
        <v/>
      </c>
      <c r="AF255">
        <f>IF(A255="","",IF(J255="Active (verified)","",IF(J255="","Ask GST status (readiness R2)","Escalate to founder: orders need verified GSTIN in current code — no tax advice")))</f>
        <v/>
      </c>
      <c r="AG255">
        <f>IF(AND(G255&lt;&gt;"",L255&lt;&gt;""),L255-G255,"")</f>
        <v/>
      </c>
      <c r="AH255">
        <f>IF(AND(L255&lt;&gt;"",N255&lt;&gt;""),N255-L255,"")</f>
        <v/>
      </c>
      <c r="AI255">
        <f>IF(AND(N255&lt;&gt;"",AA255&lt;&gt;""),AA255-N255,"")</f>
        <v/>
      </c>
      <c r="AJ255">
        <f>IF(AND(L255&lt;&gt;"",N255&lt;&gt;"",Q255&lt;&gt;""),"Qualifies (if FP-QUAL adopted)","")</f>
        <v/>
      </c>
    </row>
    <row r="256">
      <c r="G256" s="9" t="n"/>
      <c r="H256" s="9" t="n"/>
      <c r="K256" s="9" t="n"/>
      <c r="L256" s="9" t="n"/>
      <c r="M256" s="9" t="n"/>
      <c r="N256" s="9" t="n"/>
      <c r="O256" s="9" t="n"/>
      <c r="Q256" s="9" t="n"/>
      <c r="R256" s="9" t="n"/>
      <c r="W256" s="9" t="n"/>
      <c r="X256" s="9" t="n"/>
      <c r="Z256">
        <f>IF(A256="","",IF(AND(N256&lt;&gt;"",O256&lt;&gt;"",Q256&lt;&gt;"",R256&lt;&gt;"",S256="Y"),"YES","no"))</f>
        <v/>
      </c>
      <c r="AA256" s="9">
        <f>IF(Z256="YES",MAX(N256,O256,Q256,R256),"")</f>
        <v/>
      </c>
      <c r="AB256">
        <f>IF(A256="","",IF(X256&lt;&gt;"","13 Repeat activity",IF(W256&lt;&gt;"","12 First enquiry/order/booking",IF(Z256="YES","11 ACTIVATED",IF(Q256&lt;&gt;"","10 First listing live",IF(O256&lt;&gt;"","9 Profile completed",IF(N256&lt;&gt;"","8 Approved",IF(M256&lt;&gt;"","7 KYC submitted",IF(L256&lt;&gt;"","6 Registration completed",IF(K256&lt;&gt;"","5b Registration started",IF(H256&lt;&gt;"","5a Information sent",IF(G256&lt;&gt;"","5 Interested","—"))))))))))))</f>
        <v/>
      </c>
      <c r="AC256" s="10">
        <f>IF(A256="","",(COUNT(G256,H256,K256,L256,M256,N256,O256,Q256,R256)+(I256="Y")+(P256="Y")+(S256="Y"))/12)</f>
        <v/>
      </c>
      <c r="AD256">
        <f>IF(OR(A256="",COUNT(G256:X256)=0),"",TODAY()-MAX(G256,H256,K256,L256,M256,N256,O256,Q256,R256,W256,X256))</f>
        <v/>
      </c>
      <c r="AE256">
        <f>IF(A256="","",IF(AND(Z256&lt;&gt;"YES",AD256&lt;&gt;"",AD256&gt;THRESHOLDS!$B$12),"STUCK — act today",""))</f>
        <v/>
      </c>
      <c r="AF256">
        <f>IF(A256="","",IF(J256="Active (verified)","",IF(J256="","Ask GST status (readiness R2)","Escalate to founder: orders need verified GSTIN in current code — no tax advice")))</f>
        <v/>
      </c>
      <c r="AG256">
        <f>IF(AND(G256&lt;&gt;"",L256&lt;&gt;""),L256-G256,"")</f>
        <v/>
      </c>
      <c r="AH256">
        <f>IF(AND(L256&lt;&gt;"",N256&lt;&gt;""),N256-L256,"")</f>
        <v/>
      </c>
      <c r="AI256">
        <f>IF(AND(N256&lt;&gt;"",AA256&lt;&gt;""),AA256-N256,"")</f>
        <v/>
      </c>
      <c r="AJ256">
        <f>IF(AND(L256&lt;&gt;"",N256&lt;&gt;"",Q256&lt;&gt;""),"Qualifies (if FP-QUAL adopted)","")</f>
        <v/>
      </c>
    </row>
    <row r="257">
      <c r="G257" s="9" t="n"/>
      <c r="H257" s="9" t="n"/>
      <c r="K257" s="9" t="n"/>
      <c r="L257" s="9" t="n"/>
      <c r="M257" s="9" t="n"/>
      <c r="N257" s="9" t="n"/>
      <c r="O257" s="9" t="n"/>
      <c r="Q257" s="9" t="n"/>
      <c r="R257" s="9" t="n"/>
      <c r="W257" s="9" t="n"/>
      <c r="X257" s="9" t="n"/>
      <c r="Z257">
        <f>IF(A257="","",IF(AND(N257&lt;&gt;"",O257&lt;&gt;"",Q257&lt;&gt;"",R257&lt;&gt;"",S257="Y"),"YES","no"))</f>
        <v/>
      </c>
      <c r="AA257" s="9">
        <f>IF(Z257="YES",MAX(N257,O257,Q257,R257),"")</f>
        <v/>
      </c>
      <c r="AB257">
        <f>IF(A257="","",IF(X257&lt;&gt;"","13 Repeat activity",IF(W257&lt;&gt;"","12 First enquiry/order/booking",IF(Z257="YES","11 ACTIVATED",IF(Q257&lt;&gt;"","10 First listing live",IF(O257&lt;&gt;"","9 Profile completed",IF(N257&lt;&gt;"","8 Approved",IF(M257&lt;&gt;"","7 KYC submitted",IF(L257&lt;&gt;"","6 Registration completed",IF(K257&lt;&gt;"","5b Registration started",IF(H257&lt;&gt;"","5a Information sent",IF(G257&lt;&gt;"","5 Interested","—"))))))))))))</f>
        <v/>
      </c>
      <c r="AC257" s="10">
        <f>IF(A257="","",(COUNT(G257,H257,K257,L257,M257,N257,O257,Q257,R257)+(I257="Y")+(P257="Y")+(S257="Y"))/12)</f>
        <v/>
      </c>
      <c r="AD257">
        <f>IF(OR(A257="",COUNT(G257:X257)=0),"",TODAY()-MAX(G257,H257,K257,L257,M257,N257,O257,Q257,R257,W257,X257))</f>
        <v/>
      </c>
      <c r="AE257">
        <f>IF(A257="","",IF(AND(Z257&lt;&gt;"YES",AD257&lt;&gt;"",AD257&gt;THRESHOLDS!$B$12),"STUCK — act today",""))</f>
        <v/>
      </c>
      <c r="AF257">
        <f>IF(A257="","",IF(J257="Active (verified)","",IF(J257="","Ask GST status (readiness R2)","Escalate to founder: orders need verified GSTIN in current code — no tax advice")))</f>
        <v/>
      </c>
      <c r="AG257">
        <f>IF(AND(G257&lt;&gt;"",L257&lt;&gt;""),L257-G257,"")</f>
        <v/>
      </c>
      <c r="AH257">
        <f>IF(AND(L257&lt;&gt;"",N257&lt;&gt;""),N257-L257,"")</f>
        <v/>
      </c>
      <c r="AI257">
        <f>IF(AND(N257&lt;&gt;"",AA257&lt;&gt;""),AA257-N257,"")</f>
        <v/>
      </c>
      <c r="AJ257">
        <f>IF(AND(L257&lt;&gt;"",N257&lt;&gt;"",Q257&lt;&gt;""),"Qualifies (if FP-QUAL adopted)","")</f>
        <v/>
      </c>
    </row>
    <row r="258">
      <c r="G258" s="9" t="n"/>
      <c r="H258" s="9" t="n"/>
      <c r="K258" s="9" t="n"/>
      <c r="L258" s="9" t="n"/>
      <c r="M258" s="9" t="n"/>
      <c r="N258" s="9" t="n"/>
      <c r="O258" s="9" t="n"/>
      <c r="Q258" s="9" t="n"/>
      <c r="R258" s="9" t="n"/>
      <c r="W258" s="9" t="n"/>
      <c r="X258" s="9" t="n"/>
      <c r="Z258">
        <f>IF(A258="","",IF(AND(N258&lt;&gt;"",O258&lt;&gt;"",Q258&lt;&gt;"",R258&lt;&gt;"",S258="Y"),"YES","no"))</f>
        <v/>
      </c>
      <c r="AA258" s="9">
        <f>IF(Z258="YES",MAX(N258,O258,Q258,R258),"")</f>
        <v/>
      </c>
      <c r="AB258">
        <f>IF(A258="","",IF(X258&lt;&gt;"","13 Repeat activity",IF(W258&lt;&gt;"","12 First enquiry/order/booking",IF(Z258="YES","11 ACTIVATED",IF(Q258&lt;&gt;"","10 First listing live",IF(O258&lt;&gt;"","9 Profile completed",IF(N258&lt;&gt;"","8 Approved",IF(M258&lt;&gt;"","7 KYC submitted",IF(L258&lt;&gt;"","6 Registration completed",IF(K258&lt;&gt;"","5b Registration started",IF(H258&lt;&gt;"","5a Information sent",IF(G258&lt;&gt;"","5 Interested","—"))))))))))))</f>
        <v/>
      </c>
      <c r="AC258" s="10">
        <f>IF(A258="","",(COUNT(G258,H258,K258,L258,M258,N258,O258,Q258,R258)+(I258="Y")+(P258="Y")+(S258="Y"))/12)</f>
        <v/>
      </c>
      <c r="AD258">
        <f>IF(OR(A258="",COUNT(G258:X258)=0),"",TODAY()-MAX(G258,H258,K258,L258,M258,N258,O258,Q258,R258,W258,X258))</f>
        <v/>
      </c>
      <c r="AE258">
        <f>IF(A258="","",IF(AND(Z258&lt;&gt;"YES",AD258&lt;&gt;"",AD258&gt;THRESHOLDS!$B$12),"STUCK — act today",""))</f>
        <v/>
      </c>
      <c r="AF258">
        <f>IF(A258="","",IF(J258="Active (verified)","",IF(J258="","Ask GST status (readiness R2)","Escalate to founder: orders need verified GSTIN in current code — no tax advice")))</f>
        <v/>
      </c>
      <c r="AG258">
        <f>IF(AND(G258&lt;&gt;"",L258&lt;&gt;""),L258-G258,"")</f>
        <v/>
      </c>
      <c r="AH258">
        <f>IF(AND(L258&lt;&gt;"",N258&lt;&gt;""),N258-L258,"")</f>
        <v/>
      </c>
      <c r="AI258">
        <f>IF(AND(N258&lt;&gt;"",AA258&lt;&gt;""),AA258-N258,"")</f>
        <v/>
      </c>
      <c r="AJ258">
        <f>IF(AND(L258&lt;&gt;"",N258&lt;&gt;"",Q258&lt;&gt;""),"Qualifies (if FP-QUAL adopted)","")</f>
        <v/>
      </c>
    </row>
    <row r="259">
      <c r="G259" s="9" t="n"/>
      <c r="H259" s="9" t="n"/>
      <c r="K259" s="9" t="n"/>
      <c r="L259" s="9" t="n"/>
      <c r="M259" s="9" t="n"/>
      <c r="N259" s="9" t="n"/>
      <c r="O259" s="9" t="n"/>
      <c r="Q259" s="9" t="n"/>
      <c r="R259" s="9" t="n"/>
      <c r="W259" s="9" t="n"/>
      <c r="X259" s="9" t="n"/>
      <c r="Z259">
        <f>IF(A259="","",IF(AND(N259&lt;&gt;"",O259&lt;&gt;"",Q259&lt;&gt;"",R259&lt;&gt;"",S259="Y"),"YES","no"))</f>
        <v/>
      </c>
      <c r="AA259" s="9">
        <f>IF(Z259="YES",MAX(N259,O259,Q259,R259),"")</f>
        <v/>
      </c>
      <c r="AB259">
        <f>IF(A259="","",IF(X259&lt;&gt;"","13 Repeat activity",IF(W259&lt;&gt;"","12 First enquiry/order/booking",IF(Z259="YES","11 ACTIVATED",IF(Q259&lt;&gt;"","10 First listing live",IF(O259&lt;&gt;"","9 Profile completed",IF(N259&lt;&gt;"","8 Approved",IF(M259&lt;&gt;"","7 KYC submitted",IF(L259&lt;&gt;"","6 Registration completed",IF(K259&lt;&gt;"","5b Registration started",IF(H259&lt;&gt;"","5a Information sent",IF(G259&lt;&gt;"","5 Interested","—"))))))))))))</f>
        <v/>
      </c>
      <c r="AC259" s="10">
        <f>IF(A259="","",(COUNT(G259,H259,K259,L259,M259,N259,O259,Q259,R259)+(I259="Y")+(P259="Y")+(S259="Y"))/12)</f>
        <v/>
      </c>
      <c r="AD259">
        <f>IF(OR(A259="",COUNT(G259:X259)=0),"",TODAY()-MAX(G259,H259,K259,L259,M259,N259,O259,Q259,R259,W259,X259))</f>
        <v/>
      </c>
      <c r="AE259">
        <f>IF(A259="","",IF(AND(Z259&lt;&gt;"YES",AD259&lt;&gt;"",AD259&gt;THRESHOLDS!$B$12),"STUCK — act today",""))</f>
        <v/>
      </c>
      <c r="AF259">
        <f>IF(A259="","",IF(J259="Active (verified)","",IF(J259="","Ask GST status (readiness R2)","Escalate to founder: orders need verified GSTIN in current code — no tax advice")))</f>
        <v/>
      </c>
      <c r="AG259">
        <f>IF(AND(G259&lt;&gt;"",L259&lt;&gt;""),L259-G259,"")</f>
        <v/>
      </c>
      <c r="AH259">
        <f>IF(AND(L259&lt;&gt;"",N259&lt;&gt;""),N259-L259,"")</f>
        <v/>
      </c>
      <c r="AI259">
        <f>IF(AND(N259&lt;&gt;"",AA259&lt;&gt;""),AA259-N259,"")</f>
        <v/>
      </c>
      <c r="AJ259">
        <f>IF(AND(L259&lt;&gt;"",N259&lt;&gt;"",Q259&lt;&gt;""),"Qualifies (if FP-QUAL adopted)","")</f>
        <v/>
      </c>
    </row>
    <row r="260">
      <c r="G260" s="9" t="n"/>
      <c r="H260" s="9" t="n"/>
      <c r="K260" s="9" t="n"/>
      <c r="L260" s="9" t="n"/>
      <c r="M260" s="9" t="n"/>
      <c r="N260" s="9" t="n"/>
      <c r="O260" s="9" t="n"/>
      <c r="Q260" s="9" t="n"/>
      <c r="R260" s="9" t="n"/>
      <c r="W260" s="9" t="n"/>
      <c r="X260" s="9" t="n"/>
      <c r="Z260">
        <f>IF(A260="","",IF(AND(N260&lt;&gt;"",O260&lt;&gt;"",Q260&lt;&gt;"",R260&lt;&gt;"",S260="Y"),"YES","no"))</f>
        <v/>
      </c>
      <c r="AA260" s="9">
        <f>IF(Z260="YES",MAX(N260,O260,Q260,R260),"")</f>
        <v/>
      </c>
      <c r="AB260">
        <f>IF(A260="","",IF(X260&lt;&gt;"","13 Repeat activity",IF(W260&lt;&gt;"","12 First enquiry/order/booking",IF(Z260="YES","11 ACTIVATED",IF(Q260&lt;&gt;"","10 First listing live",IF(O260&lt;&gt;"","9 Profile completed",IF(N260&lt;&gt;"","8 Approved",IF(M260&lt;&gt;"","7 KYC submitted",IF(L260&lt;&gt;"","6 Registration completed",IF(K260&lt;&gt;"","5b Registration started",IF(H260&lt;&gt;"","5a Information sent",IF(G260&lt;&gt;"","5 Interested","—"))))))))))))</f>
        <v/>
      </c>
      <c r="AC260" s="10">
        <f>IF(A260="","",(COUNT(G260,H260,K260,L260,M260,N260,O260,Q260,R260)+(I260="Y")+(P260="Y")+(S260="Y"))/12)</f>
        <v/>
      </c>
      <c r="AD260">
        <f>IF(OR(A260="",COUNT(G260:X260)=0),"",TODAY()-MAX(G260,H260,K260,L260,M260,N260,O260,Q260,R260,W260,X260))</f>
        <v/>
      </c>
      <c r="AE260">
        <f>IF(A260="","",IF(AND(Z260&lt;&gt;"YES",AD260&lt;&gt;"",AD260&gt;THRESHOLDS!$B$12),"STUCK — act today",""))</f>
        <v/>
      </c>
      <c r="AF260">
        <f>IF(A260="","",IF(J260="Active (verified)","",IF(J260="","Ask GST status (readiness R2)","Escalate to founder: orders need verified GSTIN in current code — no tax advice")))</f>
        <v/>
      </c>
      <c r="AG260">
        <f>IF(AND(G260&lt;&gt;"",L260&lt;&gt;""),L260-G260,"")</f>
        <v/>
      </c>
      <c r="AH260">
        <f>IF(AND(L260&lt;&gt;"",N260&lt;&gt;""),N260-L260,"")</f>
        <v/>
      </c>
      <c r="AI260">
        <f>IF(AND(N260&lt;&gt;"",AA260&lt;&gt;""),AA260-N260,"")</f>
        <v/>
      </c>
      <c r="AJ260">
        <f>IF(AND(L260&lt;&gt;"",N260&lt;&gt;"",Q260&lt;&gt;""),"Qualifies (if FP-QUAL adopted)","")</f>
        <v/>
      </c>
    </row>
    <row r="261">
      <c r="G261" s="9" t="n"/>
      <c r="H261" s="9" t="n"/>
      <c r="K261" s="9" t="n"/>
      <c r="L261" s="9" t="n"/>
      <c r="M261" s="9" t="n"/>
      <c r="N261" s="9" t="n"/>
      <c r="O261" s="9" t="n"/>
      <c r="Q261" s="9" t="n"/>
      <c r="R261" s="9" t="n"/>
      <c r="W261" s="9" t="n"/>
      <c r="X261" s="9" t="n"/>
      <c r="Z261">
        <f>IF(A261="","",IF(AND(N261&lt;&gt;"",O261&lt;&gt;"",Q261&lt;&gt;"",R261&lt;&gt;"",S261="Y"),"YES","no"))</f>
        <v/>
      </c>
      <c r="AA261" s="9">
        <f>IF(Z261="YES",MAX(N261,O261,Q261,R261),"")</f>
        <v/>
      </c>
      <c r="AB261">
        <f>IF(A261="","",IF(X261&lt;&gt;"","13 Repeat activity",IF(W261&lt;&gt;"","12 First enquiry/order/booking",IF(Z261="YES","11 ACTIVATED",IF(Q261&lt;&gt;"","10 First listing live",IF(O261&lt;&gt;"","9 Profile completed",IF(N261&lt;&gt;"","8 Approved",IF(M261&lt;&gt;"","7 KYC submitted",IF(L261&lt;&gt;"","6 Registration completed",IF(K261&lt;&gt;"","5b Registration started",IF(H261&lt;&gt;"","5a Information sent",IF(G261&lt;&gt;"","5 Interested","—"))))))))))))</f>
        <v/>
      </c>
      <c r="AC261" s="10">
        <f>IF(A261="","",(COUNT(G261,H261,K261,L261,M261,N261,O261,Q261,R261)+(I261="Y")+(P261="Y")+(S261="Y"))/12)</f>
        <v/>
      </c>
      <c r="AD261">
        <f>IF(OR(A261="",COUNT(G261:X261)=0),"",TODAY()-MAX(G261,H261,K261,L261,M261,N261,O261,Q261,R261,W261,X261))</f>
        <v/>
      </c>
      <c r="AE261">
        <f>IF(A261="","",IF(AND(Z261&lt;&gt;"YES",AD261&lt;&gt;"",AD261&gt;THRESHOLDS!$B$12),"STUCK — act today",""))</f>
        <v/>
      </c>
      <c r="AF261">
        <f>IF(A261="","",IF(J261="Active (verified)","",IF(J261="","Ask GST status (readiness R2)","Escalate to founder: orders need verified GSTIN in current code — no tax advice")))</f>
        <v/>
      </c>
      <c r="AG261">
        <f>IF(AND(G261&lt;&gt;"",L261&lt;&gt;""),L261-G261,"")</f>
        <v/>
      </c>
      <c r="AH261">
        <f>IF(AND(L261&lt;&gt;"",N261&lt;&gt;""),N261-L261,"")</f>
        <v/>
      </c>
      <c r="AI261">
        <f>IF(AND(N261&lt;&gt;"",AA261&lt;&gt;""),AA261-N261,"")</f>
        <v/>
      </c>
      <c r="AJ261">
        <f>IF(AND(L261&lt;&gt;"",N261&lt;&gt;"",Q261&lt;&gt;""),"Qualifies (if FP-QUAL adopted)","")</f>
        <v/>
      </c>
    </row>
    <row r="262">
      <c r="G262" s="9" t="n"/>
      <c r="H262" s="9" t="n"/>
      <c r="K262" s="9" t="n"/>
      <c r="L262" s="9" t="n"/>
      <c r="M262" s="9" t="n"/>
      <c r="N262" s="9" t="n"/>
      <c r="O262" s="9" t="n"/>
      <c r="Q262" s="9" t="n"/>
      <c r="R262" s="9" t="n"/>
      <c r="W262" s="9" t="n"/>
      <c r="X262" s="9" t="n"/>
      <c r="Z262">
        <f>IF(A262="","",IF(AND(N262&lt;&gt;"",O262&lt;&gt;"",Q262&lt;&gt;"",R262&lt;&gt;"",S262="Y"),"YES","no"))</f>
        <v/>
      </c>
      <c r="AA262" s="9">
        <f>IF(Z262="YES",MAX(N262,O262,Q262,R262),"")</f>
        <v/>
      </c>
      <c r="AB262">
        <f>IF(A262="","",IF(X262&lt;&gt;"","13 Repeat activity",IF(W262&lt;&gt;"","12 First enquiry/order/booking",IF(Z262="YES","11 ACTIVATED",IF(Q262&lt;&gt;"","10 First listing live",IF(O262&lt;&gt;"","9 Profile completed",IF(N262&lt;&gt;"","8 Approved",IF(M262&lt;&gt;"","7 KYC submitted",IF(L262&lt;&gt;"","6 Registration completed",IF(K262&lt;&gt;"","5b Registration started",IF(H262&lt;&gt;"","5a Information sent",IF(G262&lt;&gt;"","5 Interested","—"))))))))))))</f>
        <v/>
      </c>
      <c r="AC262" s="10">
        <f>IF(A262="","",(COUNT(G262,H262,K262,L262,M262,N262,O262,Q262,R262)+(I262="Y")+(P262="Y")+(S262="Y"))/12)</f>
        <v/>
      </c>
      <c r="AD262">
        <f>IF(OR(A262="",COUNT(G262:X262)=0),"",TODAY()-MAX(G262,H262,K262,L262,M262,N262,O262,Q262,R262,W262,X262))</f>
        <v/>
      </c>
      <c r="AE262">
        <f>IF(A262="","",IF(AND(Z262&lt;&gt;"YES",AD262&lt;&gt;"",AD262&gt;THRESHOLDS!$B$12),"STUCK — act today",""))</f>
        <v/>
      </c>
      <c r="AF262">
        <f>IF(A262="","",IF(J262="Active (verified)","",IF(J262="","Ask GST status (readiness R2)","Escalate to founder: orders need verified GSTIN in current code — no tax advice")))</f>
        <v/>
      </c>
      <c r="AG262">
        <f>IF(AND(G262&lt;&gt;"",L262&lt;&gt;""),L262-G262,"")</f>
        <v/>
      </c>
      <c r="AH262">
        <f>IF(AND(L262&lt;&gt;"",N262&lt;&gt;""),N262-L262,"")</f>
        <v/>
      </c>
      <c r="AI262">
        <f>IF(AND(N262&lt;&gt;"",AA262&lt;&gt;""),AA262-N262,"")</f>
        <v/>
      </c>
      <c r="AJ262">
        <f>IF(AND(L262&lt;&gt;"",N262&lt;&gt;"",Q262&lt;&gt;""),"Qualifies (if FP-QUAL adopted)","")</f>
        <v/>
      </c>
    </row>
    <row r="263">
      <c r="G263" s="9" t="n"/>
      <c r="H263" s="9" t="n"/>
      <c r="K263" s="9" t="n"/>
      <c r="L263" s="9" t="n"/>
      <c r="M263" s="9" t="n"/>
      <c r="N263" s="9" t="n"/>
      <c r="O263" s="9" t="n"/>
      <c r="Q263" s="9" t="n"/>
      <c r="R263" s="9" t="n"/>
      <c r="W263" s="9" t="n"/>
      <c r="X263" s="9" t="n"/>
      <c r="Z263">
        <f>IF(A263="","",IF(AND(N263&lt;&gt;"",O263&lt;&gt;"",Q263&lt;&gt;"",R263&lt;&gt;"",S263="Y"),"YES","no"))</f>
        <v/>
      </c>
      <c r="AA263" s="9">
        <f>IF(Z263="YES",MAX(N263,O263,Q263,R263),"")</f>
        <v/>
      </c>
      <c r="AB263">
        <f>IF(A263="","",IF(X263&lt;&gt;"","13 Repeat activity",IF(W263&lt;&gt;"","12 First enquiry/order/booking",IF(Z263="YES","11 ACTIVATED",IF(Q263&lt;&gt;"","10 First listing live",IF(O263&lt;&gt;"","9 Profile completed",IF(N263&lt;&gt;"","8 Approved",IF(M263&lt;&gt;"","7 KYC submitted",IF(L263&lt;&gt;"","6 Registration completed",IF(K263&lt;&gt;"","5b Registration started",IF(H263&lt;&gt;"","5a Information sent",IF(G263&lt;&gt;"","5 Interested","—"))))))))))))</f>
        <v/>
      </c>
      <c r="AC263" s="10">
        <f>IF(A263="","",(COUNT(G263,H263,K263,L263,M263,N263,O263,Q263,R263)+(I263="Y")+(P263="Y")+(S263="Y"))/12)</f>
        <v/>
      </c>
      <c r="AD263">
        <f>IF(OR(A263="",COUNT(G263:X263)=0),"",TODAY()-MAX(G263,H263,K263,L263,M263,N263,O263,Q263,R263,W263,X263))</f>
        <v/>
      </c>
      <c r="AE263">
        <f>IF(A263="","",IF(AND(Z263&lt;&gt;"YES",AD263&lt;&gt;"",AD263&gt;THRESHOLDS!$B$12),"STUCK — act today",""))</f>
        <v/>
      </c>
      <c r="AF263">
        <f>IF(A263="","",IF(J263="Active (verified)","",IF(J263="","Ask GST status (readiness R2)","Escalate to founder: orders need verified GSTIN in current code — no tax advice")))</f>
        <v/>
      </c>
      <c r="AG263">
        <f>IF(AND(G263&lt;&gt;"",L263&lt;&gt;""),L263-G263,"")</f>
        <v/>
      </c>
      <c r="AH263">
        <f>IF(AND(L263&lt;&gt;"",N263&lt;&gt;""),N263-L263,"")</f>
        <v/>
      </c>
      <c r="AI263">
        <f>IF(AND(N263&lt;&gt;"",AA263&lt;&gt;""),AA263-N263,"")</f>
        <v/>
      </c>
      <c r="AJ263">
        <f>IF(AND(L263&lt;&gt;"",N263&lt;&gt;"",Q263&lt;&gt;""),"Qualifies (if FP-QUAL adopted)","")</f>
        <v/>
      </c>
    </row>
    <row r="264">
      <c r="G264" s="9" t="n"/>
      <c r="H264" s="9" t="n"/>
      <c r="K264" s="9" t="n"/>
      <c r="L264" s="9" t="n"/>
      <c r="M264" s="9" t="n"/>
      <c r="N264" s="9" t="n"/>
      <c r="O264" s="9" t="n"/>
      <c r="Q264" s="9" t="n"/>
      <c r="R264" s="9" t="n"/>
      <c r="W264" s="9" t="n"/>
      <c r="X264" s="9" t="n"/>
      <c r="Z264">
        <f>IF(A264="","",IF(AND(N264&lt;&gt;"",O264&lt;&gt;"",Q264&lt;&gt;"",R264&lt;&gt;"",S264="Y"),"YES","no"))</f>
        <v/>
      </c>
      <c r="AA264" s="9">
        <f>IF(Z264="YES",MAX(N264,O264,Q264,R264),"")</f>
        <v/>
      </c>
      <c r="AB264">
        <f>IF(A264="","",IF(X264&lt;&gt;"","13 Repeat activity",IF(W264&lt;&gt;"","12 First enquiry/order/booking",IF(Z264="YES","11 ACTIVATED",IF(Q264&lt;&gt;"","10 First listing live",IF(O264&lt;&gt;"","9 Profile completed",IF(N264&lt;&gt;"","8 Approved",IF(M264&lt;&gt;"","7 KYC submitted",IF(L264&lt;&gt;"","6 Registration completed",IF(K264&lt;&gt;"","5b Registration started",IF(H264&lt;&gt;"","5a Information sent",IF(G264&lt;&gt;"","5 Interested","—"))))))))))))</f>
        <v/>
      </c>
      <c r="AC264" s="10">
        <f>IF(A264="","",(COUNT(G264,H264,K264,L264,M264,N264,O264,Q264,R264)+(I264="Y")+(P264="Y")+(S264="Y"))/12)</f>
        <v/>
      </c>
      <c r="AD264">
        <f>IF(OR(A264="",COUNT(G264:X264)=0),"",TODAY()-MAX(G264,H264,K264,L264,M264,N264,O264,Q264,R264,W264,X264))</f>
        <v/>
      </c>
      <c r="AE264">
        <f>IF(A264="","",IF(AND(Z264&lt;&gt;"YES",AD264&lt;&gt;"",AD264&gt;THRESHOLDS!$B$12),"STUCK — act today",""))</f>
        <v/>
      </c>
      <c r="AF264">
        <f>IF(A264="","",IF(J264="Active (verified)","",IF(J264="","Ask GST status (readiness R2)","Escalate to founder: orders need verified GSTIN in current code — no tax advice")))</f>
        <v/>
      </c>
      <c r="AG264">
        <f>IF(AND(G264&lt;&gt;"",L264&lt;&gt;""),L264-G264,"")</f>
        <v/>
      </c>
      <c r="AH264">
        <f>IF(AND(L264&lt;&gt;"",N264&lt;&gt;""),N264-L264,"")</f>
        <v/>
      </c>
      <c r="AI264">
        <f>IF(AND(N264&lt;&gt;"",AA264&lt;&gt;""),AA264-N264,"")</f>
        <v/>
      </c>
      <c r="AJ264">
        <f>IF(AND(L264&lt;&gt;"",N264&lt;&gt;"",Q264&lt;&gt;""),"Qualifies (if FP-QUAL adopted)","")</f>
        <v/>
      </c>
    </row>
    <row r="265">
      <c r="G265" s="9" t="n"/>
      <c r="H265" s="9" t="n"/>
      <c r="K265" s="9" t="n"/>
      <c r="L265" s="9" t="n"/>
      <c r="M265" s="9" t="n"/>
      <c r="N265" s="9" t="n"/>
      <c r="O265" s="9" t="n"/>
      <c r="Q265" s="9" t="n"/>
      <c r="R265" s="9" t="n"/>
      <c r="W265" s="9" t="n"/>
      <c r="X265" s="9" t="n"/>
      <c r="Z265">
        <f>IF(A265="","",IF(AND(N265&lt;&gt;"",O265&lt;&gt;"",Q265&lt;&gt;"",R265&lt;&gt;"",S265="Y"),"YES","no"))</f>
        <v/>
      </c>
      <c r="AA265" s="9">
        <f>IF(Z265="YES",MAX(N265,O265,Q265,R265),"")</f>
        <v/>
      </c>
      <c r="AB265">
        <f>IF(A265="","",IF(X265&lt;&gt;"","13 Repeat activity",IF(W265&lt;&gt;"","12 First enquiry/order/booking",IF(Z265="YES","11 ACTIVATED",IF(Q265&lt;&gt;"","10 First listing live",IF(O265&lt;&gt;"","9 Profile completed",IF(N265&lt;&gt;"","8 Approved",IF(M265&lt;&gt;"","7 KYC submitted",IF(L265&lt;&gt;"","6 Registration completed",IF(K265&lt;&gt;"","5b Registration started",IF(H265&lt;&gt;"","5a Information sent",IF(G265&lt;&gt;"","5 Interested","—"))))))))))))</f>
        <v/>
      </c>
      <c r="AC265" s="10">
        <f>IF(A265="","",(COUNT(G265,H265,K265,L265,M265,N265,O265,Q265,R265)+(I265="Y")+(P265="Y")+(S265="Y"))/12)</f>
        <v/>
      </c>
      <c r="AD265">
        <f>IF(OR(A265="",COUNT(G265:X265)=0),"",TODAY()-MAX(G265,H265,K265,L265,M265,N265,O265,Q265,R265,W265,X265))</f>
        <v/>
      </c>
      <c r="AE265">
        <f>IF(A265="","",IF(AND(Z265&lt;&gt;"YES",AD265&lt;&gt;"",AD265&gt;THRESHOLDS!$B$12),"STUCK — act today",""))</f>
        <v/>
      </c>
      <c r="AF265">
        <f>IF(A265="","",IF(J265="Active (verified)","",IF(J265="","Ask GST status (readiness R2)","Escalate to founder: orders need verified GSTIN in current code — no tax advice")))</f>
        <v/>
      </c>
      <c r="AG265">
        <f>IF(AND(G265&lt;&gt;"",L265&lt;&gt;""),L265-G265,"")</f>
        <v/>
      </c>
      <c r="AH265">
        <f>IF(AND(L265&lt;&gt;"",N265&lt;&gt;""),N265-L265,"")</f>
        <v/>
      </c>
      <c r="AI265">
        <f>IF(AND(N265&lt;&gt;"",AA265&lt;&gt;""),AA265-N265,"")</f>
        <v/>
      </c>
      <c r="AJ265">
        <f>IF(AND(L265&lt;&gt;"",N265&lt;&gt;"",Q265&lt;&gt;""),"Qualifies (if FP-QUAL adopted)","")</f>
        <v/>
      </c>
    </row>
    <row r="266">
      <c r="G266" s="9" t="n"/>
      <c r="H266" s="9" t="n"/>
      <c r="K266" s="9" t="n"/>
      <c r="L266" s="9" t="n"/>
      <c r="M266" s="9" t="n"/>
      <c r="N266" s="9" t="n"/>
      <c r="O266" s="9" t="n"/>
      <c r="Q266" s="9" t="n"/>
      <c r="R266" s="9" t="n"/>
      <c r="W266" s="9" t="n"/>
      <c r="X266" s="9" t="n"/>
      <c r="Z266">
        <f>IF(A266="","",IF(AND(N266&lt;&gt;"",O266&lt;&gt;"",Q266&lt;&gt;"",R266&lt;&gt;"",S266="Y"),"YES","no"))</f>
        <v/>
      </c>
      <c r="AA266" s="9">
        <f>IF(Z266="YES",MAX(N266,O266,Q266,R266),"")</f>
        <v/>
      </c>
      <c r="AB266">
        <f>IF(A266="","",IF(X266&lt;&gt;"","13 Repeat activity",IF(W266&lt;&gt;"","12 First enquiry/order/booking",IF(Z266="YES","11 ACTIVATED",IF(Q266&lt;&gt;"","10 First listing live",IF(O266&lt;&gt;"","9 Profile completed",IF(N266&lt;&gt;"","8 Approved",IF(M266&lt;&gt;"","7 KYC submitted",IF(L266&lt;&gt;"","6 Registration completed",IF(K266&lt;&gt;"","5b Registration started",IF(H266&lt;&gt;"","5a Information sent",IF(G266&lt;&gt;"","5 Interested","—"))))))))))))</f>
        <v/>
      </c>
      <c r="AC266" s="10">
        <f>IF(A266="","",(COUNT(G266,H266,K266,L266,M266,N266,O266,Q266,R266)+(I266="Y")+(P266="Y")+(S266="Y"))/12)</f>
        <v/>
      </c>
      <c r="AD266">
        <f>IF(OR(A266="",COUNT(G266:X266)=0),"",TODAY()-MAX(G266,H266,K266,L266,M266,N266,O266,Q266,R266,W266,X266))</f>
        <v/>
      </c>
      <c r="AE266">
        <f>IF(A266="","",IF(AND(Z266&lt;&gt;"YES",AD266&lt;&gt;"",AD266&gt;THRESHOLDS!$B$12),"STUCK — act today",""))</f>
        <v/>
      </c>
      <c r="AF266">
        <f>IF(A266="","",IF(J266="Active (verified)","",IF(J266="","Ask GST status (readiness R2)","Escalate to founder: orders need verified GSTIN in current code — no tax advice")))</f>
        <v/>
      </c>
      <c r="AG266">
        <f>IF(AND(G266&lt;&gt;"",L266&lt;&gt;""),L266-G266,"")</f>
        <v/>
      </c>
      <c r="AH266">
        <f>IF(AND(L266&lt;&gt;"",N266&lt;&gt;""),N266-L266,"")</f>
        <v/>
      </c>
      <c r="AI266">
        <f>IF(AND(N266&lt;&gt;"",AA266&lt;&gt;""),AA266-N266,"")</f>
        <v/>
      </c>
      <c r="AJ266">
        <f>IF(AND(L266&lt;&gt;"",N266&lt;&gt;"",Q266&lt;&gt;""),"Qualifies (if FP-QUAL adopted)","")</f>
        <v/>
      </c>
    </row>
    <row r="267">
      <c r="G267" s="9" t="n"/>
      <c r="H267" s="9" t="n"/>
      <c r="K267" s="9" t="n"/>
      <c r="L267" s="9" t="n"/>
      <c r="M267" s="9" t="n"/>
      <c r="N267" s="9" t="n"/>
      <c r="O267" s="9" t="n"/>
      <c r="Q267" s="9" t="n"/>
      <c r="R267" s="9" t="n"/>
      <c r="W267" s="9" t="n"/>
      <c r="X267" s="9" t="n"/>
      <c r="Z267">
        <f>IF(A267="","",IF(AND(N267&lt;&gt;"",O267&lt;&gt;"",Q267&lt;&gt;"",R267&lt;&gt;"",S267="Y"),"YES","no"))</f>
        <v/>
      </c>
      <c r="AA267" s="9">
        <f>IF(Z267="YES",MAX(N267,O267,Q267,R267),"")</f>
        <v/>
      </c>
      <c r="AB267">
        <f>IF(A267="","",IF(X267&lt;&gt;"","13 Repeat activity",IF(W267&lt;&gt;"","12 First enquiry/order/booking",IF(Z267="YES","11 ACTIVATED",IF(Q267&lt;&gt;"","10 First listing live",IF(O267&lt;&gt;"","9 Profile completed",IF(N267&lt;&gt;"","8 Approved",IF(M267&lt;&gt;"","7 KYC submitted",IF(L267&lt;&gt;"","6 Registration completed",IF(K267&lt;&gt;"","5b Registration started",IF(H267&lt;&gt;"","5a Information sent",IF(G267&lt;&gt;"","5 Interested","—"))))))))))))</f>
        <v/>
      </c>
      <c r="AC267" s="10">
        <f>IF(A267="","",(COUNT(G267,H267,K267,L267,M267,N267,O267,Q267,R267)+(I267="Y")+(P267="Y")+(S267="Y"))/12)</f>
        <v/>
      </c>
      <c r="AD267">
        <f>IF(OR(A267="",COUNT(G267:X267)=0),"",TODAY()-MAX(G267,H267,K267,L267,M267,N267,O267,Q267,R267,W267,X267))</f>
        <v/>
      </c>
      <c r="AE267">
        <f>IF(A267="","",IF(AND(Z267&lt;&gt;"YES",AD267&lt;&gt;"",AD267&gt;THRESHOLDS!$B$12),"STUCK — act today",""))</f>
        <v/>
      </c>
      <c r="AF267">
        <f>IF(A267="","",IF(J267="Active (verified)","",IF(J267="","Ask GST status (readiness R2)","Escalate to founder: orders need verified GSTIN in current code — no tax advice")))</f>
        <v/>
      </c>
      <c r="AG267">
        <f>IF(AND(G267&lt;&gt;"",L267&lt;&gt;""),L267-G267,"")</f>
        <v/>
      </c>
      <c r="AH267">
        <f>IF(AND(L267&lt;&gt;"",N267&lt;&gt;""),N267-L267,"")</f>
        <v/>
      </c>
      <c r="AI267">
        <f>IF(AND(N267&lt;&gt;"",AA267&lt;&gt;""),AA267-N267,"")</f>
        <v/>
      </c>
      <c r="AJ267">
        <f>IF(AND(L267&lt;&gt;"",N267&lt;&gt;"",Q267&lt;&gt;""),"Qualifies (if FP-QUAL adopted)","")</f>
        <v/>
      </c>
    </row>
    <row r="268">
      <c r="G268" s="9" t="n"/>
      <c r="H268" s="9" t="n"/>
      <c r="K268" s="9" t="n"/>
      <c r="L268" s="9" t="n"/>
      <c r="M268" s="9" t="n"/>
      <c r="N268" s="9" t="n"/>
      <c r="O268" s="9" t="n"/>
      <c r="Q268" s="9" t="n"/>
      <c r="R268" s="9" t="n"/>
      <c r="W268" s="9" t="n"/>
      <c r="X268" s="9" t="n"/>
      <c r="Z268">
        <f>IF(A268="","",IF(AND(N268&lt;&gt;"",O268&lt;&gt;"",Q268&lt;&gt;"",R268&lt;&gt;"",S268="Y"),"YES","no"))</f>
        <v/>
      </c>
      <c r="AA268" s="9">
        <f>IF(Z268="YES",MAX(N268,O268,Q268,R268),"")</f>
        <v/>
      </c>
      <c r="AB268">
        <f>IF(A268="","",IF(X268&lt;&gt;"","13 Repeat activity",IF(W268&lt;&gt;"","12 First enquiry/order/booking",IF(Z268="YES","11 ACTIVATED",IF(Q268&lt;&gt;"","10 First listing live",IF(O268&lt;&gt;"","9 Profile completed",IF(N268&lt;&gt;"","8 Approved",IF(M268&lt;&gt;"","7 KYC submitted",IF(L268&lt;&gt;"","6 Registration completed",IF(K268&lt;&gt;"","5b Registration started",IF(H268&lt;&gt;"","5a Information sent",IF(G268&lt;&gt;"","5 Interested","—"))))))))))))</f>
        <v/>
      </c>
      <c r="AC268" s="10">
        <f>IF(A268="","",(COUNT(G268,H268,K268,L268,M268,N268,O268,Q268,R268)+(I268="Y")+(P268="Y")+(S268="Y"))/12)</f>
        <v/>
      </c>
      <c r="AD268">
        <f>IF(OR(A268="",COUNT(G268:X268)=0),"",TODAY()-MAX(G268,H268,K268,L268,M268,N268,O268,Q268,R268,W268,X268))</f>
        <v/>
      </c>
      <c r="AE268">
        <f>IF(A268="","",IF(AND(Z268&lt;&gt;"YES",AD268&lt;&gt;"",AD268&gt;THRESHOLDS!$B$12),"STUCK — act today",""))</f>
        <v/>
      </c>
      <c r="AF268">
        <f>IF(A268="","",IF(J268="Active (verified)","",IF(J268="","Ask GST status (readiness R2)","Escalate to founder: orders need verified GSTIN in current code — no tax advice")))</f>
        <v/>
      </c>
      <c r="AG268">
        <f>IF(AND(G268&lt;&gt;"",L268&lt;&gt;""),L268-G268,"")</f>
        <v/>
      </c>
      <c r="AH268">
        <f>IF(AND(L268&lt;&gt;"",N268&lt;&gt;""),N268-L268,"")</f>
        <v/>
      </c>
      <c r="AI268">
        <f>IF(AND(N268&lt;&gt;"",AA268&lt;&gt;""),AA268-N268,"")</f>
        <v/>
      </c>
      <c r="AJ268">
        <f>IF(AND(L268&lt;&gt;"",N268&lt;&gt;"",Q268&lt;&gt;""),"Qualifies (if FP-QUAL adopted)","")</f>
        <v/>
      </c>
    </row>
    <row r="269">
      <c r="G269" s="9" t="n"/>
      <c r="H269" s="9" t="n"/>
      <c r="K269" s="9" t="n"/>
      <c r="L269" s="9" t="n"/>
      <c r="M269" s="9" t="n"/>
      <c r="N269" s="9" t="n"/>
      <c r="O269" s="9" t="n"/>
      <c r="Q269" s="9" t="n"/>
      <c r="R269" s="9" t="n"/>
      <c r="W269" s="9" t="n"/>
      <c r="X269" s="9" t="n"/>
      <c r="Z269">
        <f>IF(A269="","",IF(AND(N269&lt;&gt;"",O269&lt;&gt;"",Q269&lt;&gt;"",R269&lt;&gt;"",S269="Y"),"YES","no"))</f>
        <v/>
      </c>
      <c r="AA269" s="9">
        <f>IF(Z269="YES",MAX(N269,O269,Q269,R269),"")</f>
        <v/>
      </c>
      <c r="AB269">
        <f>IF(A269="","",IF(X269&lt;&gt;"","13 Repeat activity",IF(W269&lt;&gt;"","12 First enquiry/order/booking",IF(Z269="YES","11 ACTIVATED",IF(Q269&lt;&gt;"","10 First listing live",IF(O269&lt;&gt;"","9 Profile completed",IF(N269&lt;&gt;"","8 Approved",IF(M269&lt;&gt;"","7 KYC submitted",IF(L269&lt;&gt;"","6 Registration completed",IF(K269&lt;&gt;"","5b Registration started",IF(H269&lt;&gt;"","5a Information sent",IF(G269&lt;&gt;"","5 Interested","—"))))))))))))</f>
        <v/>
      </c>
      <c r="AC269" s="10">
        <f>IF(A269="","",(COUNT(G269,H269,K269,L269,M269,N269,O269,Q269,R269)+(I269="Y")+(P269="Y")+(S269="Y"))/12)</f>
        <v/>
      </c>
      <c r="AD269">
        <f>IF(OR(A269="",COUNT(G269:X269)=0),"",TODAY()-MAX(G269,H269,K269,L269,M269,N269,O269,Q269,R269,W269,X269))</f>
        <v/>
      </c>
      <c r="AE269">
        <f>IF(A269="","",IF(AND(Z269&lt;&gt;"YES",AD269&lt;&gt;"",AD269&gt;THRESHOLDS!$B$12),"STUCK — act today",""))</f>
        <v/>
      </c>
      <c r="AF269">
        <f>IF(A269="","",IF(J269="Active (verified)","",IF(J269="","Ask GST status (readiness R2)","Escalate to founder: orders need verified GSTIN in current code — no tax advice")))</f>
        <v/>
      </c>
      <c r="AG269">
        <f>IF(AND(G269&lt;&gt;"",L269&lt;&gt;""),L269-G269,"")</f>
        <v/>
      </c>
      <c r="AH269">
        <f>IF(AND(L269&lt;&gt;"",N269&lt;&gt;""),N269-L269,"")</f>
        <v/>
      </c>
      <c r="AI269">
        <f>IF(AND(N269&lt;&gt;"",AA269&lt;&gt;""),AA269-N269,"")</f>
        <v/>
      </c>
      <c r="AJ269">
        <f>IF(AND(L269&lt;&gt;"",N269&lt;&gt;"",Q269&lt;&gt;""),"Qualifies (if FP-QUAL adopted)","")</f>
        <v/>
      </c>
    </row>
    <row r="270">
      <c r="G270" s="9" t="n"/>
      <c r="H270" s="9" t="n"/>
      <c r="K270" s="9" t="n"/>
      <c r="L270" s="9" t="n"/>
      <c r="M270" s="9" t="n"/>
      <c r="N270" s="9" t="n"/>
      <c r="O270" s="9" t="n"/>
      <c r="Q270" s="9" t="n"/>
      <c r="R270" s="9" t="n"/>
      <c r="W270" s="9" t="n"/>
      <c r="X270" s="9" t="n"/>
      <c r="Z270">
        <f>IF(A270="","",IF(AND(N270&lt;&gt;"",O270&lt;&gt;"",Q270&lt;&gt;"",R270&lt;&gt;"",S270="Y"),"YES","no"))</f>
        <v/>
      </c>
      <c r="AA270" s="9">
        <f>IF(Z270="YES",MAX(N270,O270,Q270,R270),"")</f>
        <v/>
      </c>
      <c r="AB270">
        <f>IF(A270="","",IF(X270&lt;&gt;"","13 Repeat activity",IF(W270&lt;&gt;"","12 First enquiry/order/booking",IF(Z270="YES","11 ACTIVATED",IF(Q270&lt;&gt;"","10 First listing live",IF(O270&lt;&gt;"","9 Profile completed",IF(N270&lt;&gt;"","8 Approved",IF(M270&lt;&gt;"","7 KYC submitted",IF(L270&lt;&gt;"","6 Registration completed",IF(K270&lt;&gt;"","5b Registration started",IF(H270&lt;&gt;"","5a Information sent",IF(G270&lt;&gt;"","5 Interested","—"))))))))))))</f>
        <v/>
      </c>
      <c r="AC270" s="10">
        <f>IF(A270="","",(COUNT(G270,H270,K270,L270,M270,N270,O270,Q270,R270)+(I270="Y")+(P270="Y")+(S270="Y"))/12)</f>
        <v/>
      </c>
      <c r="AD270">
        <f>IF(OR(A270="",COUNT(G270:X270)=0),"",TODAY()-MAX(G270,H270,K270,L270,M270,N270,O270,Q270,R270,W270,X270))</f>
        <v/>
      </c>
      <c r="AE270">
        <f>IF(A270="","",IF(AND(Z270&lt;&gt;"YES",AD270&lt;&gt;"",AD270&gt;THRESHOLDS!$B$12),"STUCK — act today",""))</f>
        <v/>
      </c>
      <c r="AF270">
        <f>IF(A270="","",IF(J270="Active (verified)","",IF(J270="","Ask GST status (readiness R2)","Escalate to founder: orders need verified GSTIN in current code — no tax advice")))</f>
        <v/>
      </c>
      <c r="AG270">
        <f>IF(AND(G270&lt;&gt;"",L270&lt;&gt;""),L270-G270,"")</f>
        <v/>
      </c>
      <c r="AH270">
        <f>IF(AND(L270&lt;&gt;"",N270&lt;&gt;""),N270-L270,"")</f>
        <v/>
      </c>
      <c r="AI270">
        <f>IF(AND(N270&lt;&gt;"",AA270&lt;&gt;""),AA270-N270,"")</f>
        <v/>
      </c>
      <c r="AJ270">
        <f>IF(AND(L270&lt;&gt;"",N270&lt;&gt;"",Q270&lt;&gt;""),"Qualifies (if FP-QUAL adopted)","")</f>
        <v/>
      </c>
    </row>
    <row r="271">
      <c r="G271" s="9" t="n"/>
      <c r="H271" s="9" t="n"/>
      <c r="K271" s="9" t="n"/>
      <c r="L271" s="9" t="n"/>
      <c r="M271" s="9" t="n"/>
      <c r="N271" s="9" t="n"/>
      <c r="O271" s="9" t="n"/>
      <c r="Q271" s="9" t="n"/>
      <c r="R271" s="9" t="n"/>
      <c r="W271" s="9" t="n"/>
      <c r="X271" s="9" t="n"/>
      <c r="Z271">
        <f>IF(A271="","",IF(AND(N271&lt;&gt;"",O271&lt;&gt;"",Q271&lt;&gt;"",R271&lt;&gt;"",S271="Y"),"YES","no"))</f>
        <v/>
      </c>
      <c r="AA271" s="9">
        <f>IF(Z271="YES",MAX(N271,O271,Q271,R271),"")</f>
        <v/>
      </c>
      <c r="AB271">
        <f>IF(A271="","",IF(X271&lt;&gt;"","13 Repeat activity",IF(W271&lt;&gt;"","12 First enquiry/order/booking",IF(Z271="YES","11 ACTIVATED",IF(Q271&lt;&gt;"","10 First listing live",IF(O271&lt;&gt;"","9 Profile completed",IF(N271&lt;&gt;"","8 Approved",IF(M271&lt;&gt;"","7 KYC submitted",IF(L271&lt;&gt;"","6 Registration completed",IF(K271&lt;&gt;"","5b Registration started",IF(H271&lt;&gt;"","5a Information sent",IF(G271&lt;&gt;"","5 Interested","—"))))))))))))</f>
        <v/>
      </c>
      <c r="AC271" s="10">
        <f>IF(A271="","",(COUNT(G271,H271,K271,L271,M271,N271,O271,Q271,R271)+(I271="Y")+(P271="Y")+(S271="Y"))/12)</f>
        <v/>
      </c>
      <c r="AD271">
        <f>IF(OR(A271="",COUNT(G271:X271)=0),"",TODAY()-MAX(G271,H271,K271,L271,M271,N271,O271,Q271,R271,W271,X271))</f>
        <v/>
      </c>
      <c r="AE271">
        <f>IF(A271="","",IF(AND(Z271&lt;&gt;"YES",AD271&lt;&gt;"",AD271&gt;THRESHOLDS!$B$12),"STUCK — act today",""))</f>
        <v/>
      </c>
      <c r="AF271">
        <f>IF(A271="","",IF(J271="Active (verified)","",IF(J271="","Ask GST status (readiness R2)","Escalate to founder: orders need verified GSTIN in current code — no tax advice")))</f>
        <v/>
      </c>
      <c r="AG271">
        <f>IF(AND(G271&lt;&gt;"",L271&lt;&gt;""),L271-G271,"")</f>
        <v/>
      </c>
      <c r="AH271">
        <f>IF(AND(L271&lt;&gt;"",N271&lt;&gt;""),N271-L271,"")</f>
        <v/>
      </c>
      <c r="AI271">
        <f>IF(AND(N271&lt;&gt;"",AA271&lt;&gt;""),AA271-N271,"")</f>
        <v/>
      </c>
      <c r="AJ271">
        <f>IF(AND(L271&lt;&gt;"",N271&lt;&gt;"",Q271&lt;&gt;""),"Qualifies (if FP-QUAL adopted)","")</f>
        <v/>
      </c>
    </row>
    <row r="272">
      <c r="G272" s="9" t="n"/>
      <c r="H272" s="9" t="n"/>
      <c r="K272" s="9" t="n"/>
      <c r="L272" s="9" t="n"/>
      <c r="M272" s="9" t="n"/>
      <c r="N272" s="9" t="n"/>
      <c r="O272" s="9" t="n"/>
      <c r="Q272" s="9" t="n"/>
      <c r="R272" s="9" t="n"/>
      <c r="W272" s="9" t="n"/>
      <c r="X272" s="9" t="n"/>
      <c r="Z272">
        <f>IF(A272="","",IF(AND(N272&lt;&gt;"",O272&lt;&gt;"",Q272&lt;&gt;"",R272&lt;&gt;"",S272="Y"),"YES","no"))</f>
        <v/>
      </c>
      <c r="AA272" s="9">
        <f>IF(Z272="YES",MAX(N272,O272,Q272,R272),"")</f>
        <v/>
      </c>
      <c r="AB272">
        <f>IF(A272="","",IF(X272&lt;&gt;"","13 Repeat activity",IF(W272&lt;&gt;"","12 First enquiry/order/booking",IF(Z272="YES","11 ACTIVATED",IF(Q272&lt;&gt;"","10 First listing live",IF(O272&lt;&gt;"","9 Profile completed",IF(N272&lt;&gt;"","8 Approved",IF(M272&lt;&gt;"","7 KYC submitted",IF(L272&lt;&gt;"","6 Registration completed",IF(K272&lt;&gt;"","5b Registration started",IF(H272&lt;&gt;"","5a Information sent",IF(G272&lt;&gt;"","5 Interested","—"))))))))))))</f>
        <v/>
      </c>
      <c r="AC272" s="10">
        <f>IF(A272="","",(COUNT(G272,H272,K272,L272,M272,N272,O272,Q272,R272)+(I272="Y")+(P272="Y")+(S272="Y"))/12)</f>
        <v/>
      </c>
      <c r="AD272">
        <f>IF(OR(A272="",COUNT(G272:X272)=0),"",TODAY()-MAX(G272,H272,K272,L272,M272,N272,O272,Q272,R272,W272,X272))</f>
        <v/>
      </c>
      <c r="AE272">
        <f>IF(A272="","",IF(AND(Z272&lt;&gt;"YES",AD272&lt;&gt;"",AD272&gt;THRESHOLDS!$B$12),"STUCK — act today",""))</f>
        <v/>
      </c>
      <c r="AF272">
        <f>IF(A272="","",IF(J272="Active (verified)","",IF(J272="","Ask GST status (readiness R2)","Escalate to founder: orders need verified GSTIN in current code — no tax advice")))</f>
        <v/>
      </c>
      <c r="AG272">
        <f>IF(AND(G272&lt;&gt;"",L272&lt;&gt;""),L272-G272,"")</f>
        <v/>
      </c>
      <c r="AH272">
        <f>IF(AND(L272&lt;&gt;"",N272&lt;&gt;""),N272-L272,"")</f>
        <v/>
      </c>
      <c r="AI272">
        <f>IF(AND(N272&lt;&gt;"",AA272&lt;&gt;""),AA272-N272,"")</f>
        <v/>
      </c>
      <c r="AJ272">
        <f>IF(AND(L272&lt;&gt;"",N272&lt;&gt;"",Q272&lt;&gt;""),"Qualifies (if FP-QUAL adopted)","")</f>
        <v/>
      </c>
    </row>
    <row r="273">
      <c r="G273" s="9" t="n"/>
      <c r="H273" s="9" t="n"/>
      <c r="K273" s="9" t="n"/>
      <c r="L273" s="9" t="n"/>
      <c r="M273" s="9" t="n"/>
      <c r="N273" s="9" t="n"/>
      <c r="O273" s="9" t="n"/>
      <c r="Q273" s="9" t="n"/>
      <c r="R273" s="9" t="n"/>
      <c r="W273" s="9" t="n"/>
      <c r="X273" s="9" t="n"/>
      <c r="Z273">
        <f>IF(A273="","",IF(AND(N273&lt;&gt;"",O273&lt;&gt;"",Q273&lt;&gt;"",R273&lt;&gt;"",S273="Y"),"YES","no"))</f>
        <v/>
      </c>
      <c r="AA273" s="9">
        <f>IF(Z273="YES",MAX(N273,O273,Q273,R273),"")</f>
        <v/>
      </c>
      <c r="AB273">
        <f>IF(A273="","",IF(X273&lt;&gt;"","13 Repeat activity",IF(W273&lt;&gt;"","12 First enquiry/order/booking",IF(Z273="YES","11 ACTIVATED",IF(Q273&lt;&gt;"","10 First listing live",IF(O273&lt;&gt;"","9 Profile completed",IF(N273&lt;&gt;"","8 Approved",IF(M273&lt;&gt;"","7 KYC submitted",IF(L273&lt;&gt;"","6 Registration completed",IF(K273&lt;&gt;"","5b Registration started",IF(H273&lt;&gt;"","5a Information sent",IF(G273&lt;&gt;"","5 Interested","—"))))))))))))</f>
        <v/>
      </c>
      <c r="AC273" s="10">
        <f>IF(A273="","",(COUNT(G273,H273,K273,L273,M273,N273,O273,Q273,R273)+(I273="Y")+(P273="Y")+(S273="Y"))/12)</f>
        <v/>
      </c>
      <c r="AD273">
        <f>IF(OR(A273="",COUNT(G273:X273)=0),"",TODAY()-MAX(G273,H273,K273,L273,M273,N273,O273,Q273,R273,W273,X273))</f>
        <v/>
      </c>
      <c r="AE273">
        <f>IF(A273="","",IF(AND(Z273&lt;&gt;"YES",AD273&lt;&gt;"",AD273&gt;THRESHOLDS!$B$12),"STUCK — act today",""))</f>
        <v/>
      </c>
      <c r="AF273">
        <f>IF(A273="","",IF(J273="Active (verified)","",IF(J273="","Ask GST status (readiness R2)","Escalate to founder: orders need verified GSTIN in current code — no tax advice")))</f>
        <v/>
      </c>
      <c r="AG273">
        <f>IF(AND(G273&lt;&gt;"",L273&lt;&gt;""),L273-G273,"")</f>
        <v/>
      </c>
      <c r="AH273">
        <f>IF(AND(L273&lt;&gt;"",N273&lt;&gt;""),N273-L273,"")</f>
        <v/>
      </c>
      <c r="AI273">
        <f>IF(AND(N273&lt;&gt;"",AA273&lt;&gt;""),AA273-N273,"")</f>
        <v/>
      </c>
      <c r="AJ273">
        <f>IF(AND(L273&lt;&gt;"",N273&lt;&gt;"",Q273&lt;&gt;""),"Qualifies (if FP-QUAL adopted)","")</f>
        <v/>
      </c>
    </row>
    <row r="274">
      <c r="G274" s="9" t="n"/>
      <c r="H274" s="9" t="n"/>
      <c r="K274" s="9" t="n"/>
      <c r="L274" s="9" t="n"/>
      <c r="M274" s="9" t="n"/>
      <c r="N274" s="9" t="n"/>
      <c r="O274" s="9" t="n"/>
      <c r="Q274" s="9" t="n"/>
      <c r="R274" s="9" t="n"/>
      <c r="W274" s="9" t="n"/>
      <c r="X274" s="9" t="n"/>
      <c r="Z274">
        <f>IF(A274="","",IF(AND(N274&lt;&gt;"",O274&lt;&gt;"",Q274&lt;&gt;"",R274&lt;&gt;"",S274="Y"),"YES","no"))</f>
        <v/>
      </c>
      <c r="AA274" s="9">
        <f>IF(Z274="YES",MAX(N274,O274,Q274,R274),"")</f>
        <v/>
      </c>
      <c r="AB274">
        <f>IF(A274="","",IF(X274&lt;&gt;"","13 Repeat activity",IF(W274&lt;&gt;"","12 First enquiry/order/booking",IF(Z274="YES","11 ACTIVATED",IF(Q274&lt;&gt;"","10 First listing live",IF(O274&lt;&gt;"","9 Profile completed",IF(N274&lt;&gt;"","8 Approved",IF(M274&lt;&gt;"","7 KYC submitted",IF(L274&lt;&gt;"","6 Registration completed",IF(K274&lt;&gt;"","5b Registration started",IF(H274&lt;&gt;"","5a Information sent",IF(G274&lt;&gt;"","5 Interested","—"))))))))))))</f>
        <v/>
      </c>
      <c r="AC274" s="10">
        <f>IF(A274="","",(COUNT(G274,H274,K274,L274,M274,N274,O274,Q274,R274)+(I274="Y")+(P274="Y")+(S274="Y"))/12)</f>
        <v/>
      </c>
      <c r="AD274">
        <f>IF(OR(A274="",COUNT(G274:X274)=0),"",TODAY()-MAX(G274,H274,K274,L274,M274,N274,O274,Q274,R274,W274,X274))</f>
        <v/>
      </c>
      <c r="AE274">
        <f>IF(A274="","",IF(AND(Z274&lt;&gt;"YES",AD274&lt;&gt;"",AD274&gt;THRESHOLDS!$B$12),"STUCK — act today",""))</f>
        <v/>
      </c>
      <c r="AF274">
        <f>IF(A274="","",IF(J274="Active (verified)","",IF(J274="","Ask GST status (readiness R2)","Escalate to founder: orders need verified GSTIN in current code — no tax advice")))</f>
        <v/>
      </c>
      <c r="AG274">
        <f>IF(AND(G274&lt;&gt;"",L274&lt;&gt;""),L274-G274,"")</f>
        <v/>
      </c>
      <c r="AH274">
        <f>IF(AND(L274&lt;&gt;"",N274&lt;&gt;""),N274-L274,"")</f>
        <v/>
      </c>
      <c r="AI274">
        <f>IF(AND(N274&lt;&gt;"",AA274&lt;&gt;""),AA274-N274,"")</f>
        <v/>
      </c>
      <c r="AJ274">
        <f>IF(AND(L274&lt;&gt;"",N274&lt;&gt;"",Q274&lt;&gt;""),"Qualifies (if FP-QUAL adopted)","")</f>
        <v/>
      </c>
    </row>
    <row r="275">
      <c r="G275" s="9" t="n"/>
      <c r="H275" s="9" t="n"/>
      <c r="K275" s="9" t="n"/>
      <c r="L275" s="9" t="n"/>
      <c r="M275" s="9" t="n"/>
      <c r="N275" s="9" t="n"/>
      <c r="O275" s="9" t="n"/>
      <c r="Q275" s="9" t="n"/>
      <c r="R275" s="9" t="n"/>
      <c r="W275" s="9" t="n"/>
      <c r="X275" s="9" t="n"/>
      <c r="Z275">
        <f>IF(A275="","",IF(AND(N275&lt;&gt;"",O275&lt;&gt;"",Q275&lt;&gt;"",R275&lt;&gt;"",S275="Y"),"YES","no"))</f>
        <v/>
      </c>
      <c r="AA275" s="9">
        <f>IF(Z275="YES",MAX(N275,O275,Q275,R275),"")</f>
        <v/>
      </c>
      <c r="AB275">
        <f>IF(A275="","",IF(X275&lt;&gt;"","13 Repeat activity",IF(W275&lt;&gt;"","12 First enquiry/order/booking",IF(Z275="YES","11 ACTIVATED",IF(Q275&lt;&gt;"","10 First listing live",IF(O275&lt;&gt;"","9 Profile completed",IF(N275&lt;&gt;"","8 Approved",IF(M275&lt;&gt;"","7 KYC submitted",IF(L275&lt;&gt;"","6 Registration completed",IF(K275&lt;&gt;"","5b Registration started",IF(H275&lt;&gt;"","5a Information sent",IF(G275&lt;&gt;"","5 Interested","—"))))))))))))</f>
        <v/>
      </c>
      <c r="AC275" s="10">
        <f>IF(A275="","",(COUNT(G275,H275,K275,L275,M275,N275,O275,Q275,R275)+(I275="Y")+(P275="Y")+(S275="Y"))/12)</f>
        <v/>
      </c>
      <c r="AD275">
        <f>IF(OR(A275="",COUNT(G275:X275)=0),"",TODAY()-MAX(G275,H275,K275,L275,M275,N275,O275,Q275,R275,W275,X275))</f>
        <v/>
      </c>
      <c r="AE275">
        <f>IF(A275="","",IF(AND(Z275&lt;&gt;"YES",AD275&lt;&gt;"",AD275&gt;THRESHOLDS!$B$12),"STUCK — act today",""))</f>
        <v/>
      </c>
      <c r="AF275">
        <f>IF(A275="","",IF(J275="Active (verified)","",IF(J275="","Ask GST status (readiness R2)","Escalate to founder: orders need verified GSTIN in current code — no tax advice")))</f>
        <v/>
      </c>
      <c r="AG275">
        <f>IF(AND(G275&lt;&gt;"",L275&lt;&gt;""),L275-G275,"")</f>
        <v/>
      </c>
      <c r="AH275">
        <f>IF(AND(L275&lt;&gt;"",N275&lt;&gt;""),N275-L275,"")</f>
        <v/>
      </c>
      <c r="AI275">
        <f>IF(AND(N275&lt;&gt;"",AA275&lt;&gt;""),AA275-N275,"")</f>
        <v/>
      </c>
      <c r="AJ275">
        <f>IF(AND(L275&lt;&gt;"",N275&lt;&gt;"",Q275&lt;&gt;""),"Qualifies (if FP-QUAL adopted)","")</f>
        <v/>
      </c>
    </row>
    <row r="276">
      <c r="G276" s="9" t="n"/>
      <c r="H276" s="9" t="n"/>
      <c r="K276" s="9" t="n"/>
      <c r="L276" s="9" t="n"/>
      <c r="M276" s="9" t="n"/>
      <c r="N276" s="9" t="n"/>
      <c r="O276" s="9" t="n"/>
      <c r="Q276" s="9" t="n"/>
      <c r="R276" s="9" t="n"/>
      <c r="W276" s="9" t="n"/>
      <c r="X276" s="9" t="n"/>
      <c r="Z276">
        <f>IF(A276="","",IF(AND(N276&lt;&gt;"",O276&lt;&gt;"",Q276&lt;&gt;"",R276&lt;&gt;"",S276="Y"),"YES","no"))</f>
        <v/>
      </c>
      <c r="AA276" s="9">
        <f>IF(Z276="YES",MAX(N276,O276,Q276,R276),"")</f>
        <v/>
      </c>
      <c r="AB276">
        <f>IF(A276="","",IF(X276&lt;&gt;"","13 Repeat activity",IF(W276&lt;&gt;"","12 First enquiry/order/booking",IF(Z276="YES","11 ACTIVATED",IF(Q276&lt;&gt;"","10 First listing live",IF(O276&lt;&gt;"","9 Profile completed",IF(N276&lt;&gt;"","8 Approved",IF(M276&lt;&gt;"","7 KYC submitted",IF(L276&lt;&gt;"","6 Registration completed",IF(K276&lt;&gt;"","5b Registration started",IF(H276&lt;&gt;"","5a Information sent",IF(G276&lt;&gt;"","5 Interested","—"))))))))))))</f>
        <v/>
      </c>
      <c r="AC276" s="10">
        <f>IF(A276="","",(COUNT(G276,H276,K276,L276,M276,N276,O276,Q276,R276)+(I276="Y")+(P276="Y")+(S276="Y"))/12)</f>
        <v/>
      </c>
      <c r="AD276">
        <f>IF(OR(A276="",COUNT(G276:X276)=0),"",TODAY()-MAX(G276,H276,K276,L276,M276,N276,O276,Q276,R276,W276,X276))</f>
        <v/>
      </c>
      <c r="AE276">
        <f>IF(A276="","",IF(AND(Z276&lt;&gt;"YES",AD276&lt;&gt;"",AD276&gt;THRESHOLDS!$B$12),"STUCK — act today",""))</f>
        <v/>
      </c>
      <c r="AF276">
        <f>IF(A276="","",IF(J276="Active (verified)","",IF(J276="","Ask GST status (readiness R2)","Escalate to founder: orders need verified GSTIN in current code — no tax advice")))</f>
        <v/>
      </c>
      <c r="AG276">
        <f>IF(AND(G276&lt;&gt;"",L276&lt;&gt;""),L276-G276,"")</f>
        <v/>
      </c>
      <c r="AH276">
        <f>IF(AND(L276&lt;&gt;"",N276&lt;&gt;""),N276-L276,"")</f>
        <v/>
      </c>
      <c r="AI276">
        <f>IF(AND(N276&lt;&gt;"",AA276&lt;&gt;""),AA276-N276,"")</f>
        <v/>
      </c>
      <c r="AJ276">
        <f>IF(AND(L276&lt;&gt;"",N276&lt;&gt;"",Q276&lt;&gt;""),"Qualifies (if FP-QUAL adopted)","")</f>
        <v/>
      </c>
    </row>
    <row r="277">
      <c r="G277" s="9" t="n"/>
      <c r="H277" s="9" t="n"/>
      <c r="K277" s="9" t="n"/>
      <c r="L277" s="9" t="n"/>
      <c r="M277" s="9" t="n"/>
      <c r="N277" s="9" t="n"/>
      <c r="O277" s="9" t="n"/>
      <c r="Q277" s="9" t="n"/>
      <c r="R277" s="9" t="n"/>
      <c r="W277" s="9" t="n"/>
      <c r="X277" s="9" t="n"/>
      <c r="Z277">
        <f>IF(A277="","",IF(AND(N277&lt;&gt;"",O277&lt;&gt;"",Q277&lt;&gt;"",R277&lt;&gt;"",S277="Y"),"YES","no"))</f>
        <v/>
      </c>
      <c r="AA277" s="9">
        <f>IF(Z277="YES",MAX(N277,O277,Q277,R277),"")</f>
        <v/>
      </c>
      <c r="AB277">
        <f>IF(A277="","",IF(X277&lt;&gt;"","13 Repeat activity",IF(W277&lt;&gt;"","12 First enquiry/order/booking",IF(Z277="YES","11 ACTIVATED",IF(Q277&lt;&gt;"","10 First listing live",IF(O277&lt;&gt;"","9 Profile completed",IF(N277&lt;&gt;"","8 Approved",IF(M277&lt;&gt;"","7 KYC submitted",IF(L277&lt;&gt;"","6 Registration completed",IF(K277&lt;&gt;"","5b Registration started",IF(H277&lt;&gt;"","5a Information sent",IF(G277&lt;&gt;"","5 Interested","—"))))))))))))</f>
        <v/>
      </c>
      <c r="AC277" s="10">
        <f>IF(A277="","",(COUNT(G277,H277,K277,L277,M277,N277,O277,Q277,R277)+(I277="Y")+(P277="Y")+(S277="Y"))/12)</f>
        <v/>
      </c>
      <c r="AD277">
        <f>IF(OR(A277="",COUNT(G277:X277)=0),"",TODAY()-MAX(G277,H277,K277,L277,M277,N277,O277,Q277,R277,W277,X277))</f>
        <v/>
      </c>
      <c r="AE277">
        <f>IF(A277="","",IF(AND(Z277&lt;&gt;"YES",AD277&lt;&gt;"",AD277&gt;THRESHOLDS!$B$12),"STUCK — act today",""))</f>
        <v/>
      </c>
      <c r="AF277">
        <f>IF(A277="","",IF(J277="Active (verified)","",IF(J277="","Ask GST status (readiness R2)","Escalate to founder: orders need verified GSTIN in current code — no tax advice")))</f>
        <v/>
      </c>
      <c r="AG277">
        <f>IF(AND(G277&lt;&gt;"",L277&lt;&gt;""),L277-G277,"")</f>
        <v/>
      </c>
      <c r="AH277">
        <f>IF(AND(L277&lt;&gt;"",N277&lt;&gt;""),N277-L277,"")</f>
        <v/>
      </c>
      <c r="AI277">
        <f>IF(AND(N277&lt;&gt;"",AA277&lt;&gt;""),AA277-N277,"")</f>
        <v/>
      </c>
      <c r="AJ277">
        <f>IF(AND(L277&lt;&gt;"",N277&lt;&gt;"",Q277&lt;&gt;""),"Qualifies (if FP-QUAL adopted)","")</f>
        <v/>
      </c>
    </row>
    <row r="278">
      <c r="G278" s="9" t="n"/>
      <c r="H278" s="9" t="n"/>
      <c r="K278" s="9" t="n"/>
      <c r="L278" s="9" t="n"/>
      <c r="M278" s="9" t="n"/>
      <c r="N278" s="9" t="n"/>
      <c r="O278" s="9" t="n"/>
      <c r="Q278" s="9" t="n"/>
      <c r="R278" s="9" t="n"/>
      <c r="W278" s="9" t="n"/>
      <c r="X278" s="9" t="n"/>
      <c r="Z278">
        <f>IF(A278="","",IF(AND(N278&lt;&gt;"",O278&lt;&gt;"",Q278&lt;&gt;"",R278&lt;&gt;"",S278="Y"),"YES","no"))</f>
        <v/>
      </c>
      <c r="AA278" s="9">
        <f>IF(Z278="YES",MAX(N278,O278,Q278,R278),"")</f>
        <v/>
      </c>
      <c r="AB278">
        <f>IF(A278="","",IF(X278&lt;&gt;"","13 Repeat activity",IF(W278&lt;&gt;"","12 First enquiry/order/booking",IF(Z278="YES","11 ACTIVATED",IF(Q278&lt;&gt;"","10 First listing live",IF(O278&lt;&gt;"","9 Profile completed",IF(N278&lt;&gt;"","8 Approved",IF(M278&lt;&gt;"","7 KYC submitted",IF(L278&lt;&gt;"","6 Registration completed",IF(K278&lt;&gt;"","5b Registration started",IF(H278&lt;&gt;"","5a Information sent",IF(G278&lt;&gt;"","5 Interested","—"))))))))))))</f>
        <v/>
      </c>
      <c r="AC278" s="10">
        <f>IF(A278="","",(COUNT(G278,H278,K278,L278,M278,N278,O278,Q278,R278)+(I278="Y")+(P278="Y")+(S278="Y"))/12)</f>
        <v/>
      </c>
      <c r="AD278">
        <f>IF(OR(A278="",COUNT(G278:X278)=0),"",TODAY()-MAX(G278,H278,K278,L278,M278,N278,O278,Q278,R278,W278,X278))</f>
        <v/>
      </c>
      <c r="AE278">
        <f>IF(A278="","",IF(AND(Z278&lt;&gt;"YES",AD278&lt;&gt;"",AD278&gt;THRESHOLDS!$B$12),"STUCK — act today",""))</f>
        <v/>
      </c>
      <c r="AF278">
        <f>IF(A278="","",IF(J278="Active (verified)","",IF(J278="","Ask GST status (readiness R2)","Escalate to founder: orders need verified GSTIN in current code — no tax advice")))</f>
        <v/>
      </c>
      <c r="AG278">
        <f>IF(AND(G278&lt;&gt;"",L278&lt;&gt;""),L278-G278,"")</f>
        <v/>
      </c>
      <c r="AH278">
        <f>IF(AND(L278&lt;&gt;"",N278&lt;&gt;""),N278-L278,"")</f>
        <v/>
      </c>
      <c r="AI278">
        <f>IF(AND(N278&lt;&gt;"",AA278&lt;&gt;""),AA278-N278,"")</f>
        <v/>
      </c>
      <c r="AJ278">
        <f>IF(AND(L278&lt;&gt;"",N278&lt;&gt;"",Q278&lt;&gt;""),"Qualifies (if FP-QUAL adopted)","")</f>
        <v/>
      </c>
    </row>
    <row r="279">
      <c r="G279" s="9" t="n"/>
      <c r="H279" s="9" t="n"/>
      <c r="K279" s="9" t="n"/>
      <c r="L279" s="9" t="n"/>
      <c r="M279" s="9" t="n"/>
      <c r="N279" s="9" t="n"/>
      <c r="O279" s="9" t="n"/>
      <c r="Q279" s="9" t="n"/>
      <c r="R279" s="9" t="n"/>
      <c r="W279" s="9" t="n"/>
      <c r="X279" s="9" t="n"/>
      <c r="Z279">
        <f>IF(A279="","",IF(AND(N279&lt;&gt;"",O279&lt;&gt;"",Q279&lt;&gt;"",R279&lt;&gt;"",S279="Y"),"YES","no"))</f>
        <v/>
      </c>
      <c r="AA279" s="9">
        <f>IF(Z279="YES",MAX(N279,O279,Q279,R279),"")</f>
        <v/>
      </c>
      <c r="AB279">
        <f>IF(A279="","",IF(X279&lt;&gt;"","13 Repeat activity",IF(W279&lt;&gt;"","12 First enquiry/order/booking",IF(Z279="YES","11 ACTIVATED",IF(Q279&lt;&gt;"","10 First listing live",IF(O279&lt;&gt;"","9 Profile completed",IF(N279&lt;&gt;"","8 Approved",IF(M279&lt;&gt;"","7 KYC submitted",IF(L279&lt;&gt;"","6 Registration completed",IF(K279&lt;&gt;"","5b Registration started",IF(H279&lt;&gt;"","5a Information sent",IF(G279&lt;&gt;"","5 Interested","—"))))))))))))</f>
        <v/>
      </c>
      <c r="AC279" s="10">
        <f>IF(A279="","",(COUNT(G279,H279,K279,L279,M279,N279,O279,Q279,R279)+(I279="Y")+(P279="Y")+(S279="Y"))/12)</f>
        <v/>
      </c>
      <c r="AD279">
        <f>IF(OR(A279="",COUNT(G279:X279)=0),"",TODAY()-MAX(G279,H279,K279,L279,M279,N279,O279,Q279,R279,W279,X279))</f>
        <v/>
      </c>
      <c r="AE279">
        <f>IF(A279="","",IF(AND(Z279&lt;&gt;"YES",AD279&lt;&gt;"",AD279&gt;THRESHOLDS!$B$12),"STUCK — act today",""))</f>
        <v/>
      </c>
      <c r="AF279">
        <f>IF(A279="","",IF(J279="Active (verified)","",IF(J279="","Ask GST status (readiness R2)","Escalate to founder: orders need verified GSTIN in current code — no tax advice")))</f>
        <v/>
      </c>
      <c r="AG279">
        <f>IF(AND(G279&lt;&gt;"",L279&lt;&gt;""),L279-G279,"")</f>
        <v/>
      </c>
      <c r="AH279">
        <f>IF(AND(L279&lt;&gt;"",N279&lt;&gt;""),N279-L279,"")</f>
        <v/>
      </c>
      <c r="AI279">
        <f>IF(AND(N279&lt;&gt;"",AA279&lt;&gt;""),AA279-N279,"")</f>
        <v/>
      </c>
      <c r="AJ279">
        <f>IF(AND(L279&lt;&gt;"",N279&lt;&gt;"",Q279&lt;&gt;""),"Qualifies (if FP-QUAL adopted)","")</f>
        <v/>
      </c>
    </row>
    <row r="280">
      <c r="G280" s="9" t="n"/>
      <c r="H280" s="9" t="n"/>
      <c r="K280" s="9" t="n"/>
      <c r="L280" s="9" t="n"/>
      <c r="M280" s="9" t="n"/>
      <c r="N280" s="9" t="n"/>
      <c r="O280" s="9" t="n"/>
      <c r="Q280" s="9" t="n"/>
      <c r="R280" s="9" t="n"/>
      <c r="W280" s="9" t="n"/>
      <c r="X280" s="9" t="n"/>
      <c r="Z280">
        <f>IF(A280="","",IF(AND(N280&lt;&gt;"",O280&lt;&gt;"",Q280&lt;&gt;"",R280&lt;&gt;"",S280="Y"),"YES","no"))</f>
        <v/>
      </c>
      <c r="AA280" s="9">
        <f>IF(Z280="YES",MAX(N280,O280,Q280,R280),"")</f>
        <v/>
      </c>
      <c r="AB280">
        <f>IF(A280="","",IF(X280&lt;&gt;"","13 Repeat activity",IF(W280&lt;&gt;"","12 First enquiry/order/booking",IF(Z280="YES","11 ACTIVATED",IF(Q280&lt;&gt;"","10 First listing live",IF(O280&lt;&gt;"","9 Profile completed",IF(N280&lt;&gt;"","8 Approved",IF(M280&lt;&gt;"","7 KYC submitted",IF(L280&lt;&gt;"","6 Registration completed",IF(K280&lt;&gt;"","5b Registration started",IF(H280&lt;&gt;"","5a Information sent",IF(G280&lt;&gt;"","5 Interested","—"))))))))))))</f>
        <v/>
      </c>
      <c r="AC280" s="10">
        <f>IF(A280="","",(COUNT(G280,H280,K280,L280,M280,N280,O280,Q280,R280)+(I280="Y")+(P280="Y")+(S280="Y"))/12)</f>
        <v/>
      </c>
      <c r="AD280">
        <f>IF(OR(A280="",COUNT(G280:X280)=0),"",TODAY()-MAX(G280,H280,K280,L280,M280,N280,O280,Q280,R280,W280,X280))</f>
        <v/>
      </c>
      <c r="AE280">
        <f>IF(A280="","",IF(AND(Z280&lt;&gt;"YES",AD280&lt;&gt;"",AD280&gt;THRESHOLDS!$B$12),"STUCK — act today",""))</f>
        <v/>
      </c>
      <c r="AF280">
        <f>IF(A280="","",IF(J280="Active (verified)","",IF(J280="","Ask GST status (readiness R2)","Escalate to founder: orders need verified GSTIN in current code — no tax advice")))</f>
        <v/>
      </c>
      <c r="AG280">
        <f>IF(AND(G280&lt;&gt;"",L280&lt;&gt;""),L280-G280,"")</f>
        <v/>
      </c>
      <c r="AH280">
        <f>IF(AND(L280&lt;&gt;"",N280&lt;&gt;""),N280-L280,"")</f>
        <v/>
      </c>
      <c r="AI280">
        <f>IF(AND(N280&lt;&gt;"",AA280&lt;&gt;""),AA280-N280,"")</f>
        <v/>
      </c>
      <c r="AJ280">
        <f>IF(AND(L280&lt;&gt;"",N280&lt;&gt;"",Q280&lt;&gt;""),"Qualifies (if FP-QUAL adopted)","")</f>
        <v/>
      </c>
    </row>
    <row r="281">
      <c r="G281" s="9" t="n"/>
      <c r="H281" s="9" t="n"/>
      <c r="K281" s="9" t="n"/>
      <c r="L281" s="9" t="n"/>
      <c r="M281" s="9" t="n"/>
      <c r="N281" s="9" t="n"/>
      <c r="O281" s="9" t="n"/>
      <c r="Q281" s="9" t="n"/>
      <c r="R281" s="9" t="n"/>
      <c r="W281" s="9" t="n"/>
      <c r="X281" s="9" t="n"/>
      <c r="Z281">
        <f>IF(A281="","",IF(AND(N281&lt;&gt;"",O281&lt;&gt;"",Q281&lt;&gt;"",R281&lt;&gt;"",S281="Y"),"YES","no"))</f>
        <v/>
      </c>
      <c r="AA281" s="9">
        <f>IF(Z281="YES",MAX(N281,O281,Q281,R281),"")</f>
        <v/>
      </c>
      <c r="AB281">
        <f>IF(A281="","",IF(X281&lt;&gt;"","13 Repeat activity",IF(W281&lt;&gt;"","12 First enquiry/order/booking",IF(Z281="YES","11 ACTIVATED",IF(Q281&lt;&gt;"","10 First listing live",IF(O281&lt;&gt;"","9 Profile completed",IF(N281&lt;&gt;"","8 Approved",IF(M281&lt;&gt;"","7 KYC submitted",IF(L281&lt;&gt;"","6 Registration completed",IF(K281&lt;&gt;"","5b Registration started",IF(H281&lt;&gt;"","5a Information sent",IF(G281&lt;&gt;"","5 Interested","—"))))))))))))</f>
        <v/>
      </c>
      <c r="AC281" s="10">
        <f>IF(A281="","",(COUNT(G281,H281,K281,L281,M281,N281,O281,Q281,R281)+(I281="Y")+(P281="Y")+(S281="Y"))/12)</f>
        <v/>
      </c>
      <c r="AD281">
        <f>IF(OR(A281="",COUNT(G281:X281)=0),"",TODAY()-MAX(G281,H281,K281,L281,M281,N281,O281,Q281,R281,W281,X281))</f>
        <v/>
      </c>
      <c r="AE281">
        <f>IF(A281="","",IF(AND(Z281&lt;&gt;"YES",AD281&lt;&gt;"",AD281&gt;THRESHOLDS!$B$12),"STUCK — act today",""))</f>
        <v/>
      </c>
      <c r="AF281">
        <f>IF(A281="","",IF(J281="Active (verified)","",IF(J281="","Ask GST status (readiness R2)","Escalate to founder: orders need verified GSTIN in current code — no tax advice")))</f>
        <v/>
      </c>
      <c r="AG281">
        <f>IF(AND(G281&lt;&gt;"",L281&lt;&gt;""),L281-G281,"")</f>
        <v/>
      </c>
      <c r="AH281">
        <f>IF(AND(L281&lt;&gt;"",N281&lt;&gt;""),N281-L281,"")</f>
        <v/>
      </c>
      <c r="AI281">
        <f>IF(AND(N281&lt;&gt;"",AA281&lt;&gt;""),AA281-N281,"")</f>
        <v/>
      </c>
      <c r="AJ281">
        <f>IF(AND(L281&lt;&gt;"",N281&lt;&gt;"",Q281&lt;&gt;""),"Qualifies (if FP-QUAL adopted)","")</f>
        <v/>
      </c>
    </row>
    <row r="282">
      <c r="G282" s="9" t="n"/>
      <c r="H282" s="9" t="n"/>
      <c r="K282" s="9" t="n"/>
      <c r="L282" s="9" t="n"/>
      <c r="M282" s="9" t="n"/>
      <c r="N282" s="9" t="n"/>
      <c r="O282" s="9" t="n"/>
      <c r="Q282" s="9" t="n"/>
      <c r="R282" s="9" t="n"/>
      <c r="W282" s="9" t="n"/>
      <c r="X282" s="9" t="n"/>
      <c r="Z282">
        <f>IF(A282="","",IF(AND(N282&lt;&gt;"",O282&lt;&gt;"",Q282&lt;&gt;"",R282&lt;&gt;"",S282="Y"),"YES","no"))</f>
        <v/>
      </c>
      <c r="AA282" s="9">
        <f>IF(Z282="YES",MAX(N282,O282,Q282,R282),"")</f>
        <v/>
      </c>
      <c r="AB282">
        <f>IF(A282="","",IF(X282&lt;&gt;"","13 Repeat activity",IF(W282&lt;&gt;"","12 First enquiry/order/booking",IF(Z282="YES","11 ACTIVATED",IF(Q282&lt;&gt;"","10 First listing live",IF(O282&lt;&gt;"","9 Profile completed",IF(N282&lt;&gt;"","8 Approved",IF(M282&lt;&gt;"","7 KYC submitted",IF(L282&lt;&gt;"","6 Registration completed",IF(K282&lt;&gt;"","5b Registration started",IF(H282&lt;&gt;"","5a Information sent",IF(G282&lt;&gt;"","5 Interested","—"))))))))))))</f>
        <v/>
      </c>
      <c r="AC282" s="10">
        <f>IF(A282="","",(COUNT(G282,H282,K282,L282,M282,N282,O282,Q282,R282)+(I282="Y")+(P282="Y")+(S282="Y"))/12)</f>
        <v/>
      </c>
      <c r="AD282">
        <f>IF(OR(A282="",COUNT(G282:X282)=0),"",TODAY()-MAX(G282,H282,K282,L282,M282,N282,O282,Q282,R282,W282,X282))</f>
        <v/>
      </c>
      <c r="AE282">
        <f>IF(A282="","",IF(AND(Z282&lt;&gt;"YES",AD282&lt;&gt;"",AD282&gt;THRESHOLDS!$B$12),"STUCK — act today",""))</f>
        <v/>
      </c>
      <c r="AF282">
        <f>IF(A282="","",IF(J282="Active (verified)","",IF(J282="","Ask GST status (readiness R2)","Escalate to founder: orders need verified GSTIN in current code — no tax advice")))</f>
        <v/>
      </c>
      <c r="AG282">
        <f>IF(AND(G282&lt;&gt;"",L282&lt;&gt;""),L282-G282,"")</f>
        <v/>
      </c>
      <c r="AH282">
        <f>IF(AND(L282&lt;&gt;"",N282&lt;&gt;""),N282-L282,"")</f>
        <v/>
      </c>
      <c r="AI282">
        <f>IF(AND(N282&lt;&gt;"",AA282&lt;&gt;""),AA282-N282,"")</f>
        <v/>
      </c>
      <c r="AJ282">
        <f>IF(AND(L282&lt;&gt;"",N282&lt;&gt;"",Q282&lt;&gt;""),"Qualifies (if FP-QUAL adopted)","")</f>
        <v/>
      </c>
    </row>
    <row r="283">
      <c r="G283" s="9" t="n"/>
      <c r="H283" s="9" t="n"/>
      <c r="K283" s="9" t="n"/>
      <c r="L283" s="9" t="n"/>
      <c r="M283" s="9" t="n"/>
      <c r="N283" s="9" t="n"/>
      <c r="O283" s="9" t="n"/>
      <c r="Q283" s="9" t="n"/>
      <c r="R283" s="9" t="n"/>
      <c r="W283" s="9" t="n"/>
      <c r="X283" s="9" t="n"/>
      <c r="Z283">
        <f>IF(A283="","",IF(AND(N283&lt;&gt;"",O283&lt;&gt;"",Q283&lt;&gt;"",R283&lt;&gt;"",S283="Y"),"YES","no"))</f>
        <v/>
      </c>
      <c r="AA283" s="9">
        <f>IF(Z283="YES",MAX(N283,O283,Q283,R283),"")</f>
        <v/>
      </c>
      <c r="AB283">
        <f>IF(A283="","",IF(X283&lt;&gt;"","13 Repeat activity",IF(W283&lt;&gt;"","12 First enquiry/order/booking",IF(Z283="YES","11 ACTIVATED",IF(Q283&lt;&gt;"","10 First listing live",IF(O283&lt;&gt;"","9 Profile completed",IF(N283&lt;&gt;"","8 Approved",IF(M283&lt;&gt;"","7 KYC submitted",IF(L283&lt;&gt;"","6 Registration completed",IF(K283&lt;&gt;"","5b Registration started",IF(H283&lt;&gt;"","5a Information sent",IF(G283&lt;&gt;"","5 Interested","—"))))))))))))</f>
        <v/>
      </c>
      <c r="AC283" s="10">
        <f>IF(A283="","",(COUNT(G283,H283,K283,L283,M283,N283,O283,Q283,R283)+(I283="Y")+(P283="Y")+(S283="Y"))/12)</f>
        <v/>
      </c>
      <c r="AD283">
        <f>IF(OR(A283="",COUNT(G283:X283)=0),"",TODAY()-MAX(G283,H283,K283,L283,M283,N283,O283,Q283,R283,W283,X283))</f>
        <v/>
      </c>
      <c r="AE283">
        <f>IF(A283="","",IF(AND(Z283&lt;&gt;"YES",AD283&lt;&gt;"",AD283&gt;THRESHOLDS!$B$12),"STUCK — act today",""))</f>
        <v/>
      </c>
      <c r="AF283">
        <f>IF(A283="","",IF(J283="Active (verified)","",IF(J283="","Ask GST status (readiness R2)","Escalate to founder: orders need verified GSTIN in current code — no tax advice")))</f>
        <v/>
      </c>
      <c r="AG283">
        <f>IF(AND(G283&lt;&gt;"",L283&lt;&gt;""),L283-G283,"")</f>
        <v/>
      </c>
      <c r="AH283">
        <f>IF(AND(L283&lt;&gt;"",N283&lt;&gt;""),N283-L283,"")</f>
        <v/>
      </c>
      <c r="AI283">
        <f>IF(AND(N283&lt;&gt;"",AA283&lt;&gt;""),AA283-N283,"")</f>
        <v/>
      </c>
      <c r="AJ283">
        <f>IF(AND(L283&lt;&gt;"",N283&lt;&gt;"",Q283&lt;&gt;""),"Qualifies (if FP-QUAL adopted)","")</f>
        <v/>
      </c>
    </row>
    <row r="284">
      <c r="G284" s="9" t="n"/>
      <c r="H284" s="9" t="n"/>
      <c r="K284" s="9" t="n"/>
      <c r="L284" s="9" t="n"/>
      <c r="M284" s="9" t="n"/>
      <c r="N284" s="9" t="n"/>
      <c r="O284" s="9" t="n"/>
      <c r="Q284" s="9" t="n"/>
      <c r="R284" s="9" t="n"/>
      <c r="W284" s="9" t="n"/>
      <c r="X284" s="9" t="n"/>
      <c r="Z284">
        <f>IF(A284="","",IF(AND(N284&lt;&gt;"",O284&lt;&gt;"",Q284&lt;&gt;"",R284&lt;&gt;"",S284="Y"),"YES","no"))</f>
        <v/>
      </c>
      <c r="AA284" s="9">
        <f>IF(Z284="YES",MAX(N284,O284,Q284,R284),"")</f>
        <v/>
      </c>
      <c r="AB284">
        <f>IF(A284="","",IF(X284&lt;&gt;"","13 Repeat activity",IF(W284&lt;&gt;"","12 First enquiry/order/booking",IF(Z284="YES","11 ACTIVATED",IF(Q284&lt;&gt;"","10 First listing live",IF(O284&lt;&gt;"","9 Profile completed",IF(N284&lt;&gt;"","8 Approved",IF(M284&lt;&gt;"","7 KYC submitted",IF(L284&lt;&gt;"","6 Registration completed",IF(K284&lt;&gt;"","5b Registration started",IF(H284&lt;&gt;"","5a Information sent",IF(G284&lt;&gt;"","5 Interested","—"))))))))))))</f>
        <v/>
      </c>
      <c r="AC284" s="10">
        <f>IF(A284="","",(COUNT(G284,H284,K284,L284,M284,N284,O284,Q284,R284)+(I284="Y")+(P284="Y")+(S284="Y"))/12)</f>
        <v/>
      </c>
      <c r="AD284">
        <f>IF(OR(A284="",COUNT(G284:X284)=0),"",TODAY()-MAX(G284,H284,K284,L284,M284,N284,O284,Q284,R284,W284,X284))</f>
        <v/>
      </c>
      <c r="AE284">
        <f>IF(A284="","",IF(AND(Z284&lt;&gt;"YES",AD284&lt;&gt;"",AD284&gt;THRESHOLDS!$B$12),"STUCK — act today",""))</f>
        <v/>
      </c>
      <c r="AF284">
        <f>IF(A284="","",IF(J284="Active (verified)","",IF(J284="","Ask GST status (readiness R2)","Escalate to founder: orders need verified GSTIN in current code — no tax advice")))</f>
        <v/>
      </c>
      <c r="AG284">
        <f>IF(AND(G284&lt;&gt;"",L284&lt;&gt;""),L284-G284,"")</f>
        <v/>
      </c>
      <c r="AH284">
        <f>IF(AND(L284&lt;&gt;"",N284&lt;&gt;""),N284-L284,"")</f>
        <v/>
      </c>
      <c r="AI284">
        <f>IF(AND(N284&lt;&gt;"",AA284&lt;&gt;""),AA284-N284,"")</f>
        <v/>
      </c>
      <c r="AJ284">
        <f>IF(AND(L284&lt;&gt;"",N284&lt;&gt;"",Q284&lt;&gt;""),"Qualifies (if FP-QUAL adopted)","")</f>
        <v/>
      </c>
    </row>
    <row r="285">
      <c r="G285" s="9" t="n"/>
      <c r="H285" s="9" t="n"/>
      <c r="K285" s="9" t="n"/>
      <c r="L285" s="9" t="n"/>
      <c r="M285" s="9" t="n"/>
      <c r="N285" s="9" t="n"/>
      <c r="O285" s="9" t="n"/>
      <c r="Q285" s="9" t="n"/>
      <c r="R285" s="9" t="n"/>
      <c r="W285" s="9" t="n"/>
      <c r="X285" s="9" t="n"/>
      <c r="Z285">
        <f>IF(A285="","",IF(AND(N285&lt;&gt;"",O285&lt;&gt;"",Q285&lt;&gt;"",R285&lt;&gt;"",S285="Y"),"YES","no"))</f>
        <v/>
      </c>
      <c r="AA285" s="9">
        <f>IF(Z285="YES",MAX(N285,O285,Q285,R285),"")</f>
        <v/>
      </c>
      <c r="AB285">
        <f>IF(A285="","",IF(X285&lt;&gt;"","13 Repeat activity",IF(W285&lt;&gt;"","12 First enquiry/order/booking",IF(Z285="YES","11 ACTIVATED",IF(Q285&lt;&gt;"","10 First listing live",IF(O285&lt;&gt;"","9 Profile completed",IF(N285&lt;&gt;"","8 Approved",IF(M285&lt;&gt;"","7 KYC submitted",IF(L285&lt;&gt;"","6 Registration completed",IF(K285&lt;&gt;"","5b Registration started",IF(H285&lt;&gt;"","5a Information sent",IF(G285&lt;&gt;"","5 Interested","—"))))))))))))</f>
        <v/>
      </c>
      <c r="AC285" s="10">
        <f>IF(A285="","",(COUNT(G285,H285,K285,L285,M285,N285,O285,Q285,R285)+(I285="Y")+(P285="Y")+(S285="Y"))/12)</f>
        <v/>
      </c>
      <c r="AD285">
        <f>IF(OR(A285="",COUNT(G285:X285)=0),"",TODAY()-MAX(G285,H285,K285,L285,M285,N285,O285,Q285,R285,W285,X285))</f>
        <v/>
      </c>
      <c r="AE285">
        <f>IF(A285="","",IF(AND(Z285&lt;&gt;"YES",AD285&lt;&gt;"",AD285&gt;THRESHOLDS!$B$12),"STUCK — act today",""))</f>
        <v/>
      </c>
      <c r="AF285">
        <f>IF(A285="","",IF(J285="Active (verified)","",IF(J285="","Ask GST status (readiness R2)","Escalate to founder: orders need verified GSTIN in current code — no tax advice")))</f>
        <v/>
      </c>
      <c r="AG285">
        <f>IF(AND(G285&lt;&gt;"",L285&lt;&gt;""),L285-G285,"")</f>
        <v/>
      </c>
      <c r="AH285">
        <f>IF(AND(L285&lt;&gt;"",N285&lt;&gt;""),N285-L285,"")</f>
        <v/>
      </c>
      <c r="AI285">
        <f>IF(AND(N285&lt;&gt;"",AA285&lt;&gt;""),AA285-N285,"")</f>
        <v/>
      </c>
      <c r="AJ285">
        <f>IF(AND(L285&lt;&gt;"",N285&lt;&gt;"",Q285&lt;&gt;""),"Qualifies (if FP-QUAL adopted)","")</f>
        <v/>
      </c>
    </row>
    <row r="286">
      <c r="G286" s="9" t="n"/>
      <c r="H286" s="9" t="n"/>
      <c r="K286" s="9" t="n"/>
      <c r="L286" s="9" t="n"/>
      <c r="M286" s="9" t="n"/>
      <c r="N286" s="9" t="n"/>
      <c r="O286" s="9" t="n"/>
      <c r="Q286" s="9" t="n"/>
      <c r="R286" s="9" t="n"/>
      <c r="W286" s="9" t="n"/>
      <c r="X286" s="9" t="n"/>
      <c r="Z286">
        <f>IF(A286="","",IF(AND(N286&lt;&gt;"",O286&lt;&gt;"",Q286&lt;&gt;"",R286&lt;&gt;"",S286="Y"),"YES","no"))</f>
        <v/>
      </c>
      <c r="AA286" s="9">
        <f>IF(Z286="YES",MAX(N286,O286,Q286,R286),"")</f>
        <v/>
      </c>
      <c r="AB286">
        <f>IF(A286="","",IF(X286&lt;&gt;"","13 Repeat activity",IF(W286&lt;&gt;"","12 First enquiry/order/booking",IF(Z286="YES","11 ACTIVATED",IF(Q286&lt;&gt;"","10 First listing live",IF(O286&lt;&gt;"","9 Profile completed",IF(N286&lt;&gt;"","8 Approved",IF(M286&lt;&gt;"","7 KYC submitted",IF(L286&lt;&gt;"","6 Registration completed",IF(K286&lt;&gt;"","5b Registration started",IF(H286&lt;&gt;"","5a Information sent",IF(G286&lt;&gt;"","5 Interested","—"))))))))))))</f>
        <v/>
      </c>
      <c r="AC286" s="10">
        <f>IF(A286="","",(COUNT(G286,H286,K286,L286,M286,N286,O286,Q286,R286)+(I286="Y")+(P286="Y")+(S286="Y"))/12)</f>
        <v/>
      </c>
      <c r="AD286">
        <f>IF(OR(A286="",COUNT(G286:X286)=0),"",TODAY()-MAX(G286,H286,K286,L286,M286,N286,O286,Q286,R286,W286,X286))</f>
        <v/>
      </c>
      <c r="AE286">
        <f>IF(A286="","",IF(AND(Z286&lt;&gt;"YES",AD286&lt;&gt;"",AD286&gt;THRESHOLDS!$B$12),"STUCK — act today",""))</f>
        <v/>
      </c>
      <c r="AF286">
        <f>IF(A286="","",IF(J286="Active (verified)","",IF(J286="","Ask GST status (readiness R2)","Escalate to founder: orders need verified GSTIN in current code — no tax advice")))</f>
        <v/>
      </c>
      <c r="AG286">
        <f>IF(AND(G286&lt;&gt;"",L286&lt;&gt;""),L286-G286,"")</f>
        <v/>
      </c>
      <c r="AH286">
        <f>IF(AND(L286&lt;&gt;"",N286&lt;&gt;""),N286-L286,"")</f>
        <v/>
      </c>
      <c r="AI286">
        <f>IF(AND(N286&lt;&gt;"",AA286&lt;&gt;""),AA286-N286,"")</f>
        <v/>
      </c>
      <c r="AJ286">
        <f>IF(AND(L286&lt;&gt;"",N286&lt;&gt;"",Q286&lt;&gt;""),"Qualifies (if FP-QUAL adopted)","")</f>
        <v/>
      </c>
    </row>
    <row r="287">
      <c r="G287" s="9" t="n"/>
      <c r="H287" s="9" t="n"/>
      <c r="K287" s="9" t="n"/>
      <c r="L287" s="9" t="n"/>
      <c r="M287" s="9" t="n"/>
      <c r="N287" s="9" t="n"/>
      <c r="O287" s="9" t="n"/>
      <c r="Q287" s="9" t="n"/>
      <c r="R287" s="9" t="n"/>
      <c r="W287" s="9" t="n"/>
      <c r="X287" s="9" t="n"/>
      <c r="Z287">
        <f>IF(A287="","",IF(AND(N287&lt;&gt;"",O287&lt;&gt;"",Q287&lt;&gt;"",R287&lt;&gt;"",S287="Y"),"YES","no"))</f>
        <v/>
      </c>
      <c r="AA287" s="9">
        <f>IF(Z287="YES",MAX(N287,O287,Q287,R287),"")</f>
        <v/>
      </c>
      <c r="AB287">
        <f>IF(A287="","",IF(X287&lt;&gt;"","13 Repeat activity",IF(W287&lt;&gt;"","12 First enquiry/order/booking",IF(Z287="YES","11 ACTIVATED",IF(Q287&lt;&gt;"","10 First listing live",IF(O287&lt;&gt;"","9 Profile completed",IF(N287&lt;&gt;"","8 Approved",IF(M287&lt;&gt;"","7 KYC submitted",IF(L287&lt;&gt;"","6 Registration completed",IF(K287&lt;&gt;"","5b Registration started",IF(H287&lt;&gt;"","5a Information sent",IF(G287&lt;&gt;"","5 Interested","—"))))))))))))</f>
        <v/>
      </c>
      <c r="AC287" s="10">
        <f>IF(A287="","",(COUNT(G287,H287,K287,L287,M287,N287,O287,Q287,R287)+(I287="Y")+(P287="Y")+(S287="Y"))/12)</f>
        <v/>
      </c>
      <c r="AD287">
        <f>IF(OR(A287="",COUNT(G287:X287)=0),"",TODAY()-MAX(G287,H287,K287,L287,M287,N287,O287,Q287,R287,W287,X287))</f>
        <v/>
      </c>
      <c r="AE287">
        <f>IF(A287="","",IF(AND(Z287&lt;&gt;"YES",AD287&lt;&gt;"",AD287&gt;THRESHOLDS!$B$12),"STUCK — act today",""))</f>
        <v/>
      </c>
      <c r="AF287">
        <f>IF(A287="","",IF(J287="Active (verified)","",IF(J287="","Ask GST status (readiness R2)","Escalate to founder: orders need verified GSTIN in current code — no tax advice")))</f>
        <v/>
      </c>
      <c r="AG287">
        <f>IF(AND(G287&lt;&gt;"",L287&lt;&gt;""),L287-G287,"")</f>
        <v/>
      </c>
      <c r="AH287">
        <f>IF(AND(L287&lt;&gt;"",N287&lt;&gt;""),N287-L287,"")</f>
        <v/>
      </c>
      <c r="AI287">
        <f>IF(AND(N287&lt;&gt;"",AA287&lt;&gt;""),AA287-N287,"")</f>
        <v/>
      </c>
      <c r="AJ287">
        <f>IF(AND(L287&lt;&gt;"",N287&lt;&gt;"",Q287&lt;&gt;""),"Qualifies (if FP-QUAL adopted)","")</f>
        <v/>
      </c>
    </row>
    <row r="288">
      <c r="G288" s="9" t="n"/>
      <c r="H288" s="9" t="n"/>
      <c r="K288" s="9" t="n"/>
      <c r="L288" s="9" t="n"/>
      <c r="M288" s="9" t="n"/>
      <c r="N288" s="9" t="n"/>
      <c r="O288" s="9" t="n"/>
      <c r="Q288" s="9" t="n"/>
      <c r="R288" s="9" t="n"/>
      <c r="W288" s="9" t="n"/>
      <c r="X288" s="9" t="n"/>
      <c r="Z288">
        <f>IF(A288="","",IF(AND(N288&lt;&gt;"",O288&lt;&gt;"",Q288&lt;&gt;"",R288&lt;&gt;"",S288="Y"),"YES","no"))</f>
        <v/>
      </c>
      <c r="AA288" s="9">
        <f>IF(Z288="YES",MAX(N288,O288,Q288,R288),"")</f>
        <v/>
      </c>
      <c r="AB288">
        <f>IF(A288="","",IF(X288&lt;&gt;"","13 Repeat activity",IF(W288&lt;&gt;"","12 First enquiry/order/booking",IF(Z288="YES","11 ACTIVATED",IF(Q288&lt;&gt;"","10 First listing live",IF(O288&lt;&gt;"","9 Profile completed",IF(N288&lt;&gt;"","8 Approved",IF(M288&lt;&gt;"","7 KYC submitted",IF(L288&lt;&gt;"","6 Registration completed",IF(K288&lt;&gt;"","5b Registration started",IF(H288&lt;&gt;"","5a Information sent",IF(G288&lt;&gt;"","5 Interested","—"))))))))))))</f>
        <v/>
      </c>
      <c r="AC288" s="10">
        <f>IF(A288="","",(COUNT(G288,H288,K288,L288,M288,N288,O288,Q288,R288)+(I288="Y")+(P288="Y")+(S288="Y"))/12)</f>
        <v/>
      </c>
      <c r="AD288">
        <f>IF(OR(A288="",COUNT(G288:X288)=0),"",TODAY()-MAX(G288,H288,K288,L288,M288,N288,O288,Q288,R288,W288,X288))</f>
        <v/>
      </c>
      <c r="AE288">
        <f>IF(A288="","",IF(AND(Z288&lt;&gt;"YES",AD288&lt;&gt;"",AD288&gt;THRESHOLDS!$B$12),"STUCK — act today",""))</f>
        <v/>
      </c>
      <c r="AF288">
        <f>IF(A288="","",IF(J288="Active (verified)","",IF(J288="","Ask GST status (readiness R2)","Escalate to founder: orders need verified GSTIN in current code — no tax advice")))</f>
        <v/>
      </c>
      <c r="AG288">
        <f>IF(AND(G288&lt;&gt;"",L288&lt;&gt;""),L288-G288,"")</f>
        <v/>
      </c>
      <c r="AH288">
        <f>IF(AND(L288&lt;&gt;"",N288&lt;&gt;""),N288-L288,"")</f>
        <v/>
      </c>
      <c r="AI288">
        <f>IF(AND(N288&lt;&gt;"",AA288&lt;&gt;""),AA288-N288,"")</f>
        <v/>
      </c>
      <c r="AJ288">
        <f>IF(AND(L288&lt;&gt;"",N288&lt;&gt;"",Q288&lt;&gt;""),"Qualifies (if FP-QUAL adopted)","")</f>
        <v/>
      </c>
    </row>
    <row r="289">
      <c r="G289" s="9" t="n"/>
      <c r="H289" s="9" t="n"/>
      <c r="K289" s="9" t="n"/>
      <c r="L289" s="9" t="n"/>
      <c r="M289" s="9" t="n"/>
      <c r="N289" s="9" t="n"/>
      <c r="O289" s="9" t="n"/>
      <c r="Q289" s="9" t="n"/>
      <c r="R289" s="9" t="n"/>
      <c r="W289" s="9" t="n"/>
      <c r="X289" s="9" t="n"/>
      <c r="Z289">
        <f>IF(A289="","",IF(AND(N289&lt;&gt;"",O289&lt;&gt;"",Q289&lt;&gt;"",R289&lt;&gt;"",S289="Y"),"YES","no"))</f>
        <v/>
      </c>
      <c r="AA289" s="9">
        <f>IF(Z289="YES",MAX(N289,O289,Q289,R289),"")</f>
        <v/>
      </c>
      <c r="AB289">
        <f>IF(A289="","",IF(X289&lt;&gt;"","13 Repeat activity",IF(W289&lt;&gt;"","12 First enquiry/order/booking",IF(Z289="YES","11 ACTIVATED",IF(Q289&lt;&gt;"","10 First listing live",IF(O289&lt;&gt;"","9 Profile completed",IF(N289&lt;&gt;"","8 Approved",IF(M289&lt;&gt;"","7 KYC submitted",IF(L289&lt;&gt;"","6 Registration completed",IF(K289&lt;&gt;"","5b Registration started",IF(H289&lt;&gt;"","5a Information sent",IF(G289&lt;&gt;"","5 Interested","—"))))))))))))</f>
        <v/>
      </c>
      <c r="AC289" s="10">
        <f>IF(A289="","",(COUNT(G289,H289,K289,L289,M289,N289,O289,Q289,R289)+(I289="Y")+(P289="Y")+(S289="Y"))/12)</f>
        <v/>
      </c>
      <c r="AD289">
        <f>IF(OR(A289="",COUNT(G289:X289)=0),"",TODAY()-MAX(G289,H289,K289,L289,M289,N289,O289,Q289,R289,W289,X289))</f>
        <v/>
      </c>
      <c r="AE289">
        <f>IF(A289="","",IF(AND(Z289&lt;&gt;"YES",AD289&lt;&gt;"",AD289&gt;THRESHOLDS!$B$12),"STUCK — act today",""))</f>
        <v/>
      </c>
      <c r="AF289">
        <f>IF(A289="","",IF(J289="Active (verified)","",IF(J289="","Ask GST status (readiness R2)","Escalate to founder: orders need verified GSTIN in current code — no tax advice")))</f>
        <v/>
      </c>
      <c r="AG289">
        <f>IF(AND(G289&lt;&gt;"",L289&lt;&gt;""),L289-G289,"")</f>
        <v/>
      </c>
      <c r="AH289">
        <f>IF(AND(L289&lt;&gt;"",N289&lt;&gt;""),N289-L289,"")</f>
        <v/>
      </c>
      <c r="AI289">
        <f>IF(AND(N289&lt;&gt;"",AA289&lt;&gt;""),AA289-N289,"")</f>
        <v/>
      </c>
      <c r="AJ289">
        <f>IF(AND(L289&lt;&gt;"",N289&lt;&gt;"",Q289&lt;&gt;""),"Qualifies (if FP-QUAL adopted)","")</f>
        <v/>
      </c>
    </row>
    <row r="290">
      <c r="G290" s="9" t="n"/>
      <c r="H290" s="9" t="n"/>
      <c r="K290" s="9" t="n"/>
      <c r="L290" s="9" t="n"/>
      <c r="M290" s="9" t="n"/>
      <c r="N290" s="9" t="n"/>
      <c r="O290" s="9" t="n"/>
      <c r="Q290" s="9" t="n"/>
      <c r="R290" s="9" t="n"/>
      <c r="W290" s="9" t="n"/>
      <c r="X290" s="9" t="n"/>
      <c r="Z290">
        <f>IF(A290="","",IF(AND(N290&lt;&gt;"",O290&lt;&gt;"",Q290&lt;&gt;"",R290&lt;&gt;"",S290="Y"),"YES","no"))</f>
        <v/>
      </c>
      <c r="AA290" s="9">
        <f>IF(Z290="YES",MAX(N290,O290,Q290,R290),"")</f>
        <v/>
      </c>
      <c r="AB290">
        <f>IF(A290="","",IF(X290&lt;&gt;"","13 Repeat activity",IF(W290&lt;&gt;"","12 First enquiry/order/booking",IF(Z290="YES","11 ACTIVATED",IF(Q290&lt;&gt;"","10 First listing live",IF(O290&lt;&gt;"","9 Profile completed",IF(N290&lt;&gt;"","8 Approved",IF(M290&lt;&gt;"","7 KYC submitted",IF(L290&lt;&gt;"","6 Registration completed",IF(K290&lt;&gt;"","5b Registration started",IF(H290&lt;&gt;"","5a Information sent",IF(G290&lt;&gt;"","5 Interested","—"))))))))))))</f>
        <v/>
      </c>
      <c r="AC290" s="10">
        <f>IF(A290="","",(COUNT(G290,H290,K290,L290,M290,N290,O290,Q290,R290)+(I290="Y")+(P290="Y")+(S290="Y"))/12)</f>
        <v/>
      </c>
      <c r="AD290">
        <f>IF(OR(A290="",COUNT(G290:X290)=0),"",TODAY()-MAX(G290,H290,K290,L290,M290,N290,O290,Q290,R290,W290,X290))</f>
        <v/>
      </c>
      <c r="AE290">
        <f>IF(A290="","",IF(AND(Z290&lt;&gt;"YES",AD290&lt;&gt;"",AD290&gt;THRESHOLDS!$B$12),"STUCK — act today",""))</f>
        <v/>
      </c>
      <c r="AF290">
        <f>IF(A290="","",IF(J290="Active (verified)","",IF(J290="","Ask GST status (readiness R2)","Escalate to founder: orders need verified GSTIN in current code — no tax advice")))</f>
        <v/>
      </c>
      <c r="AG290">
        <f>IF(AND(G290&lt;&gt;"",L290&lt;&gt;""),L290-G290,"")</f>
        <v/>
      </c>
      <c r="AH290">
        <f>IF(AND(L290&lt;&gt;"",N290&lt;&gt;""),N290-L290,"")</f>
        <v/>
      </c>
      <c r="AI290">
        <f>IF(AND(N290&lt;&gt;"",AA290&lt;&gt;""),AA290-N290,"")</f>
        <v/>
      </c>
      <c r="AJ290">
        <f>IF(AND(L290&lt;&gt;"",N290&lt;&gt;"",Q290&lt;&gt;""),"Qualifies (if FP-QUAL adopted)","")</f>
        <v/>
      </c>
    </row>
    <row r="291">
      <c r="G291" s="9" t="n"/>
      <c r="H291" s="9" t="n"/>
      <c r="K291" s="9" t="n"/>
      <c r="L291" s="9" t="n"/>
      <c r="M291" s="9" t="n"/>
      <c r="N291" s="9" t="n"/>
      <c r="O291" s="9" t="n"/>
      <c r="Q291" s="9" t="n"/>
      <c r="R291" s="9" t="n"/>
      <c r="W291" s="9" t="n"/>
      <c r="X291" s="9" t="n"/>
      <c r="Z291">
        <f>IF(A291="","",IF(AND(N291&lt;&gt;"",O291&lt;&gt;"",Q291&lt;&gt;"",R291&lt;&gt;"",S291="Y"),"YES","no"))</f>
        <v/>
      </c>
      <c r="AA291" s="9">
        <f>IF(Z291="YES",MAX(N291,O291,Q291,R291),"")</f>
        <v/>
      </c>
      <c r="AB291">
        <f>IF(A291="","",IF(X291&lt;&gt;"","13 Repeat activity",IF(W291&lt;&gt;"","12 First enquiry/order/booking",IF(Z291="YES","11 ACTIVATED",IF(Q291&lt;&gt;"","10 First listing live",IF(O291&lt;&gt;"","9 Profile completed",IF(N291&lt;&gt;"","8 Approved",IF(M291&lt;&gt;"","7 KYC submitted",IF(L291&lt;&gt;"","6 Registration completed",IF(K291&lt;&gt;"","5b Registration started",IF(H291&lt;&gt;"","5a Information sent",IF(G291&lt;&gt;"","5 Interested","—"))))))))))))</f>
        <v/>
      </c>
      <c r="AC291" s="10">
        <f>IF(A291="","",(COUNT(G291,H291,K291,L291,M291,N291,O291,Q291,R291)+(I291="Y")+(P291="Y")+(S291="Y"))/12)</f>
        <v/>
      </c>
      <c r="AD291">
        <f>IF(OR(A291="",COUNT(G291:X291)=0),"",TODAY()-MAX(G291,H291,K291,L291,M291,N291,O291,Q291,R291,W291,X291))</f>
        <v/>
      </c>
      <c r="AE291">
        <f>IF(A291="","",IF(AND(Z291&lt;&gt;"YES",AD291&lt;&gt;"",AD291&gt;THRESHOLDS!$B$12),"STUCK — act today",""))</f>
        <v/>
      </c>
      <c r="AF291">
        <f>IF(A291="","",IF(J291="Active (verified)","",IF(J291="","Ask GST status (readiness R2)","Escalate to founder: orders need verified GSTIN in current code — no tax advice")))</f>
        <v/>
      </c>
      <c r="AG291">
        <f>IF(AND(G291&lt;&gt;"",L291&lt;&gt;""),L291-G291,"")</f>
        <v/>
      </c>
      <c r="AH291">
        <f>IF(AND(L291&lt;&gt;"",N291&lt;&gt;""),N291-L291,"")</f>
        <v/>
      </c>
      <c r="AI291">
        <f>IF(AND(N291&lt;&gt;"",AA291&lt;&gt;""),AA291-N291,"")</f>
        <v/>
      </c>
      <c r="AJ291">
        <f>IF(AND(L291&lt;&gt;"",N291&lt;&gt;"",Q291&lt;&gt;""),"Qualifies (if FP-QUAL adopted)","")</f>
        <v/>
      </c>
    </row>
    <row r="292">
      <c r="G292" s="9" t="n"/>
      <c r="H292" s="9" t="n"/>
      <c r="K292" s="9" t="n"/>
      <c r="L292" s="9" t="n"/>
      <c r="M292" s="9" t="n"/>
      <c r="N292" s="9" t="n"/>
      <c r="O292" s="9" t="n"/>
      <c r="Q292" s="9" t="n"/>
      <c r="R292" s="9" t="n"/>
      <c r="W292" s="9" t="n"/>
      <c r="X292" s="9" t="n"/>
      <c r="Z292">
        <f>IF(A292="","",IF(AND(N292&lt;&gt;"",O292&lt;&gt;"",Q292&lt;&gt;"",R292&lt;&gt;"",S292="Y"),"YES","no"))</f>
        <v/>
      </c>
      <c r="AA292" s="9">
        <f>IF(Z292="YES",MAX(N292,O292,Q292,R292),"")</f>
        <v/>
      </c>
      <c r="AB292">
        <f>IF(A292="","",IF(X292&lt;&gt;"","13 Repeat activity",IF(W292&lt;&gt;"","12 First enquiry/order/booking",IF(Z292="YES","11 ACTIVATED",IF(Q292&lt;&gt;"","10 First listing live",IF(O292&lt;&gt;"","9 Profile completed",IF(N292&lt;&gt;"","8 Approved",IF(M292&lt;&gt;"","7 KYC submitted",IF(L292&lt;&gt;"","6 Registration completed",IF(K292&lt;&gt;"","5b Registration started",IF(H292&lt;&gt;"","5a Information sent",IF(G292&lt;&gt;"","5 Interested","—"))))))))))))</f>
        <v/>
      </c>
      <c r="AC292" s="10">
        <f>IF(A292="","",(COUNT(G292,H292,K292,L292,M292,N292,O292,Q292,R292)+(I292="Y")+(P292="Y")+(S292="Y"))/12)</f>
        <v/>
      </c>
      <c r="AD292">
        <f>IF(OR(A292="",COUNT(G292:X292)=0),"",TODAY()-MAX(G292,H292,K292,L292,M292,N292,O292,Q292,R292,W292,X292))</f>
        <v/>
      </c>
      <c r="AE292">
        <f>IF(A292="","",IF(AND(Z292&lt;&gt;"YES",AD292&lt;&gt;"",AD292&gt;THRESHOLDS!$B$12),"STUCK — act today",""))</f>
        <v/>
      </c>
      <c r="AF292">
        <f>IF(A292="","",IF(J292="Active (verified)","",IF(J292="","Ask GST status (readiness R2)","Escalate to founder: orders need verified GSTIN in current code — no tax advice")))</f>
        <v/>
      </c>
      <c r="AG292">
        <f>IF(AND(G292&lt;&gt;"",L292&lt;&gt;""),L292-G292,"")</f>
        <v/>
      </c>
      <c r="AH292">
        <f>IF(AND(L292&lt;&gt;"",N292&lt;&gt;""),N292-L292,"")</f>
        <v/>
      </c>
      <c r="AI292">
        <f>IF(AND(N292&lt;&gt;"",AA292&lt;&gt;""),AA292-N292,"")</f>
        <v/>
      </c>
      <c r="AJ292">
        <f>IF(AND(L292&lt;&gt;"",N292&lt;&gt;"",Q292&lt;&gt;""),"Qualifies (if FP-QUAL adopted)","")</f>
        <v/>
      </c>
    </row>
    <row r="293">
      <c r="G293" s="9" t="n"/>
      <c r="H293" s="9" t="n"/>
      <c r="K293" s="9" t="n"/>
      <c r="L293" s="9" t="n"/>
      <c r="M293" s="9" t="n"/>
      <c r="N293" s="9" t="n"/>
      <c r="O293" s="9" t="n"/>
      <c r="Q293" s="9" t="n"/>
      <c r="R293" s="9" t="n"/>
      <c r="W293" s="9" t="n"/>
      <c r="X293" s="9" t="n"/>
      <c r="Z293">
        <f>IF(A293="","",IF(AND(N293&lt;&gt;"",O293&lt;&gt;"",Q293&lt;&gt;"",R293&lt;&gt;"",S293="Y"),"YES","no"))</f>
        <v/>
      </c>
      <c r="AA293" s="9">
        <f>IF(Z293="YES",MAX(N293,O293,Q293,R293),"")</f>
        <v/>
      </c>
      <c r="AB293">
        <f>IF(A293="","",IF(X293&lt;&gt;"","13 Repeat activity",IF(W293&lt;&gt;"","12 First enquiry/order/booking",IF(Z293="YES","11 ACTIVATED",IF(Q293&lt;&gt;"","10 First listing live",IF(O293&lt;&gt;"","9 Profile completed",IF(N293&lt;&gt;"","8 Approved",IF(M293&lt;&gt;"","7 KYC submitted",IF(L293&lt;&gt;"","6 Registration completed",IF(K293&lt;&gt;"","5b Registration started",IF(H293&lt;&gt;"","5a Information sent",IF(G293&lt;&gt;"","5 Interested","—"))))))))))))</f>
        <v/>
      </c>
      <c r="AC293" s="10">
        <f>IF(A293="","",(COUNT(G293,H293,K293,L293,M293,N293,O293,Q293,R293)+(I293="Y")+(P293="Y")+(S293="Y"))/12)</f>
        <v/>
      </c>
      <c r="AD293">
        <f>IF(OR(A293="",COUNT(G293:X293)=0),"",TODAY()-MAX(G293,H293,K293,L293,M293,N293,O293,Q293,R293,W293,X293))</f>
        <v/>
      </c>
      <c r="AE293">
        <f>IF(A293="","",IF(AND(Z293&lt;&gt;"YES",AD293&lt;&gt;"",AD293&gt;THRESHOLDS!$B$12),"STUCK — act today",""))</f>
        <v/>
      </c>
      <c r="AF293">
        <f>IF(A293="","",IF(J293="Active (verified)","",IF(J293="","Ask GST status (readiness R2)","Escalate to founder: orders need verified GSTIN in current code — no tax advice")))</f>
        <v/>
      </c>
      <c r="AG293">
        <f>IF(AND(G293&lt;&gt;"",L293&lt;&gt;""),L293-G293,"")</f>
        <v/>
      </c>
      <c r="AH293">
        <f>IF(AND(L293&lt;&gt;"",N293&lt;&gt;""),N293-L293,"")</f>
        <v/>
      </c>
      <c r="AI293">
        <f>IF(AND(N293&lt;&gt;"",AA293&lt;&gt;""),AA293-N293,"")</f>
        <v/>
      </c>
      <c r="AJ293">
        <f>IF(AND(L293&lt;&gt;"",N293&lt;&gt;"",Q293&lt;&gt;""),"Qualifies (if FP-QUAL adopted)","")</f>
        <v/>
      </c>
    </row>
    <row r="294">
      <c r="G294" s="9" t="n"/>
      <c r="H294" s="9" t="n"/>
      <c r="K294" s="9" t="n"/>
      <c r="L294" s="9" t="n"/>
      <c r="M294" s="9" t="n"/>
      <c r="N294" s="9" t="n"/>
      <c r="O294" s="9" t="n"/>
      <c r="Q294" s="9" t="n"/>
      <c r="R294" s="9" t="n"/>
      <c r="W294" s="9" t="n"/>
      <c r="X294" s="9" t="n"/>
      <c r="Z294">
        <f>IF(A294="","",IF(AND(N294&lt;&gt;"",O294&lt;&gt;"",Q294&lt;&gt;"",R294&lt;&gt;"",S294="Y"),"YES","no"))</f>
        <v/>
      </c>
      <c r="AA294" s="9">
        <f>IF(Z294="YES",MAX(N294,O294,Q294,R294),"")</f>
        <v/>
      </c>
      <c r="AB294">
        <f>IF(A294="","",IF(X294&lt;&gt;"","13 Repeat activity",IF(W294&lt;&gt;"","12 First enquiry/order/booking",IF(Z294="YES","11 ACTIVATED",IF(Q294&lt;&gt;"","10 First listing live",IF(O294&lt;&gt;"","9 Profile completed",IF(N294&lt;&gt;"","8 Approved",IF(M294&lt;&gt;"","7 KYC submitted",IF(L294&lt;&gt;"","6 Registration completed",IF(K294&lt;&gt;"","5b Registration started",IF(H294&lt;&gt;"","5a Information sent",IF(G294&lt;&gt;"","5 Interested","—"))))))))))))</f>
        <v/>
      </c>
      <c r="AC294" s="10">
        <f>IF(A294="","",(COUNT(G294,H294,K294,L294,M294,N294,O294,Q294,R294)+(I294="Y")+(P294="Y")+(S294="Y"))/12)</f>
        <v/>
      </c>
      <c r="AD294">
        <f>IF(OR(A294="",COUNT(G294:X294)=0),"",TODAY()-MAX(G294,H294,K294,L294,M294,N294,O294,Q294,R294,W294,X294))</f>
        <v/>
      </c>
      <c r="AE294">
        <f>IF(A294="","",IF(AND(Z294&lt;&gt;"YES",AD294&lt;&gt;"",AD294&gt;THRESHOLDS!$B$12),"STUCK — act today",""))</f>
        <v/>
      </c>
      <c r="AF294">
        <f>IF(A294="","",IF(J294="Active (verified)","",IF(J294="","Ask GST status (readiness R2)","Escalate to founder: orders need verified GSTIN in current code — no tax advice")))</f>
        <v/>
      </c>
      <c r="AG294">
        <f>IF(AND(G294&lt;&gt;"",L294&lt;&gt;""),L294-G294,"")</f>
        <v/>
      </c>
      <c r="AH294">
        <f>IF(AND(L294&lt;&gt;"",N294&lt;&gt;""),N294-L294,"")</f>
        <v/>
      </c>
      <c r="AI294">
        <f>IF(AND(N294&lt;&gt;"",AA294&lt;&gt;""),AA294-N294,"")</f>
        <v/>
      </c>
      <c r="AJ294">
        <f>IF(AND(L294&lt;&gt;"",N294&lt;&gt;"",Q294&lt;&gt;""),"Qualifies (if FP-QUAL adopted)","")</f>
        <v/>
      </c>
    </row>
    <row r="295">
      <c r="G295" s="9" t="n"/>
      <c r="H295" s="9" t="n"/>
      <c r="K295" s="9" t="n"/>
      <c r="L295" s="9" t="n"/>
      <c r="M295" s="9" t="n"/>
      <c r="N295" s="9" t="n"/>
      <c r="O295" s="9" t="n"/>
      <c r="Q295" s="9" t="n"/>
      <c r="R295" s="9" t="n"/>
      <c r="W295" s="9" t="n"/>
      <c r="X295" s="9" t="n"/>
      <c r="Z295">
        <f>IF(A295="","",IF(AND(N295&lt;&gt;"",O295&lt;&gt;"",Q295&lt;&gt;"",R295&lt;&gt;"",S295="Y"),"YES","no"))</f>
        <v/>
      </c>
      <c r="AA295" s="9">
        <f>IF(Z295="YES",MAX(N295,O295,Q295,R295),"")</f>
        <v/>
      </c>
      <c r="AB295">
        <f>IF(A295="","",IF(X295&lt;&gt;"","13 Repeat activity",IF(W295&lt;&gt;"","12 First enquiry/order/booking",IF(Z295="YES","11 ACTIVATED",IF(Q295&lt;&gt;"","10 First listing live",IF(O295&lt;&gt;"","9 Profile completed",IF(N295&lt;&gt;"","8 Approved",IF(M295&lt;&gt;"","7 KYC submitted",IF(L295&lt;&gt;"","6 Registration completed",IF(K295&lt;&gt;"","5b Registration started",IF(H295&lt;&gt;"","5a Information sent",IF(G295&lt;&gt;"","5 Interested","—"))))))))))))</f>
        <v/>
      </c>
      <c r="AC295" s="10">
        <f>IF(A295="","",(COUNT(G295,H295,K295,L295,M295,N295,O295,Q295,R295)+(I295="Y")+(P295="Y")+(S295="Y"))/12)</f>
        <v/>
      </c>
      <c r="AD295">
        <f>IF(OR(A295="",COUNT(G295:X295)=0),"",TODAY()-MAX(G295,H295,K295,L295,M295,N295,O295,Q295,R295,W295,X295))</f>
        <v/>
      </c>
      <c r="AE295">
        <f>IF(A295="","",IF(AND(Z295&lt;&gt;"YES",AD295&lt;&gt;"",AD295&gt;THRESHOLDS!$B$12),"STUCK — act today",""))</f>
        <v/>
      </c>
      <c r="AF295">
        <f>IF(A295="","",IF(J295="Active (verified)","",IF(J295="","Ask GST status (readiness R2)","Escalate to founder: orders need verified GSTIN in current code — no tax advice")))</f>
        <v/>
      </c>
      <c r="AG295">
        <f>IF(AND(G295&lt;&gt;"",L295&lt;&gt;""),L295-G295,"")</f>
        <v/>
      </c>
      <c r="AH295">
        <f>IF(AND(L295&lt;&gt;"",N295&lt;&gt;""),N295-L295,"")</f>
        <v/>
      </c>
      <c r="AI295">
        <f>IF(AND(N295&lt;&gt;"",AA295&lt;&gt;""),AA295-N295,"")</f>
        <v/>
      </c>
      <c r="AJ295">
        <f>IF(AND(L295&lt;&gt;"",N295&lt;&gt;"",Q295&lt;&gt;""),"Qualifies (if FP-QUAL adopted)","")</f>
        <v/>
      </c>
    </row>
    <row r="296">
      <c r="G296" s="9" t="n"/>
      <c r="H296" s="9" t="n"/>
      <c r="K296" s="9" t="n"/>
      <c r="L296" s="9" t="n"/>
      <c r="M296" s="9" t="n"/>
      <c r="N296" s="9" t="n"/>
      <c r="O296" s="9" t="n"/>
      <c r="Q296" s="9" t="n"/>
      <c r="R296" s="9" t="n"/>
      <c r="W296" s="9" t="n"/>
      <c r="X296" s="9" t="n"/>
      <c r="Z296">
        <f>IF(A296="","",IF(AND(N296&lt;&gt;"",O296&lt;&gt;"",Q296&lt;&gt;"",R296&lt;&gt;"",S296="Y"),"YES","no"))</f>
        <v/>
      </c>
      <c r="AA296" s="9">
        <f>IF(Z296="YES",MAX(N296,O296,Q296,R296),"")</f>
        <v/>
      </c>
      <c r="AB296">
        <f>IF(A296="","",IF(X296&lt;&gt;"","13 Repeat activity",IF(W296&lt;&gt;"","12 First enquiry/order/booking",IF(Z296="YES","11 ACTIVATED",IF(Q296&lt;&gt;"","10 First listing live",IF(O296&lt;&gt;"","9 Profile completed",IF(N296&lt;&gt;"","8 Approved",IF(M296&lt;&gt;"","7 KYC submitted",IF(L296&lt;&gt;"","6 Registration completed",IF(K296&lt;&gt;"","5b Registration started",IF(H296&lt;&gt;"","5a Information sent",IF(G296&lt;&gt;"","5 Interested","—"))))))))))))</f>
        <v/>
      </c>
      <c r="AC296" s="10">
        <f>IF(A296="","",(COUNT(G296,H296,K296,L296,M296,N296,O296,Q296,R296)+(I296="Y")+(P296="Y")+(S296="Y"))/12)</f>
        <v/>
      </c>
      <c r="AD296">
        <f>IF(OR(A296="",COUNT(G296:X296)=0),"",TODAY()-MAX(G296,H296,K296,L296,M296,N296,O296,Q296,R296,W296,X296))</f>
        <v/>
      </c>
      <c r="AE296">
        <f>IF(A296="","",IF(AND(Z296&lt;&gt;"YES",AD296&lt;&gt;"",AD296&gt;THRESHOLDS!$B$12),"STUCK — act today",""))</f>
        <v/>
      </c>
      <c r="AF296">
        <f>IF(A296="","",IF(J296="Active (verified)","",IF(J296="","Ask GST status (readiness R2)","Escalate to founder: orders need verified GSTIN in current code — no tax advice")))</f>
        <v/>
      </c>
      <c r="AG296">
        <f>IF(AND(G296&lt;&gt;"",L296&lt;&gt;""),L296-G296,"")</f>
        <v/>
      </c>
      <c r="AH296">
        <f>IF(AND(L296&lt;&gt;"",N296&lt;&gt;""),N296-L296,"")</f>
        <v/>
      </c>
      <c r="AI296">
        <f>IF(AND(N296&lt;&gt;"",AA296&lt;&gt;""),AA296-N296,"")</f>
        <v/>
      </c>
      <c r="AJ296">
        <f>IF(AND(L296&lt;&gt;"",N296&lt;&gt;"",Q296&lt;&gt;""),"Qualifies (if FP-QUAL adopted)","")</f>
        <v/>
      </c>
    </row>
    <row r="297">
      <c r="G297" s="9" t="n"/>
      <c r="H297" s="9" t="n"/>
      <c r="K297" s="9" t="n"/>
      <c r="L297" s="9" t="n"/>
      <c r="M297" s="9" t="n"/>
      <c r="N297" s="9" t="n"/>
      <c r="O297" s="9" t="n"/>
      <c r="Q297" s="9" t="n"/>
      <c r="R297" s="9" t="n"/>
      <c r="W297" s="9" t="n"/>
      <c r="X297" s="9" t="n"/>
      <c r="Z297">
        <f>IF(A297="","",IF(AND(N297&lt;&gt;"",O297&lt;&gt;"",Q297&lt;&gt;"",R297&lt;&gt;"",S297="Y"),"YES","no"))</f>
        <v/>
      </c>
      <c r="AA297" s="9">
        <f>IF(Z297="YES",MAX(N297,O297,Q297,R297),"")</f>
        <v/>
      </c>
      <c r="AB297">
        <f>IF(A297="","",IF(X297&lt;&gt;"","13 Repeat activity",IF(W297&lt;&gt;"","12 First enquiry/order/booking",IF(Z297="YES","11 ACTIVATED",IF(Q297&lt;&gt;"","10 First listing live",IF(O297&lt;&gt;"","9 Profile completed",IF(N297&lt;&gt;"","8 Approved",IF(M297&lt;&gt;"","7 KYC submitted",IF(L297&lt;&gt;"","6 Registration completed",IF(K297&lt;&gt;"","5b Registration started",IF(H297&lt;&gt;"","5a Information sent",IF(G297&lt;&gt;"","5 Interested","—"))))))))))))</f>
        <v/>
      </c>
      <c r="AC297" s="10">
        <f>IF(A297="","",(COUNT(G297,H297,K297,L297,M297,N297,O297,Q297,R297)+(I297="Y")+(P297="Y")+(S297="Y"))/12)</f>
        <v/>
      </c>
      <c r="AD297">
        <f>IF(OR(A297="",COUNT(G297:X297)=0),"",TODAY()-MAX(G297,H297,K297,L297,M297,N297,O297,Q297,R297,W297,X297))</f>
        <v/>
      </c>
      <c r="AE297">
        <f>IF(A297="","",IF(AND(Z297&lt;&gt;"YES",AD297&lt;&gt;"",AD297&gt;THRESHOLDS!$B$12),"STUCK — act today",""))</f>
        <v/>
      </c>
      <c r="AF297">
        <f>IF(A297="","",IF(J297="Active (verified)","",IF(J297="","Ask GST status (readiness R2)","Escalate to founder: orders need verified GSTIN in current code — no tax advice")))</f>
        <v/>
      </c>
      <c r="AG297">
        <f>IF(AND(G297&lt;&gt;"",L297&lt;&gt;""),L297-G297,"")</f>
        <v/>
      </c>
      <c r="AH297">
        <f>IF(AND(L297&lt;&gt;"",N297&lt;&gt;""),N297-L297,"")</f>
        <v/>
      </c>
      <c r="AI297">
        <f>IF(AND(N297&lt;&gt;"",AA297&lt;&gt;""),AA297-N297,"")</f>
        <v/>
      </c>
      <c r="AJ297">
        <f>IF(AND(L297&lt;&gt;"",N297&lt;&gt;"",Q297&lt;&gt;""),"Qualifies (if FP-QUAL adopted)","")</f>
        <v/>
      </c>
    </row>
    <row r="298">
      <c r="G298" s="9" t="n"/>
      <c r="H298" s="9" t="n"/>
      <c r="K298" s="9" t="n"/>
      <c r="L298" s="9" t="n"/>
      <c r="M298" s="9" t="n"/>
      <c r="N298" s="9" t="n"/>
      <c r="O298" s="9" t="n"/>
      <c r="Q298" s="9" t="n"/>
      <c r="R298" s="9" t="n"/>
      <c r="W298" s="9" t="n"/>
      <c r="X298" s="9" t="n"/>
      <c r="Z298">
        <f>IF(A298="","",IF(AND(N298&lt;&gt;"",O298&lt;&gt;"",Q298&lt;&gt;"",R298&lt;&gt;"",S298="Y"),"YES","no"))</f>
        <v/>
      </c>
      <c r="AA298" s="9">
        <f>IF(Z298="YES",MAX(N298,O298,Q298,R298),"")</f>
        <v/>
      </c>
      <c r="AB298">
        <f>IF(A298="","",IF(X298&lt;&gt;"","13 Repeat activity",IF(W298&lt;&gt;"","12 First enquiry/order/booking",IF(Z298="YES","11 ACTIVATED",IF(Q298&lt;&gt;"","10 First listing live",IF(O298&lt;&gt;"","9 Profile completed",IF(N298&lt;&gt;"","8 Approved",IF(M298&lt;&gt;"","7 KYC submitted",IF(L298&lt;&gt;"","6 Registration completed",IF(K298&lt;&gt;"","5b Registration started",IF(H298&lt;&gt;"","5a Information sent",IF(G298&lt;&gt;"","5 Interested","—"))))))))))))</f>
        <v/>
      </c>
      <c r="AC298" s="10">
        <f>IF(A298="","",(COUNT(G298,H298,K298,L298,M298,N298,O298,Q298,R298)+(I298="Y")+(P298="Y")+(S298="Y"))/12)</f>
        <v/>
      </c>
      <c r="AD298">
        <f>IF(OR(A298="",COUNT(G298:X298)=0),"",TODAY()-MAX(G298,H298,K298,L298,M298,N298,O298,Q298,R298,W298,X298))</f>
        <v/>
      </c>
      <c r="AE298">
        <f>IF(A298="","",IF(AND(Z298&lt;&gt;"YES",AD298&lt;&gt;"",AD298&gt;THRESHOLDS!$B$12),"STUCK — act today",""))</f>
        <v/>
      </c>
      <c r="AF298">
        <f>IF(A298="","",IF(J298="Active (verified)","",IF(J298="","Ask GST status (readiness R2)","Escalate to founder: orders need verified GSTIN in current code — no tax advice")))</f>
        <v/>
      </c>
      <c r="AG298">
        <f>IF(AND(G298&lt;&gt;"",L298&lt;&gt;""),L298-G298,"")</f>
        <v/>
      </c>
      <c r="AH298">
        <f>IF(AND(L298&lt;&gt;"",N298&lt;&gt;""),N298-L298,"")</f>
        <v/>
      </c>
      <c r="AI298">
        <f>IF(AND(N298&lt;&gt;"",AA298&lt;&gt;""),AA298-N298,"")</f>
        <v/>
      </c>
      <c r="AJ298">
        <f>IF(AND(L298&lt;&gt;"",N298&lt;&gt;"",Q298&lt;&gt;""),"Qualifies (if FP-QUAL adopted)","")</f>
        <v/>
      </c>
    </row>
    <row r="299">
      <c r="G299" s="9" t="n"/>
      <c r="H299" s="9" t="n"/>
      <c r="K299" s="9" t="n"/>
      <c r="L299" s="9" t="n"/>
      <c r="M299" s="9" t="n"/>
      <c r="N299" s="9" t="n"/>
      <c r="O299" s="9" t="n"/>
      <c r="Q299" s="9" t="n"/>
      <c r="R299" s="9" t="n"/>
      <c r="W299" s="9" t="n"/>
      <c r="X299" s="9" t="n"/>
      <c r="Z299">
        <f>IF(A299="","",IF(AND(N299&lt;&gt;"",O299&lt;&gt;"",Q299&lt;&gt;"",R299&lt;&gt;"",S299="Y"),"YES","no"))</f>
        <v/>
      </c>
      <c r="AA299" s="9">
        <f>IF(Z299="YES",MAX(N299,O299,Q299,R299),"")</f>
        <v/>
      </c>
      <c r="AB299">
        <f>IF(A299="","",IF(X299&lt;&gt;"","13 Repeat activity",IF(W299&lt;&gt;"","12 First enquiry/order/booking",IF(Z299="YES","11 ACTIVATED",IF(Q299&lt;&gt;"","10 First listing live",IF(O299&lt;&gt;"","9 Profile completed",IF(N299&lt;&gt;"","8 Approved",IF(M299&lt;&gt;"","7 KYC submitted",IF(L299&lt;&gt;"","6 Registration completed",IF(K299&lt;&gt;"","5b Registration started",IF(H299&lt;&gt;"","5a Information sent",IF(G299&lt;&gt;"","5 Interested","—"))))))))))))</f>
        <v/>
      </c>
      <c r="AC299" s="10">
        <f>IF(A299="","",(COUNT(G299,H299,K299,L299,M299,N299,O299,Q299,R299)+(I299="Y")+(P299="Y")+(S299="Y"))/12)</f>
        <v/>
      </c>
      <c r="AD299">
        <f>IF(OR(A299="",COUNT(G299:X299)=0),"",TODAY()-MAX(G299,H299,K299,L299,M299,N299,O299,Q299,R299,W299,X299))</f>
        <v/>
      </c>
      <c r="AE299">
        <f>IF(A299="","",IF(AND(Z299&lt;&gt;"YES",AD299&lt;&gt;"",AD299&gt;THRESHOLDS!$B$12),"STUCK — act today",""))</f>
        <v/>
      </c>
      <c r="AF299">
        <f>IF(A299="","",IF(J299="Active (verified)","",IF(J299="","Ask GST status (readiness R2)","Escalate to founder: orders need verified GSTIN in current code — no tax advice")))</f>
        <v/>
      </c>
      <c r="AG299">
        <f>IF(AND(G299&lt;&gt;"",L299&lt;&gt;""),L299-G299,"")</f>
        <v/>
      </c>
      <c r="AH299">
        <f>IF(AND(L299&lt;&gt;"",N299&lt;&gt;""),N299-L299,"")</f>
        <v/>
      </c>
      <c r="AI299">
        <f>IF(AND(N299&lt;&gt;"",AA299&lt;&gt;""),AA299-N299,"")</f>
        <v/>
      </c>
      <c r="AJ299">
        <f>IF(AND(L299&lt;&gt;"",N299&lt;&gt;"",Q299&lt;&gt;""),"Qualifies (if FP-QUAL adopted)","")</f>
        <v/>
      </c>
    </row>
    <row r="300">
      <c r="G300" s="9" t="n"/>
      <c r="H300" s="9" t="n"/>
      <c r="K300" s="9" t="n"/>
      <c r="L300" s="9" t="n"/>
      <c r="M300" s="9" t="n"/>
      <c r="N300" s="9" t="n"/>
      <c r="O300" s="9" t="n"/>
      <c r="Q300" s="9" t="n"/>
      <c r="R300" s="9" t="n"/>
      <c r="W300" s="9" t="n"/>
      <c r="X300" s="9" t="n"/>
      <c r="Z300">
        <f>IF(A300="","",IF(AND(N300&lt;&gt;"",O300&lt;&gt;"",Q300&lt;&gt;"",R300&lt;&gt;"",S300="Y"),"YES","no"))</f>
        <v/>
      </c>
      <c r="AA300" s="9">
        <f>IF(Z300="YES",MAX(N300,O300,Q300,R300),"")</f>
        <v/>
      </c>
      <c r="AB300">
        <f>IF(A300="","",IF(X300&lt;&gt;"","13 Repeat activity",IF(W300&lt;&gt;"","12 First enquiry/order/booking",IF(Z300="YES","11 ACTIVATED",IF(Q300&lt;&gt;"","10 First listing live",IF(O300&lt;&gt;"","9 Profile completed",IF(N300&lt;&gt;"","8 Approved",IF(M300&lt;&gt;"","7 KYC submitted",IF(L300&lt;&gt;"","6 Registration completed",IF(K300&lt;&gt;"","5b Registration started",IF(H300&lt;&gt;"","5a Information sent",IF(G300&lt;&gt;"","5 Interested","—"))))))))))))</f>
        <v/>
      </c>
      <c r="AC300" s="10">
        <f>IF(A300="","",(COUNT(G300,H300,K300,L300,M300,N300,O300,Q300,R300)+(I300="Y")+(P300="Y")+(S300="Y"))/12)</f>
        <v/>
      </c>
      <c r="AD300">
        <f>IF(OR(A300="",COUNT(G300:X300)=0),"",TODAY()-MAX(G300,H300,K300,L300,M300,N300,O300,Q300,R300,W300,X300))</f>
        <v/>
      </c>
      <c r="AE300">
        <f>IF(A300="","",IF(AND(Z300&lt;&gt;"YES",AD300&lt;&gt;"",AD300&gt;THRESHOLDS!$B$12),"STUCK — act today",""))</f>
        <v/>
      </c>
      <c r="AF300">
        <f>IF(A300="","",IF(J300="Active (verified)","",IF(J300="","Ask GST status (readiness R2)","Escalate to founder: orders need verified GSTIN in current code — no tax advice")))</f>
        <v/>
      </c>
      <c r="AG300">
        <f>IF(AND(G300&lt;&gt;"",L300&lt;&gt;""),L300-G300,"")</f>
        <v/>
      </c>
      <c r="AH300">
        <f>IF(AND(L300&lt;&gt;"",N300&lt;&gt;""),N300-L300,"")</f>
        <v/>
      </c>
      <c r="AI300">
        <f>IF(AND(N300&lt;&gt;"",AA300&lt;&gt;""),AA300-N300,"")</f>
        <v/>
      </c>
      <c r="AJ300">
        <f>IF(AND(L300&lt;&gt;"",N300&lt;&gt;"",Q300&lt;&gt;""),"Qualifies (if FP-QUAL adopted)","")</f>
        <v/>
      </c>
    </row>
    <row r="301">
      <c r="G301" s="9" t="n"/>
      <c r="H301" s="9" t="n"/>
      <c r="K301" s="9" t="n"/>
      <c r="L301" s="9" t="n"/>
      <c r="M301" s="9" t="n"/>
      <c r="N301" s="9" t="n"/>
      <c r="O301" s="9" t="n"/>
      <c r="Q301" s="9" t="n"/>
      <c r="R301" s="9" t="n"/>
      <c r="W301" s="9" t="n"/>
      <c r="X301" s="9" t="n"/>
      <c r="Z301">
        <f>IF(A301="","",IF(AND(N301&lt;&gt;"",O301&lt;&gt;"",Q301&lt;&gt;"",R301&lt;&gt;"",S301="Y"),"YES","no"))</f>
        <v/>
      </c>
      <c r="AA301" s="9">
        <f>IF(Z301="YES",MAX(N301,O301,Q301,R301),"")</f>
        <v/>
      </c>
      <c r="AB301">
        <f>IF(A301="","",IF(X301&lt;&gt;"","13 Repeat activity",IF(W301&lt;&gt;"","12 First enquiry/order/booking",IF(Z301="YES","11 ACTIVATED",IF(Q301&lt;&gt;"","10 First listing live",IF(O301&lt;&gt;"","9 Profile completed",IF(N301&lt;&gt;"","8 Approved",IF(M301&lt;&gt;"","7 KYC submitted",IF(L301&lt;&gt;"","6 Registration completed",IF(K301&lt;&gt;"","5b Registration started",IF(H301&lt;&gt;"","5a Information sent",IF(G301&lt;&gt;"","5 Interested","—"))))))))))))</f>
        <v/>
      </c>
      <c r="AC301" s="10">
        <f>IF(A301="","",(COUNT(G301,H301,K301,L301,M301,N301,O301,Q301,R301)+(I301="Y")+(P301="Y")+(S301="Y"))/12)</f>
        <v/>
      </c>
      <c r="AD301">
        <f>IF(OR(A301="",COUNT(G301:X301)=0),"",TODAY()-MAX(G301,H301,K301,L301,M301,N301,O301,Q301,R301,W301,X301))</f>
        <v/>
      </c>
      <c r="AE301">
        <f>IF(A301="","",IF(AND(Z301&lt;&gt;"YES",AD301&lt;&gt;"",AD301&gt;THRESHOLDS!$B$12),"STUCK — act today",""))</f>
        <v/>
      </c>
      <c r="AF301">
        <f>IF(A301="","",IF(J301="Active (verified)","",IF(J301="","Ask GST status (readiness R2)","Escalate to founder: orders need verified GSTIN in current code — no tax advice")))</f>
        <v/>
      </c>
      <c r="AG301">
        <f>IF(AND(G301&lt;&gt;"",L301&lt;&gt;""),L301-G301,"")</f>
        <v/>
      </c>
      <c r="AH301">
        <f>IF(AND(L301&lt;&gt;"",N301&lt;&gt;""),N301-L301,"")</f>
        <v/>
      </c>
      <c r="AI301">
        <f>IF(AND(N301&lt;&gt;"",AA301&lt;&gt;""),AA301-N301,"")</f>
        <v/>
      </c>
      <c r="AJ301">
        <f>IF(AND(L301&lt;&gt;"",N301&lt;&gt;"",Q301&lt;&gt;""),"Qualifies (if FP-QUAL adopted)","")</f>
        <v/>
      </c>
    </row>
    <row r="302">
      <c r="G302" s="9" t="n"/>
      <c r="H302" s="9" t="n"/>
      <c r="K302" s="9" t="n"/>
      <c r="L302" s="9" t="n"/>
      <c r="M302" s="9" t="n"/>
      <c r="N302" s="9" t="n"/>
      <c r="O302" s="9" t="n"/>
      <c r="Q302" s="9" t="n"/>
      <c r="R302" s="9" t="n"/>
      <c r="W302" s="9" t="n"/>
      <c r="X302" s="9" t="n"/>
      <c r="Z302">
        <f>IF(A302="","",IF(AND(N302&lt;&gt;"",O302&lt;&gt;"",Q302&lt;&gt;"",R302&lt;&gt;"",S302="Y"),"YES","no"))</f>
        <v/>
      </c>
      <c r="AA302" s="9">
        <f>IF(Z302="YES",MAX(N302,O302,Q302,R302),"")</f>
        <v/>
      </c>
      <c r="AB302">
        <f>IF(A302="","",IF(X302&lt;&gt;"","13 Repeat activity",IF(W302&lt;&gt;"","12 First enquiry/order/booking",IF(Z302="YES","11 ACTIVATED",IF(Q302&lt;&gt;"","10 First listing live",IF(O302&lt;&gt;"","9 Profile completed",IF(N302&lt;&gt;"","8 Approved",IF(M302&lt;&gt;"","7 KYC submitted",IF(L302&lt;&gt;"","6 Registration completed",IF(K302&lt;&gt;"","5b Registration started",IF(H302&lt;&gt;"","5a Information sent",IF(G302&lt;&gt;"","5 Interested","—"))))))))))))</f>
        <v/>
      </c>
      <c r="AC302" s="10">
        <f>IF(A302="","",(COUNT(G302,H302,K302,L302,M302,N302,O302,Q302,R302)+(I302="Y")+(P302="Y")+(S302="Y"))/12)</f>
        <v/>
      </c>
      <c r="AD302">
        <f>IF(OR(A302="",COUNT(G302:X302)=0),"",TODAY()-MAX(G302,H302,K302,L302,M302,N302,O302,Q302,R302,W302,X302))</f>
        <v/>
      </c>
      <c r="AE302">
        <f>IF(A302="","",IF(AND(Z302&lt;&gt;"YES",AD302&lt;&gt;"",AD302&gt;THRESHOLDS!$B$12),"STUCK — act today",""))</f>
        <v/>
      </c>
      <c r="AF302">
        <f>IF(A302="","",IF(J302="Active (verified)","",IF(J302="","Ask GST status (readiness R2)","Escalate to founder: orders need verified GSTIN in current code — no tax advice")))</f>
        <v/>
      </c>
      <c r="AG302">
        <f>IF(AND(G302&lt;&gt;"",L302&lt;&gt;""),L302-G302,"")</f>
        <v/>
      </c>
      <c r="AH302">
        <f>IF(AND(L302&lt;&gt;"",N302&lt;&gt;""),N302-L302,"")</f>
        <v/>
      </c>
      <c r="AI302">
        <f>IF(AND(N302&lt;&gt;"",AA302&lt;&gt;""),AA302-N302,"")</f>
        <v/>
      </c>
      <c r="AJ302">
        <f>IF(AND(L302&lt;&gt;"",N302&lt;&gt;"",Q302&lt;&gt;""),"Qualifies (if FP-QUAL adopted)","")</f>
        <v/>
      </c>
    </row>
    <row r="303">
      <c r="G303" s="9" t="n"/>
      <c r="H303" s="9" t="n"/>
      <c r="K303" s="9" t="n"/>
      <c r="L303" s="9" t="n"/>
      <c r="M303" s="9" t="n"/>
      <c r="N303" s="9" t="n"/>
      <c r="O303" s="9" t="n"/>
      <c r="Q303" s="9" t="n"/>
      <c r="R303" s="9" t="n"/>
      <c r="W303" s="9" t="n"/>
      <c r="X303" s="9" t="n"/>
      <c r="Z303">
        <f>IF(A303="","",IF(AND(N303&lt;&gt;"",O303&lt;&gt;"",Q303&lt;&gt;"",R303&lt;&gt;"",S303="Y"),"YES","no"))</f>
        <v/>
      </c>
      <c r="AA303" s="9">
        <f>IF(Z303="YES",MAX(N303,O303,Q303,R303),"")</f>
        <v/>
      </c>
      <c r="AB303">
        <f>IF(A303="","",IF(X303&lt;&gt;"","13 Repeat activity",IF(W303&lt;&gt;"","12 First enquiry/order/booking",IF(Z303="YES","11 ACTIVATED",IF(Q303&lt;&gt;"","10 First listing live",IF(O303&lt;&gt;"","9 Profile completed",IF(N303&lt;&gt;"","8 Approved",IF(M303&lt;&gt;"","7 KYC submitted",IF(L303&lt;&gt;"","6 Registration completed",IF(K303&lt;&gt;"","5b Registration started",IF(H303&lt;&gt;"","5a Information sent",IF(G303&lt;&gt;"","5 Interested","—"))))))))))))</f>
        <v/>
      </c>
      <c r="AC303" s="10">
        <f>IF(A303="","",(COUNT(G303,H303,K303,L303,M303,N303,O303,Q303,R303)+(I303="Y")+(P303="Y")+(S303="Y"))/12)</f>
        <v/>
      </c>
      <c r="AD303">
        <f>IF(OR(A303="",COUNT(G303:X303)=0),"",TODAY()-MAX(G303,H303,K303,L303,M303,N303,O303,Q303,R303,W303,X303))</f>
        <v/>
      </c>
      <c r="AE303">
        <f>IF(A303="","",IF(AND(Z303&lt;&gt;"YES",AD303&lt;&gt;"",AD303&gt;THRESHOLDS!$B$12),"STUCK — act today",""))</f>
        <v/>
      </c>
      <c r="AF303">
        <f>IF(A303="","",IF(J303="Active (verified)","",IF(J303="","Ask GST status (readiness R2)","Escalate to founder: orders need verified GSTIN in current code — no tax advice")))</f>
        <v/>
      </c>
      <c r="AG303">
        <f>IF(AND(G303&lt;&gt;"",L303&lt;&gt;""),L303-G303,"")</f>
        <v/>
      </c>
      <c r="AH303">
        <f>IF(AND(L303&lt;&gt;"",N303&lt;&gt;""),N303-L303,"")</f>
        <v/>
      </c>
      <c r="AI303">
        <f>IF(AND(N303&lt;&gt;"",AA303&lt;&gt;""),AA303-N303,"")</f>
        <v/>
      </c>
      <c r="AJ303">
        <f>IF(AND(L303&lt;&gt;"",N303&lt;&gt;"",Q303&lt;&gt;""),"Qualifies (if FP-QUAL adopted)","")</f>
        <v/>
      </c>
    </row>
    <row r="304">
      <c r="G304" s="9" t="n"/>
      <c r="H304" s="9" t="n"/>
      <c r="K304" s="9" t="n"/>
      <c r="L304" s="9" t="n"/>
      <c r="M304" s="9" t="n"/>
      <c r="N304" s="9" t="n"/>
      <c r="O304" s="9" t="n"/>
      <c r="Q304" s="9" t="n"/>
      <c r="R304" s="9" t="n"/>
      <c r="W304" s="9" t="n"/>
      <c r="X304" s="9" t="n"/>
      <c r="Z304">
        <f>IF(A304="","",IF(AND(N304&lt;&gt;"",O304&lt;&gt;"",Q304&lt;&gt;"",R304&lt;&gt;"",S304="Y"),"YES","no"))</f>
        <v/>
      </c>
      <c r="AA304" s="9">
        <f>IF(Z304="YES",MAX(N304,O304,Q304,R304),"")</f>
        <v/>
      </c>
      <c r="AB304">
        <f>IF(A304="","",IF(X304&lt;&gt;"","13 Repeat activity",IF(W304&lt;&gt;"","12 First enquiry/order/booking",IF(Z304="YES","11 ACTIVATED",IF(Q304&lt;&gt;"","10 First listing live",IF(O304&lt;&gt;"","9 Profile completed",IF(N304&lt;&gt;"","8 Approved",IF(M304&lt;&gt;"","7 KYC submitted",IF(L304&lt;&gt;"","6 Registration completed",IF(K304&lt;&gt;"","5b Registration started",IF(H304&lt;&gt;"","5a Information sent",IF(G304&lt;&gt;"","5 Interested","—"))))))))))))</f>
        <v/>
      </c>
      <c r="AC304" s="10">
        <f>IF(A304="","",(COUNT(G304,H304,K304,L304,M304,N304,O304,Q304,R304)+(I304="Y")+(P304="Y")+(S304="Y"))/12)</f>
        <v/>
      </c>
      <c r="AD304">
        <f>IF(OR(A304="",COUNT(G304:X304)=0),"",TODAY()-MAX(G304,H304,K304,L304,M304,N304,O304,Q304,R304,W304,X304))</f>
        <v/>
      </c>
      <c r="AE304">
        <f>IF(A304="","",IF(AND(Z304&lt;&gt;"YES",AD304&lt;&gt;"",AD304&gt;THRESHOLDS!$B$12),"STUCK — act today",""))</f>
        <v/>
      </c>
      <c r="AF304">
        <f>IF(A304="","",IF(J304="Active (verified)","",IF(J304="","Ask GST status (readiness R2)","Escalate to founder: orders need verified GSTIN in current code — no tax advice")))</f>
        <v/>
      </c>
      <c r="AG304">
        <f>IF(AND(G304&lt;&gt;"",L304&lt;&gt;""),L304-G304,"")</f>
        <v/>
      </c>
      <c r="AH304">
        <f>IF(AND(L304&lt;&gt;"",N304&lt;&gt;""),N304-L304,"")</f>
        <v/>
      </c>
      <c r="AI304">
        <f>IF(AND(N304&lt;&gt;"",AA304&lt;&gt;""),AA304-N304,"")</f>
        <v/>
      </c>
      <c r="AJ304">
        <f>IF(AND(L304&lt;&gt;"",N304&lt;&gt;"",Q304&lt;&gt;""),"Qualifies (if FP-QUAL adopted)","")</f>
        <v/>
      </c>
    </row>
    <row r="305">
      <c r="G305" s="9" t="n"/>
      <c r="H305" s="9" t="n"/>
      <c r="K305" s="9" t="n"/>
      <c r="L305" s="9" t="n"/>
      <c r="M305" s="9" t="n"/>
      <c r="N305" s="9" t="n"/>
      <c r="O305" s="9" t="n"/>
      <c r="Q305" s="9" t="n"/>
      <c r="R305" s="9" t="n"/>
      <c r="W305" s="9" t="n"/>
      <c r="X305" s="9" t="n"/>
      <c r="Z305">
        <f>IF(A305="","",IF(AND(N305&lt;&gt;"",O305&lt;&gt;"",Q305&lt;&gt;"",R305&lt;&gt;"",S305="Y"),"YES","no"))</f>
        <v/>
      </c>
      <c r="AA305" s="9">
        <f>IF(Z305="YES",MAX(N305,O305,Q305,R305),"")</f>
        <v/>
      </c>
      <c r="AB305">
        <f>IF(A305="","",IF(X305&lt;&gt;"","13 Repeat activity",IF(W305&lt;&gt;"","12 First enquiry/order/booking",IF(Z305="YES","11 ACTIVATED",IF(Q305&lt;&gt;"","10 First listing live",IF(O305&lt;&gt;"","9 Profile completed",IF(N305&lt;&gt;"","8 Approved",IF(M305&lt;&gt;"","7 KYC submitted",IF(L305&lt;&gt;"","6 Registration completed",IF(K305&lt;&gt;"","5b Registration started",IF(H305&lt;&gt;"","5a Information sent",IF(G305&lt;&gt;"","5 Interested","—"))))))))))))</f>
        <v/>
      </c>
      <c r="AC305" s="10">
        <f>IF(A305="","",(COUNT(G305,H305,K305,L305,M305,N305,O305,Q305,R305)+(I305="Y")+(P305="Y")+(S305="Y"))/12)</f>
        <v/>
      </c>
      <c r="AD305">
        <f>IF(OR(A305="",COUNT(G305:X305)=0),"",TODAY()-MAX(G305,H305,K305,L305,M305,N305,O305,Q305,R305,W305,X305))</f>
        <v/>
      </c>
      <c r="AE305">
        <f>IF(A305="","",IF(AND(Z305&lt;&gt;"YES",AD305&lt;&gt;"",AD305&gt;THRESHOLDS!$B$12),"STUCK — act today",""))</f>
        <v/>
      </c>
      <c r="AF305">
        <f>IF(A305="","",IF(J305="Active (verified)","",IF(J305="","Ask GST status (readiness R2)","Escalate to founder: orders need verified GSTIN in current code — no tax advice")))</f>
        <v/>
      </c>
      <c r="AG305">
        <f>IF(AND(G305&lt;&gt;"",L305&lt;&gt;""),L305-G305,"")</f>
        <v/>
      </c>
      <c r="AH305">
        <f>IF(AND(L305&lt;&gt;"",N305&lt;&gt;""),N305-L305,"")</f>
        <v/>
      </c>
      <c r="AI305">
        <f>IF(AND(N305&lt;&gt;"",AA305&lt;&gt;""),AA305-N305,"")</f>
        <v/>
      </c>
      <c r="AJ305">
        <f>IF(AND(L305&lt;&gt;"",N305&lt;&gt;"",Q305&lt;&gt;""),"Qualifies (if FP-QUAL adopted)","")</f>
        <v/>
      </c>
    </row>
    <row r="306">
      <c r="G306" s="9" t="n"/>
      <c r="H306" s="9" t="n"/>
      <c r="K306" s="9" t="n"/>
      <c r="L306" s="9" t="n"/>
      <c r="M306" s="9" t="n"/>
      <c r="N306" s="9" t="n"/>
      <c r="O306" s="9" t="n"/>
      <c r="Q306" s="9" t="n"/>
      <c r="R306" s="9" t="n"/>
      <c r="W306" s="9" t="n"/>
      <c r="X306" s="9" t="n"/>
      <c r="Z306">
        <f>IF(A306="","",IF(AND(N306&lt;&gt;"",O306&lt;&gt;"",Q306&lt;&gt;"",R306&lt;&gt;"",S306="Y"),"YES","no"))</f>
        <v/>
      </c>
      <c r="AA306" s="9">
        <f>IF(Z306="YES",MAX(N306,O306,Q306,R306),"")</f>
        <v/>
      </c>
      <c r="AB306">
        <f>IF(A306="","",IF(X306&lt;&gt;"","13 Repeat activity",IF(W306&lt;&gt;"","12 First enquiry/order/booking",IF(Z306="YES","11 ACTIVATED",IF(Q306&lt;&gt;"","10 First listing live",IF(O306&lt;&gt;"","9 Profile completed",IF(N306&lt;&gt;"","8 Approved",IF(M306&lt;&gt;"","7 KYC submitted",IF(L306&lt;&gt;"","6 Registration completed",IF(K306&lt;&gt;"","5b Registration started",IF(H306&lt;&gt;"","5a Information sent",IF(G306&lt;&gt;"","5 Interested","—"))))))))))))</f>
        <v/>
      </c>
      <c r="AC306" s="10">
        <f>IF(A306="","",(COUNT(G306,H306,K306,L306,M306,N306,O306,Q306,R306)+(I306="Y")+(P306="Y")+(S306="Y"))/12)</f>
        <v/>
      </c>
      <c r="AD306">
        <f>IF(OR(A306="",COUNT(G306:X306)=0),"",TODAY()-MAX(G306,H306,K306,L306,M306,N306,O306,Q306,R306,W306,X306))</f>
        <v/>
      </c>
      <c r="AE306">
        <f>IF(A306="","",IF(AND(Z306&lt;&gt;"YES",AD306&lt;&gt;"",AD306&gt;THRESHOLDS!$B$12),"STUCK — act today",""))</f>
        <v/>
      </c>
      <c r="AF306">
        <f>IF(A306="","",IF(J306="Active (verified)","",IF(J306="","Ask GST status (readiness R2)","Escalate to founder: orders need verified GSTIN in current code — no tax advice")))</f>
        <v/>
      </c>
      <c r="AG306">
        <f>IF(AND(G306&lt;&gt;"",L306&lt;&gt;""),L306-G306,"")</f>
        <v/>
      </c>
      <c r="AH306">
        <f>IF(AND(L306&lt;&gt;"",N306&lt;&gt;""),N306-L306,"")</f>
        <v/>
      </c>
      <c r="AI306">
        <f>IF(AND(N306&lt;&gt;"",AA306&lt;&gt;""),AA306-N306,"")</f>
        <v/>
      </c>
      <c r="AJ306">
        <f>IF(AND(L306&lt;&gt;"",N306&lt;&gt;"",Q306&lt;&gt;""),"Qualifies (if FP-QUAL adopted)","")</f>
        <v/>
      </c>
    </row>
    <row r="307">
      <c r="G307" s="9" t="n"/>
      <c r="H307" s="9" t="n"/>
      <c r="K307" s="9" t="n"/>
      <c r="L307" s="9" t="n"/>
      <c r="M307" s="9" t="n"/>
      <c r="N307" s="9" t="n"/>
      <c r="O307" s="9" t="n"/>
      <c r="Q307" s="9" t="n"/>
      <c r="R307" s="9" t="n"/>
      <c r="W307" s="9" t="n"/>
      <c r="X307" s="9" t="n"/>
      <c r="Z307">
        <f>IF(A307="","",IF(AND(N307&lt;&gt;"",O307&lt;&gt;"",Q307&lt;&gt;"",R307&lt;&gt;"",S307="Y"),"YES","no"))</f>
        <v/>
      </c>
      <c r="AA307" s="9">
        <f>IF(Z307="YES",MAX(N307,O307,Q307,R307),"")</f>
        <v/>
      </c>
      <c r="AB307">
        <f>IF(A307="","",IF(X307&lt;&gt;"","13 Repeat activity",IF(W307&lt;&gt;"","12 First enquiry/order/booking",IF(Z307="YES","11 ACTIVATED",IF(Q307&lt;&gt;"","10 First listing live",IF(O307&lt;&gt;"","9 Profile completed",IF(N307&lt;&gt;"","8 Approved",IF(M307&lt;&gt;"","7 KYC submitted",IF(L307&lt;&gt;"","6 Registration completed",IF(K307&lt;&gt;"","5b Registration started",IF(H307&lt;&gt;"","5a Information sent",IF(G307&lt;&gt;"","5 Interested","—"))))))))))))</f>
        <v/>
      </c>
      <c r="AC307" s="10">
        <f>IF(A307="","",(COUNT(G307,H307,K307,L307,M307,N307,O307,Q307,R307)+(I307="Y")+(P307="Y")+(S307="Y"))/12)</f>
        <v/>
      </c>
      <c r="AD307">
        <f>IF(OR(A307="",COUNT(G307:X307)=0),"",TODAY()-MAX(G307,H307,K307,L307,M307,N307,O307,Q307,R307,W307,X307))</f>
        <v/>
      </c>
      <c r="AE307">
        <f>IF(A307="","",IF(AND(Z307&lt;&gt;"YES",AD307&lt;&gt;"",AD307&gt;THRESHOLDS!$B$12),"STUCK — act today",""))</f>
        <v/>
      </c>
      <c r="AF307">
        <f>IF(A307="","",IF(J307="Active (verified)","",IF(J307="","Ask GST status (readiness R2)","Escalate to founder: orders need verified GSTIN in current code — no tax advice")))</f>
        <v/>
      </c>
      <c r="AG307">
        <f>IF(AND(G307&lt;&gt;"",L307&lt;&gt;""),L307-G307,"")</f>
        <v/>
      </c>
      <c r="AH307">
        <f>IF(AND(L307&lt;&gt;"",N307&lt;&gt;""),N307-L307,"")</f>
        <v/>
      </c>
      <c r="AI307">
        <f>IF(AND(N307&lt;&gt;"",AA307&lt;&gt;""),AA307-N307,"")</f>
        <v/>
      </c>
      <c r="AJ307">
        <f>IF(AND(L307&lt;&gt;"",N307&lt;&gt;"",Q307&lt;&gt;""),"Qualifies (if FP-QUAL adopted)","")</f>
        <v/>
      </c>
    </row>
    <row r="308">
      <c r="G308" s="9" t="n"/>
      <c r="H308" s="9" t="n"/>
      <c r="K308" s="9" t="n"/>
      <c r="L308" s="9" t="n"/>
      <c r="M308" s="9" t="n"/>
      <c r="N308" s="9" t="n"/>
      <c r="O308" s="9" t="n"/>
      <c r="Q308" s="9" t="n"/>
      <c r="R308" s="9" t="n"/>
      <c r="W308" s="9" t="n"/>
      <c r="X308" s="9" t="n"/>
      <c r="Z308">
        <f>IF(A308="","",IF(AND(N308&lt;&gt;"",O308&lt;&gt;"",Q308&lt;&gt;"",R308&lt;&gt;"",S308="Y"),"YES","no"))</f>
        <v/>
      </c>
      <c r="AA308" s="9">
        <f>IF(Z308="YES",MAX(N308,O308,Q308,R308),"")</f>
        <v/>
      </c>
      <c r="AB308">
        <f>IF(A308="","",IF(X308&lt;&gt;"","13 Repeat activity",IF(W308&lt;&gt;"","12 First enquiry/order/booking",IF(Z308="YES","11 ACTIVATED",IF(Q308&lt;&gt;"","10 First listing live",IF(O308&lt;&gt;"","9 Profile completed",IF(N308&lt;&gt;"","8 Approved",IF(M308&lt;&gt;"","7 KYC submitted",IF(L308&lt;&gt;"","6 Registration completed",IF(K308&lt;&gt;"","5b Registration started",IF(H308&lt;&gt;"","5a Information sent",IF(G308&lt;&gt;"","5 Interested","—"))))))))))))</f>
        <v/>
      </c>
      <c r="AC308" s="10">
        <f>IF(A308="","",(COUNT(G308,H308,K308,L308,M308,N308,O308,Q308,R308)+(I308="Y")+(P308="Y")+(S308="Y"))/12)</f>
        <v/>
      </c>
      <c r="AD308">
        <f>IF(OR(A308="",COUNT(G308:X308)=0),"",TODAY()-MAX(G308,H308,K308,L308,M308,N308,O308,Q308,R308,W308,X308))</f>
        <v/>
      </c>
      <c r="AE308">
        <f>IF(A308="","",IF(AND(Z308&lt;&gt;"YES",AD308&lt;&gt;"",AD308&gt;THRESHOLDS!$B$12),"STUCK — act today",""))</f>
        <v/>
      </c>
      <c r="AF308">
        <f>IF(A308="","",IF(J308="Active (verified)","",IF(J308="","Ask GST status (readiness R2)","Escalate to founder: orders need verified GSTIN in current code — no tax advice")))</f>
        <v/>
      </c>
      <c r="AG308">
        <f>IF(AND(G308&lt;&gt;"",L308&lt;&gt;""),L308-G308,"")</f>
        <v/>
      </c>
      <c r="AH308">
        <f>IF(AND(L308&lt;&gt;"",N308&lt;&gt;""),N308-L308,"")</f>
        <v/>
      </c>
      <c r="AI308">
        <f>IF(AND(N308&lt;&gt;"",AA308&lt;&gt;""),AA308-N308,"")</f>
        <v/>
      </c>
      <c r="AJ308">
        <f>IF(AND(L308&lt;&gt;"",N308&lt;&gt;"",Q308&lt;&gt;""),"Qualifies (if FP-QUAL adopted)","")</f>
        <v/>
      </c>
    </row>
    <row r="309">
      <c r="G309" s="9" t="n"/>
      <c r="H309" s="9" t="n"/>
      <c r="K309" s="9" t="n"/>
      <c r="L309" s="9" t="n"/>
      <c r="M309" s="9" t="n"/>
      <c r="N309" s="9" t="n"/>
      <c r="O309" s="9" t="n"/>
      <c r="Q309" s="9" t="n"/>
      <c r="R309" s="9" t="n"/>
      <c r="W309" s="9" t="n"/>
      <c r="X309" s="9" t="n"/>
      <c r="Z309">
        <f>IF(A309="","",IF(AND(N309&lt;&gt;"",O309&lt;&gt;"",Q309&lt;&gt;"",R309&lt;&gt;"",S309="Y"),"YES","no"))</f>
        <v/>
      </c>
      <c r="AA309" s="9">
        <f>IF(Z309="YES",MAX(N309,O309,Q309,R309),"")</f>
        <v/>
      </c>
      <c r="AB309">
        <f>IF(A309="","",IF(X309&lt;&gt;"","13 Repeat activity",IF(W309&lt;&gt;"","12 First enquiry/order/booking",IF(Z309="YES","11 ACTIVATED",IF(Q309&lt;&gt;"","10 First listing live",IF(O309&lt;&gt;"","9 Profile completed",IF(N309&lt;&gt;"","8 Approved",IF(M309&lt;&gt;"","7 KYC submitted",IF(L309&lt;&gt;"","6 Registration completed",IF(K309&lt;&gt;"","5b Registration started",IF(H309&lt;&gt;"","5a Information sent",IF(G309&lt;&gt;"","5 Interested","—"))))))))))))</f>
        <v/>
      </c>
      <c r="AC309" s="10">
        <f>IF(A309="","",(COUNT(G309,H309,K309,L309,M309,N309,O309,Q309,R309)+(I309="Y")+(P309="Y")+(S309="Y"))/12)</f>
        <v/>
      </c>
      <c r="AD309">
        <f>IF(OR(A309="",COUNT(G309:X309)=0),"",TODAY()-MAX(G309,H309,K309,L309,M309,N309,O309,Q309,R309,W309,X309))</f>
        <v/>
      </c>
      <c r="AE309">
        <f>IF(A309="","",IF(AND(Z309&lt;&gt;"YES",AD309&lt;&gt;"",AD309&gt;THRESHOLDS!$B$12),"STUCK — act today",""))</f>
        <v/>
      </c>
      <c r="AF309">
        <f>IF(A309="","",IF(J309="Active (verified)","",IF(J309="","Ask GST status (readiness R2)","Escalate to founder: orders need verified GSTIN in current code — no tax advice")))</f>
        <v/>
      </c>
      <c r="AG309">
        <f>IF(AND(G309&lt;&gt;"",L309&lt;&gt;""),L309-G309,"")</f>
        <v/>
      </c>
      <c r="AH309">
        <f>IF(AND(L309&lt;&gt;"",N309&lt;&gt;""),N309-L309,"")</f>
        <v/>
      </c>
      <c r="AI309">
        <f>IF(AND(N309&lt;&gt;"",AA309&lt;&gt;""),AA309-N309,"")</f>
        <v/>
      </c>
      <c r="AJ309">
        <f>IF(AND(L309&lt;&gt;"",N309&lt;&gt;"",Q309&lt;&gt;""),"Qualifies (if FP-QUAL adopted)","")</f>
        <v/>
      </c>
    </row>
    <row r="310">
      <c r="G310" s="9" t="n"/>
      <c r="H310" s="9" t="n"/>
      <c r="K310" s="9" t="n"/>
      <c r="L310" s="9" t="n"/>
      <c r="M310" s="9" t="n"/>
      <c r="N310" s="9" t="n"/>
      <c r="O310" s="9" t="n"/>
      <c r="Q310" s="9" t="n"/>
      <c r="R310" s="9" t="n"/>
      <c r="W310" s="9" t="n"/>
      <c r="X310" s="9" t="n"/>
      <c r="Z310">
        <f>IF(A310="","",IF(AND(N310&lt;&gt;"",O310&lt;&gt;"",Q310&lt;&gt;"",R310&lt;&gt;"",S310="Y"),"YES","no"))</f>
        <v/>
      </c>
      <c r="AA310" s="9">
        <f>IF(Z310="YES",MAX(N310,O310,Q310,R310),"")</f>
        <v/>
      </c>
      <c r="AB310">
        <f>IF(A310="","",IF(X310&lt;&gt;"","13 Repeat activity",IF(W310&lt;&gt;"","12 First enquiry/order/booking",IF(Z310="YES","11 ACTIVATED",IF(Q310&lt;&gt;"","10 First listing live",IF(O310&lt;&gt;"","9 Profile completed",IF(N310&lt;&gt;"","8 Approved",IF(M310&lt;&gt;"","7 KYC submitted",IF(L310&lt;&gt;"","6 Registration completed",IF(K310&lt;&gt;"","5b Registration started",IF(H310&lt;&gt;"","5a Information sent",IF(G310&lt;&gt;"","5 Interested","—"))))))))))))</f>
        <v/>
      </c>
      <c r="AC310" s="10">
        <f>IF(A310="","",(COUNT(G310,H310,K310,L310,M310,N310,O310,Q310,R310)+(I310="Y")+(P310="Y")+(S310="Y"))/12)</f>
        <v/>
      </c>
      <c r="AD310">
        <f>IF(OR(A310="",COUNT(G310:X310)=0),"",TODAY()-MAX(G310,H310,K310,L310,M310,N310,O310,Q310,R310,W310,X310))</f>
        <v/>
      </c>
      <c r="AE310">
        <f>IF(A310="","",IF(AND(Z310&lt;&gt;"YES",AD310&lt;&gt;"",AD310&gt;THRESHOLDS!$B$12),"STUCK — act today",""))</f>
        <v/>
      </c>
      <c r="AF310">
        <f>IF(A310="","",IF(J310="Active (verified)","",IF(J310="","Ask GST status (readiness R2)","Escalate to founder: orders need verified GSTIN in current code — no tax advice")))</f>
        <v/>
      </c>
      <c r="AG310">
        <f>IF(AND(G310&lt;&gt;"",L310&lt;&gt;""),L310-G310,"")</f>
        <v/>
      </c>
      <c r="AH310">
        <f>IF(AND(L310&lt;&gt;"",N310&lt;&gt;""),N310-L310,"")</f>
        <v/>
      </c>
      <c r="AI310">
        <f>IF(AND(N310&lt;&gt;"",AA310&lt;&gt;""),AA310-N310,"")</f>
        <v/>
      </c>
      <c r="AJ310">
        <f>IF(AND(L310&lt;&gt;"",N310&lt;&gt;"",Q310&lt;&gt;""),"Qualifies (if FP-QUAL adopted)","")</f>
        <v/>
      </c>
    </row>
    <row r="311">
      <c r="G311" s="9" t="n"/>
      <c r="H311" s="9" t="n"/>
      <c r="K311" s="9" t="n"/>
      <c r="L311" s="9" t="n"/>
      <c r="M311" s="9" t="n"/>
      <c r="N311" s="9" t="n"/>
      <c r="O311" s="9" t="n"/>
      <c r="Q311" s="9" t="n"/>
      <c r="R311" s="9" t="n"/>
      <c r="W311" s="9" t="n"/>
      <c r="X311" s="9" t="n"/>
      <c r="Z311">
        <f>IF(A311="","",IF(AND(N311&lt;&gt;"",O311&lt;&gt;"",Q311&lt;&gt;"",R311&lt;&gt;"",S311="Y"),"YES","no"))</f>
        <v/>
      </c>
      <c r="AA311" s="9">
        <f>IF(Z311="YES",MAX(N311,O311,Q311,R311),"")</f>
        <v/>
      </c>
      <c r="AB311">
        <f>IF(A311="","",IF(X311&lt;&gt;"","13 Repeat activity",IF(W311&lt;&gt;"","12 First enquiry/order/booking",IF(Z311="YES","11 ACTIVATED",IF(Q311&lt;&gt;"","10 First listing live",IF(O311&lt;&gt;"","9 Profile completed",IF(N311&lt;&gt;"","8 Approved",IF(M311&lt;&gt;"","7 KYC submitted",IF(L311&lt;&gt;"","6 Registration completed",IF(K311&lt;&gt;"","5b Registration started",IF(H311&lt;&gt;"","5a Information sent",IF(G311&lt;&gt;"","5 Interested","—"))))))))))))</f>
        <v/>
      </c>
      <c r="AC311" s="10">
        <f>IF(A311="","",(COUNT(G311,H311,K311,L311,M311,N311,O311,Q311,R311)+(I311="Y")+(P311="Y")+(S311="Y"))/12)</f>
        <v/>
      </c>
      <c r="AD311">
        <f>IF(OR(A311="",COUNT(G311:X311)=0),"",TODAY()-MAX(G311,H311,K311,L311,M311,N311,O311,Q311,R311,W311,X311))</f>
        <v/>
      </c>
      <c r="AE311">
        <f>IF(A311="","",IF(AND(Z311&lt;&gt;"YES",AD311&lt;&gt;"",AD311&gt;THRESHOLDS!$B$12),"STUCK — act today",""))</f>
        <v/>
      </c>
      <c r="AF311">
        <f>IF(A311="","",IF(J311="Active (verified)","",IF(J311="","Ask GST status (readiness R2)","Escalate to founder: orders need verified GSTIN in current code — no tax advice")))</f>
        <v/>
      </c>
      <c r="AG311">
        <f>IF(AND(G311&lt;&gt;"",L311&lt;&gt;""),L311-G311,"")</f>
        <v/>
      </c>
      <c r="AH311">
        <f>IF(AND(L311&lt;&gt;"",N311&lt;&gt;""),N311-L311,"")</f>
        <v/>
      </c>
      <c r="AI311">
        <f>IF(AND(N311&lt;&gt;"",AA311&lt;&gt;""),AA311-N311,"")</f>
        <v/>
      </c>
      <c r="AJ311">
        <f>IF(AND(L311&lt;&gt;"",N311&lt;&gt;"",Q311&lt;&gt;""),"Qualifies (if FP-QUAL adopted)","")</f>
        <v/>
      </c>
    </row>
    <row r="312">
      <c r="G312" s="9" t="n"/>
      <c r="H312" s="9" t="n"/>
      <c r="K312" s="9" t="n"/>
      <c r="L312" s="9" t="n"/>
      <c r="M312" s="9" t="n"/>
      <c r="N312" s="9" t="n"/>
      <c r="O312" s="9" t="n"/>
      <c r="Q312" s="9" t="n"/>
      <c r="R312" s="9" t="n"/>
      <c r="W312" s="9" t="n"/>
      <c r="X312" s="9" t="n"/>
      <c r="Z312">
        <f>IF(A312="","",IF(AND(N312&lt;&gt;"",O312&lt;&gt;"",Q312&lt;&gt;"",R312&lt;&gt;"",S312="Y"),"YES","no"))</f>
        <v/>
      </c>
      <c r="AA312" s="9">
        <f>IF(Z312="YES",MAX(N312,O312,Q312,R312),"")</f>
        <v/>
      </c>
      <c r="AB312">
        <f>IF(A312="","",IF(X312&lt;&gt;"","13 Repeat activity",IF(W312&lt;&gt;"","12 First enquiry/order/booking",IF(Z312="YES","11 ACTIVATED",IF(Q312&lt;&gt;"","10 First listing live",IF(O312&lt;&gt;"","9 Profile completed",IF(N312&lt;&gt;"","8 Approved",IF(M312&lt;&gt;"","7 KYC submitted",IF(L312&lt;&gt;"","6 Registration completed",IF(K312&lt;&gt;"","5b Registration started",IF(H312&lt;&gt;"","5a Information sent",IF(G312&lt;&gt;"","5 Interested","—"))))))))))))</f>
        <v/>
      </c>
      <c r="AC312" s="10">
        <f>IF(A312="","",(COUNT(G312,H312,K312,L312,M312,N312,O312,Q312,R312)+(I312="Y")+(P312="Y")+(S312="Y"))/12)</f>
        <v/>
      </c>
      <c r="AD312">
        <f>IF(OR(A312="",COUNT(G312:X312)=0),"",TODAY()-MAX(G312,H312,K312,L312,M312,N312,O312,Q312,R312,W312,X312))</f>
        <v/>
      </c>
      <c r="AE312">
        <f>IF(A312="","",IF(AND(Z312&lt;&gt;"YES",AD312&lt;&gt;"",AD312&gt;THRESHOLDS!$B$12),"STUCK — act today",""))</f>
        <v/>
      </c>
      <c r="AF312">
        <f>IF(A312="","",IF(J312="Active (verified)","",IF(J312="","Ask GST status (readiness R2)","Escalate to founder: orders need verified GSTIN in current code — no tax advice")))</f>
        <v/>
      </c>
      <c r="AG312">
        <f>IF(AND(G312&lt;&gt;"",L312&lt;&gt;""),L312-G312,"")</f>
        <v/>
      </c>
      <c r="AH312">
        <f>IF(AND(L312&lt;&gt;"",N312&lt;&gt;""),N312-L312,"")</f>
        <v/>
      </c>
      <c r="AI312">
        <f>IF(AND(N312&lt;&gt;"",AA312&lt;&gt;""),AA312-N312,"")</f>
        <v/>
      </c>
      <c r="AJ312">
        <f>IF(AND(L312&lt;&gt;"",N312&lt;&gt;"",Q312&lt;&gt;""),"Qualifies (if FP-QUAL adopted)","")</f>
        <v/>
      </c>
    </row>
    <row r="313">
      <c r="G313" s="9" t="n"/>
      <c r="H313" s="9" t="n"/>
      <c r="K313" s="9" t="n"/>
      <c r="L313" s="9" t="n"/>
      <c r="M313" s="9" t="n"/>
      <c r="N313" s="9" t="n"/>
      <c r="O313" s="9" t="n"/>
      <c r="Q313" s="9" t="n"/>
      <c r="R313" s="9" t="n"/>
      <c r="W313" s="9" t="n"/>
      <c r="X313" s="9" t="n"/>
      <c r="Z313">
        <f>IF(A313="","",IF(AND(N313&lt;&gt;"",O313&lt;&gt;"",Q313&lt;&gt;"",R313&lt;&gt;"",S313="Y"),"YES","no"))</f>
        <v/>
      </c>
      <c r="AA313" s="9">
        <f>IF(Z313="YES",MAX(N313,O313,Q313,R313),"")</f>
        <v/>
      </c>
      <c r="AB313">
        <f>IF(A313="","",IF(X313&lt;&gt;"","13 Repeat activity",IF(W313&lt;&gt;"","12 First enquiry/order/booking",IF(Z313="YES","11 ACTIVATED",IF(Q313&lt;&gt;"","10 First listing live",IF(O313&lt;&gt;"","9 Profile completed",IF(N313&lt;&gt;"","8 Approved",IF(M313&lt;&gt;"","7 KYC submitted",IF(L313&lt;&gt;"","6 Registration completed",IF(K313&lt;&gt;"","5b Registration started",IF(H313&lt;&gt;"","5a Information sent",IF(G313&lt;&gt;"","5 Interested","—"))))))))))))</f>
        <v/>
      </c>
      <c r="AC313" s="10">
        <f>IF(A313="","",(COUNT(G313,H313,K313,L313,M313,N313,O313,Q313,R313)+(I313="Y")+(P313="Y")+(S313="Y"))/12)</f>
        <v/>
      </c>
      <c r="AD313">
        <f>IF(OR(A313="",COUNT(G313:X313)=0),"",TODAY()-MAX(G313,H313,K313,L313,M313,N313,O313,Q313,R313,W313,X313))</f>
        <v/>
      </c>
      <c r="AE313">
        <f>IF(A313="","",IF(AND(Z313&lt;&gt;"YES",AD313&lt;&gt;"",AD313&gt;THRESHOLDS!$B$12),"STUCK — act today",""))</f>
        <v/>
      </c>
      <c r="AF313">
        <f>IF(A313="","",IF(J313="Active (verified)","",IF(J313="","Ask GST status (readiness R2)","Escalate to founder: orders need verified GSTIN in current code — no tax advice")))</f>
        <v/>
      </c>
      <c r="AG313">
        <f>IF(AND(G313&lt;&gt;"",L313&lt;&gt;""),L313-G313,"")</f>
        <v/>
      </c>
      <c r="AH313">
        <f>IF(AND(L313&lt;&gt;"",N313&lt;&gt;""),N313-L313,"")</f>
        <v/>
      </c>
      <c r="AI313">
        <f>IF(AND(N313&lt;&gt;"",AA313&lt;&gt;""),AA313-N313,"")</f>
        <v/>
      </c>
      <c r="AJ313">
        <f>IF(AND(L313&lt;&gt;"",N313&lt;&gt;"",Q313&lt;&gt;""),"Qualifies (if FP-QUAL adopted)","")</f>
        <v/>
      </c>
    </row>
    <row r="314">
      <c r="G314" s="9" t="n"/>
      <c r="H314" s="9" t="n"/>
      <c r="K314" s="9" t="n"/>
      <c r="L314" s="9" t="n"/>
      <c r="M314" s="9" t="n"/>
      <c r="N314" s="9" t="n"/>
      <c r="O314" s="9" t="n"/>
      <c r="Q314" s="9" t="n"/>
      <c r="R314" s="9" t="n"/>
      <c r="W314" s="9" t="n"/>
      <c r="X314" s="9" t="n"/>
      <c r="Z314">
        <f>IF(A314="","",IF(AND(N314&lt;&gt;"",O314&lt;&gt;"",Q314&lt;&gt;"",R314&lt;&gt;"",S314="Y"),"YES","no"))</f>
        <v/>
      </c>
      <c r="AA314" s="9">
        <f>IF(Z314="YES",MAX(N314,O314,Q314,R314),"")</f>
        <v/>
      </c>
      <c r="AB314">
        <f>IF(A314="","",IF(X314&lt;&gt;"","13 Repeat activity",IF(W314&lt;&gt;"","12 First enquiry/order/booking",IF(Z314="YES","11 ACTIVATED",IF(Q314&lt;&gt;"","10 First listing live",IF(O314&lt;&gt;"","9 Profile completed",IF(N314&lt;&gt;"","8 Approved",IF(M314&lt;&gt;"","7 KYC submitted",IF(L314&lt;&gt;"","6 Registration completed",IF(K314&lt;&gt;"","5b Registration started",IF(H314&lt;&gt;"","5a Information sent",IF(G314&lt;&gt;"","5 Interested","—"))))))))))))</f>
        <v/>
      </c>
      <c r="AC314" s="10">
        <f>IF(A314="","",(COUNT(G314,H314,K314,L314,M314,N314,O314,Q314,R314)+(I314="Y")+(P314="Y")+(S314="Y"))/12)</f>
        <v/>
      </c>
      <c r="AD314">
        <f>IF(OR(A314="",COUNT(G314:X314)=0),"",TODAY()-MAX(G314,H314,K314,L314,M314,N314,O314,Q314,R314,W314,X314))</f>
        <v/>
      </c>
      <c r="AE314">
        <f>IF(A314="","",IF(AND(Z314&lt;&gt;"YES",AD314&lt;&gt;"",AD314&gt;THRESHOLDS!$B$12),"STUCK — act today",""))</f>
        <v/>
      </c>
      <c r="AF314">
        <f>IF(A314="","",IF(J314="Active (verified)","",IF(J314="","Ask GST status (readiness R2)","Escalate to founder: orders need verified GSTIN in current code — no tax advice")))</f>
        <v/>
      </c>
      <c r="AG314">
        <f>IF(AND(G314&lt;&gt;"",L314&lt;&gt;""),L314-G314,"")</f>
        <v/>
      </c>
      <c r="AH314">
        <f>IF(AND(L314&lt;&gt;"",N314&lt;&gt;""),N314-L314,"")</f>
        <v/>
      </c>
      <c r="AI314">
        <f>IF(AND(N314&lt;&gt;"",AA314&lt;&gt;""),AA314-N314,"")</f>
        <v/>
      </c>
      <c r="AJ314">
        <f>IF(AND(L314&lt;&gt;"",N314&lt;&gt;"",Q314&lt;&gt;""),"Qualifies (if FP-QUAL adopted)","")</f>
        <v/>
      </c>
    </row>
    <row r="315">
      <c r="G315" s="9" t="n"/>
      <c r="H315" s="9" t="n"/>
      <c r="K315" s="9" t="n"/>
      <c r="L315" s="9" t="n"/>
      <c r="M315" s="9" t="n"/>
      <c r="N315" s="9" t="n"/>
      <c r="O315" s="9" t="n"/>
      <c r="Q315" s="9" t="n"/>
      <c r="R315" s="9" t="n"/>
      <c r="W315" s="9" t="n"/>
      <c r="X315" s="9" t="n"/>
      <c r="Z315">
        <f>IF(A315="","",IF(AND(N315&lt;&gt;"",O315&lt;&gt;"",Q315&lt;&gt;"",R315&lt;&gt;"",S315="Y"),"YES","no"))</f>
        <v/>
      </c>
      <c r="AA315" s="9">
        <f>IF(Z315="YES",MAX(N315,O315,Q315,R315),"")</f>
        <v/>
      </c>
      <c r="AB315">
        <f>IF(A315="","",IF(X315&lt;&gt;"","13 Repeat activity",IF(W315&lt;&gt;"","12 First enquiry/order/booking",IF(Z315="YES","11 ACTIVATED",IF(Q315&lt;&gt;"","10 First listing live",IF(O315&lt;&gt;"","9 Profile completed",IF(N315&lt;&gt;"","8 Approved",IF(M315&lt;&gt;"","7 KYC submitted",IF(L315&lt;&gt;"","6 Registration completed",IF(K315&lt;&gt;"","5b Registration started",IF(H315&lt;&gt;"","5a Information sent",IF(G315&lt;&gt;"","5 Interested","—"))))))))))))</f>
        <v/>
      </c>
      <c r="AC315" s="10">
        <f>IF(A315="","",(COUNT(G315,H315,K315,L315,M315,N315,O315,Q315,R315)+(I315="Y")+(P315="Y")+(S315="Y"))/12)</f>
        <v/>
      </c>
      <c r="AD315">
        <f>IF(OR(A315="",COUNT(G315:X315)=0),"",TODAY()-MAX(G315,H315,K315,L315,M315,N315,O315,Q315,R315,W315,X315))</f>
        <v/>
      </c>
      <c r="AE315">
        <f>IF(A315="","",IF(AND(Z315&lt;&gt;"YES",AD315&lt;&gt;"",AD315&gt;THRESHOLDS!$B$12),"STUCK — act today",""))</f>
        <v/>
      </c>
      <c r="AF315">
        <f>IF(A315="","",IF(J315="Active (verified)","",IF(J315="","Ask GST status (readiness R2)","Escalate to founder: orders need verified GSTIN in current code — no tax advice")))</f>
        <v/>
      </c>
      <c r="AG315">
        <f>IF(AND(G315&lt;&gt;"",L315&lt;&gt;""),L315-G315,"")</f>
        <v/>
      </c>
      <c r="AH315">
        <f>IF(AND(L315&lt;&gt;"",N315&lt;&gt;""),N315-L315,"")</f>
        <v/>
      </c>
      <c r="AI315">
        <f>IF(AND(N315&lt;&gt;"",AA315&lt;&gt;""),AA315-N315,"")</f>
        <v/>
      </c>
      <c r="AJ315">
        <f>IF(AND(L315&lt;&gt;"",N315&lt;&gt;"",Q315&lt;&gt;""),"Qualifies (if FP-QUAL adopted)","")</f>
        <v/>
      </c>
    </row>
    <row r="316">
      <c r="G316" s="9" t="n"/>
      <c r="H316" s="9" t="n"/>
      <c r="K316" s="9" t="n"/>
      <c r="L316" s="9" t="n"/>
      <c r="M316" s="9" t="n"/>
      <c r="N316" s="9" t="n"/>
      <c r="O316" s="9" t="n"/>
      <c r="Q316" s="9" t="n"/>
      <c r="R316" s="9" t="n"/>
      <c r="W316" s="9" t="n"/>
      <c r="X316" s="9" t="n"/>
      <c r="Z316">
        <f>IF(A316="","",IF(AND(N316&lt;&gt;"",O316&lt;&gt;"",Q316&lt;&gt;"",R316&lt;&gt;"",S316="Y"),"YES","no"))</f>
        <v/>
      </c>
      <c r="AA316" s="9">
        <f>IF(Z316="YES",MAX(N316,O316,Q316,R316),"")</f>
        <v/>
      </c>
      <c r="AB316">
        <f>IF(A316="","",IF(X316&lt;&gt;"","13 Repeat activity",IF(W316&lt;&gt;"","12 First enquiry/order/booking",IF(Z316="YES","11 ACTIVATED",IF(Q316&lt;&gt;"","10 First listing live",IF(O316&lt;&gt;"","9 Profile completed",IF(N316&lt;&gt;"","8 Approved",IF(M316&lt;&gt;"","7 KYC submitted",IF(L316&lt;&gt;"","6 Registration completed",IF(K316&lt;&gt;"","5b Registration started",IF(H316&lt;&gt;"","5a Information sent",IF(G316&lt;&gt;"","5 Interested","—"))))))))))))</f>
        <v/>
      </c>
      <c r="AC316" s="10">
        <f>IF(A316="","",(COUNT(G316,H316,K316,L316,M316,N316,O316,Q316,R316)+(I316="Y")+(P316="Y")+(S316="Y"))/12)</f>
        <v/>
      </c>
      <c r="AD316">
        <f>IF(OR(A316="",COUNT(G316:X316)=0),"",TODAY()-MAX(G316,H316,K316,L316,M316,N316,O316,Q316,R316,W316,X316))</f>
        <v/>
      </c>
      <c r="AE316">
        <f>IF(A316="","",IF(AND(Z316&lt;&gt;"YES",AD316&lt;&gt;"",AD316&gt;THRESHOLDS!$B$12),"STUCK — act today",""))</f>
        <v/>
      </c>
      <c r="AF316">
        <f>IF(A316="","",IF(J316="Active (verified)","",IF(J316="","Ask GST status (readiness R2)","Escalate to founder: orders need verified GSTIN in current code — no tax advice")))</f>
        <v/>
      </c>
      <c r="AG316">
        <f>IF(AND(G316&lt;&gt;"",L316&lt;&gt;""),L316-G316,"")</f>
        <v/>
      </c>
      <c r="AH316">
        <f>IF(AND(L316&lt;&gt;"",N316&lt;&gt;""),N316-L316,"")</f>
        <v/>
      </c>
      <c r="AI316">
        <f>IF(AND(N316&lt;&gt;"",AA316&lt;&gt;""),AA316-N316,"")</f>
        <v/>
      </c>
      <c r="AJ316">
        <f>IF(AND(L316&lt;&gt;"",N316&lt;&gt;"",Q316&lt;&gt;""),"Qualifies (if FP-QUAL adopted)","")</f>
        <v/>
      </c>
    </row>
    <row r="317">
      <c r="G317" s="9" t="n"/>
      <c r="H317" s="9" t="n"/>
      <c r="K317" s="9" t="n"/>
      <c r="L317" s="9" t="n"/>
      <c r="M317" s="9" t="n"/>
      <c r="N317" s="9" t="n"/>
      <c r="O317" s="9" t="n"/>
      <c r="Q317" s="9" t="n"/>
      <c r="R317" s="9" t="n"/>
      <c r="W317" s="9" t="n"/>
      <c r="X317" s="9" t="n"/>
      <c r="Z317">
        <f>IF(A317="","",IF(AND(N317&lt;&gt;"",O317&lt;&gt;"",Q317&lt;&gt;"",R317&lt;&gt;"",S317="Y"),"YES","no"))</f>
        <v/>
      </c>
      <c r="AA317" s="9">
        <f>IF(Z317="YES",MAX(N317,O317,Q317,R317),"")</f>
        <v/>
      </c>
      <c r="AB317">
        <f>IF(A317="","",IF(X317&lt;&gt;"","13 Repeat activity",IF(W317&lt;&gt;"","12 First enquiry/order/booking",IF(Z317="YES","11 ACTIVATED",IF(Q317&lt;&gt;"","10 First listing live",IF(O317&lt;&gt;"","9 Profile completed",IF(N317&lt;&gt;"","8 Approved",IF(M317&lt;&gt;"","7 KYC submitted",IF(L317&lt;&gt;"","6 Registration completed",IF(K317&lt;&gt;"","5b Registration started",IF(H317&lt;&gt;"","5a Information sent",IF(G317&lt;&gt;"","5 Interested","—"))))))))))))</f>
        <v/>
      </c>
      <c r="AC317" s="10">
        <f>IF(A317="","",(COUNT(G317,H317,K317,L317,M317,N317,O317,Q317,R317)+(I317="Y")+(P317="Y")+(S317="Y"))/12)</f>
        <v/>
      </c>
      <c r="AD317">
        <f>IF(OR(A317="",COUNT(G317:X317)=0),"",TODAY()-MAX(G317,H317,K317,L317,M317,N317,O317,Q317,R317,W317,X317))</f>
        <v/>
      </c>
      <c r="AE317">
        <f>IF(A317="","",IF(AND(Z317&lt;&gt;"YES",AD317&lt;&gt;"",AD317&gt;THRESHOLDS!$B$12),"STUCK — act today",""))</f>
        <v/>
      </c>
      <c r="AF317">
        <f>IF(A317="","",IF(J317="Active (verified)","",IF(J317="","Ask GST status (readiness R2)","Escalate to founder: orders need verified GSTIN in current code — no tax advice")))</f>
        <v/>
      </c>
      <c r="AG317">
        <f>IF(AND(G317&lt;&gt;"",L317&lt;&gt;""),L317-G317,"")</f>
        <v/>
      </c>
      <c r="AH317">
        <f>IF(AND(L317&lt;&gt;"",N317&lt;&gt;""),N317-L317,"")</f>
        <v/>
      </c>
      <c r="AI317">
        <f>IF(AND(N317&lt;&gt;"",AA317&lt;&gt;""),AA317-N317,"")</f>
        <v/>
      </c>
      <c r="AJ317">
        <f>IF(AND(L317&lt;&gt;"",N317&lt;&gt;"",Q317&lt;&gt;""),"Qualifies (if FP-QUAL adopted)","")</f>
        <v/>
      </c>
    </row>
    <row r="318">
      <c r="G318" s="9" t="n"/>
      <c r="H318" s="9" t="n"/>
      <c r="K318" s="9" t="n"/>
      <c r="L318" s="9" t="n"/>
      <c r="M318" s="9" t="n"/>
      <c r="N318" s="9" t="n"/>
      <c r="O318" s="9" t="n"/>
      <c r="Q318" s="9" t="n"/>
      <c r="R318" s="9" t="n"/>
      <c r="W318" s="9" t="n"/>
      <c r="X318" s="9" t="n"/>
      <c r="Z318">
        <f>IF(A318="","",IF(AND(N318&lt;&gt;"",O318&lt;&gt;"",Q318&lt;&gt;"",R318&lt;&gt;"",S318="Y"),"YES","no"))</f>
        <v/>
      </c>
      <c r="AA318" s="9">
        <f>IF(Z318="YES",MAX(N318,O318,Q318,R318),"")</f>
        <v/>
      </c>
      <c r="AB318">
        <f>IF(A318="","",IF(X318&lt;&gt;"","13 Repeat activity",IF(W318&lt;&gt;"","12 First enquiry/order/booking",IF(Z318="YES","11 ACTIVATED",IF(Q318&lt;&gt;"","10 First listing live",IF(O318&lt;&gt;"","9 Profile completed",IF(N318&lt;&gt;"","8 Approved",IF(M318&lt;&gt;"","7 KYC submitted",IF(L318&lt;&gt;"","6 Registration completed",IF(K318&lt;&gt;"","5b Registration started",IF(H318&lt;&gt;"","5a Information sent",IF(G318&lt;&gt;"","5 Interested","—"))))))))))))</f>
        <v/>
      </c>
      <c r="AC318" s="10">
        <f>IF(A318="","",(COUNT(G318,H318,K318,L318,M318,N318,O318,Q318,R318)+(I318="Y")+(P318="Y")+(S318="Y"))/12)</f>
        <v/>
      </c>
      <c r="AD318">
        <f>IF(OR(A318="",COUNT(G318:X318)=0),"",TODAY()-MAX(G318,H318,K318,L318,M318,N318,O318,Q318,R318,W318,X318))</f>
        <v/>
      </c>
      <c r="AE318">
        <f>IF(A318="","",IF(AND(Z318&lt;&gt;"YES",AD318&lt;&gt;"",AD318&gt;THRESHOLDS!$B$12),"STUCK — act today",""))</f>
        <v/>
      </c>
      <c r="AF318">
        <f>IF(A318="","",IF(J318="Active (verified)","",IF(J318="","Ask GST status (readiness R2)","Escalate to founder: orders need verified GSTIN in current code — no tax advice")))</f>
        <v/>
      </c>
      <c r="AG318">
        <f>IF(AND(G318&lt;&gt;"",L318&lt;&gt;""),L318-G318,"")</f>
        <v/>
      </c>
      <c r="AH318">
        <f>IF(AND(L318&lt;&gt;"",N318&lt;&gt;""),N318-L318,"")</f>
        <v/>
      </c>
      <c r="AI318">
        <f>IF(AND(N318&lt;&gt;"",AA318&lt;&gt;""),AA318-N318,"")</f>
        <v/>
      </c>
      <c r="AJ318">
        <f>IF(AND(L318&lt;&gt;"",N318&lt;&gt;"",Q318&lt;&gt;""),"Qualifies (if FP-QUAL adopted)","")</f>
        <v/>
      </c>
    </row>
    <row r="319">
      <c r="G319" s="9" t="n"/>
      <c r="H319" s="9" t="n"/>
      <c r="K319" s="9" t="n"/>
      <c r="L319" s="9" t="n"/>
      <c r="M319" s="9" t="n"/>
      <c r="N319" s="9" t="n"/>
      <c r="O319" s="9" t="n"/>
      <c r="Q319" s="9" t="n"/>
      <c r="R319" s="9" t="n"/>
      <c r="W319" s="9" t="n"/>
      <c r="X319" s="9" t="n"/>
      <c r="Z319">
        <f>IF(A319="","",IF(AND(N319&lt;&gt;"",O319&lt;&gt;"",Q319&lt;&gt;"",R319&lt;&gt;"",S319="Y"),"YES","no"))</f>
        <v/>
      </c>
      <c r="AA319" s="9">
        <f>IF(Z319="YES",MAX(N319,O319,Q319,R319),"")</f>
        <v/>
      </c>
      <c r="AB319">
        <f>IF(A319="","",IF(X319&lt;&gt;"","13 Repeat activity",IF(W319&lt;&gt;"","12 First enquiry/order/booking",IF(Z319="YES","11 ACTIVATED",IF(Q319&lt;&gt;"","10 First listing live",IF(O319&lt;&gt;"","9 Profile completed",IF(N319&lt;&gt;"","8 Approved",IF(M319&lt;&gt;"","7 KYC submitted",IF(L319&lt;&gt;"","6 Registration completed",IF(K319&lt;&gt;"","5b Registration started",IF(H319&lt;&gt;"","5a Information sent",IF(G319&lt;&gt;"","5 Interested","—"))))))))))))</f>
        <v/>
      </c>
      <c r="AC319" s="10">
        <f>IF(A319="","",(COUNT(G319,H319,K319,L319,M319,N319,O319,Q319,R319)+(I319="Y")+(P319="Y")+(S319="Y"))/12)</f>
        <v/>
      </c>
      <c r="AD319">
        <f>IF(OR(A319="",COUNT(G319:X319)=0),"",TODAY()-MAX(G319,H319,K319,L319,M319,N319,O319,Q319,R319,W319,X319))</f>
        <v/>
      </c>
      <c r="AE319">
        <f>IF(A319="","",IF(AND(Z319&lt;&gt;"YES",AD319&lt;&gt;"",AD319&gt;THRESHOLDS!$B$12),"STUCK — act today",""))</f>
        <v/>
      </c>
      <c r="AF319">
        <f>IF(A319="","",IF(J319="Active (verified)","",IF(J319="","Ask GST status (readiness R2)","Escalate to founder: orders need verified GSTIN in current code — no tax advice")))</f>
        <v/>
      </c>
      <c r="AG319">
        <f>IF(AND(G319&lt;&gt;"",L319&lt;&gt;""),L319-G319,"")</f>
        <v/>
      </c>
      <c r="AH319">
        <f>IF(AND(L319&lt;&gt;"",N319&lt;&gt;""),N319-L319,"")</f>
        <v/>
      </c>
      <c r="AI319">
        <f>IF(AND(N319&lt;&gt;"",AA319&lt;&gt;""),AA319-N319,"")</f>
        <v/>
      </c>
      <c r="AJ319">
        <f>IF(AND(L319&lt;&gt;"",N319&lt;&gt;"",Q319&lt;&gt;""),"Qualifies (if FP-QUAL adopted)","")</f>
        <v/>
      </c>
    </row>
    <row r="320">
      <c r="G320" s="9" t="n"/>
      <c r="H320" s="9" t="n"/>
      <c r="K320" s="9" t="n"/>
      <c r="L320" s="9" t="n"/>
      <c r="M320" s="9" t="n"/>
      <c r="N320" s="9" t="n"/>
      <c r="O320" s="9" t="n"/>
      <c r="Q320" s="9" t="n"/>
      <c r="R320" s="9" t="n"/>
      <c r="W320" s="9" t="n"/>
      <c r="X320" s="9" t="n"/>
      <c r="Z320">
        <f>IF(A320="","",IF(AND(N320&lt;&gt;"",O320&lt;&gt;"",Q320&lt;&gt;"",R320&lt;&gt;"",S320="Y"),"YES","no"))</f>
        <v/>
      </c>
      <c r="AA320" s="9">
        <f>IF(Z320="YES",MAX(N320,O320,Q320,R320),"")</f>
        <v/>
      </c>
      <c r="AB320">
        <f>IF(A320="","",IF(X320&lt;&gt;"","13 Repeat activity",IF(W320&lt;&gt;"","12 First enquiry/order/booking",IF(Z320="YES","11 ACTIVATED",IF(Q320&lt;&gt;"","10 First listing live",IF(O320&lt;&gt;"","9 Profile completed",IF(N320&lt;&gt;"","8 Approved",IF(M320&lt;&gt;"","7 KYC submitted",IF(L320&lt;&gt;"","6 Registration completed",IF(K320&lt;&gt;"","5b Registration started",IF(H320&lt;&gt;"","5a Information sent",IF(G320&lt;&gt;"","5 Interested","—"))))))))))))</f>
        <v/>
      </c>
      <c r="AC320" s="10">
        <f>IF(A320="","",(COUNT(G320,H320,K320,L320,M320,N320,O320,Q320,R320)+(I320="Y")+(P320="Y")+(S320="Y"))/12)</f>
        <v/>
      </c>
      <c r="AD320">
        <f>IF(OR(A320="",COUNT(G320:X320)=0),"",TODAY()-MAX(G320,H320,K320,L320,M320,N320,O320,Q320,R320,W320,X320))</f>
        <v/>
      </c>
      <c r="AE320">
        <f>IF(A320="","",IF(AND(Z320&lt;&gt;"YES",AD320&lt;&gt;"",AD320&gt;THRESHOLDS!$B$12),"STUCK — act today",""))</f>
        <v/>
      </c>
      <c r="AF320">
        <f>IF(A320="","",IF(J320="Active (verified)","",IF(J320="","Ask GST status (readiness R2)","Escalate to founder: orders need verified GSTIN in current code — no tax advice")))</f>
        <v/>
      </c>
      <c r="AG320">
        <f>IF(AND(G320&lt;&gt;"",L320&lt;&gt;""),L320-G320,"")</f>
        <v/>
      </c>
      <c r="AH320">
        <f>IF(AND(L320&lt;&gt;"",N320&lt;&gt;""),N320-L320,"")</f>
        <v/>
      </c>
      <c r="AI320">
        <f>IF(AND(N320&lt;&gt;"",AA320&lt;&gt;""),AA320-N320,"")</f>
        <v/>
      </c>
      <c r="AJ320">
        <f>IF(AND(L320&lt;&gt;"",N320&lt;&gt;"",Q320&lt;&gt;""),"Qualifies (if FP-QUAL adopted)","")</f>
        <v/>
      </c>
    </row>
    <row r="321">
      <c r="G321" s="9" t="n"/>
      <c r="H321" s="9" t="n"/>
      <c r="K321" s="9" t="n"/>
      <c r="L321" s="9" t="n"/>
      <c r="M321" s="9" t="n"/>
      <c r="N321" s="9" t="n"/>
      <c r="O321" s="9" t="n"/>
      <c r="Q321" s="9" t="n"/>
      <c r="R321" s="9" t="n"/>
      <c r="W321" s="9" t="n"/>
      <c r="X321" s="9" t="n"/>
      <c r="Z321">
        <f>IF(A321="","",IF(AND(N321&lt;&gt;"",O321&lt;&gt;"",Q321&lt;&gt;"",R321&lt;&gt;"",S321="Y"),"YES","no"))</f>
        <v/>
      </c>
      <c r="AA321" s="9">
        <f>IF(Z321="YES",MAX(N321,O321,Q321,R321),"")</f>
        <v/>
      </c>
      <c r="AB321">
        <f>IF(A321="","",IF(X321&lt;&gt;"","13 Repeat activity",IF(W321&lt;&gt;"","12 First enquiry/order/booking",IF(Z321="YES","11 ACTIVATED",IF(Q321&lt;&gt;"","10 First listing live",IF(O321&lt;&gt;"","9 Profile completed",IF(N321&lt;&gt;"","8 Approved",IF(M321&lt;&gt;"","7 KYC submitted",IF(L321&lt;&gt;"","6 Registration completed",IF(K321&lt;&gt;"","5b Registration started",IF(H321&lt;&gt;"","5a Information sent",IF(G321&lt;&gt;"","5 Interested","—"))))))))))))</f>
        <v/>
      </c>
      <c r="AC321" s="10">
        <f>IF(A321="","",(COUNT(G321,H321,K321,L321,M321,N321,O321,Q321,R321)+(I321="Y")+(P321="Y")+(S321="Y"))/12)</f>
        <v/>
      </c>
      <c r="AD321">
        <f>IF(OR(A321="",COUNT(G321:X321)=0),"",TODAY()-MAX(G321,H321,K321,L321,M321,N321,O321,Q321,R321,W321,X321))</f>
        <v/>
      </c>
      <c r="AE321">
        <f>IF(A321="","",IF(AND(Z321&lt;&gt;"YES",AD321&lt;&gt;"",AD321&gt;THRESHOLDS!$B$12),"STUCK — act today",""))</f>
        <v/>
      </c>
      <c r="AF321">
        <f>IF(A321="","",IF(J321="Active (verified)","",IF(J321="","Ask GST status (readiness R2)","Escalate to founder: orders need verified GSTIN in current code — no tax advice")))</f>
        <v/>
      </c>
      <c r="AG321">
        <f>IF(AND(G321&lt;&gt;"",L321&lt;&gt;""),L321-G321,"")</f>
        <v/>
      </c>
      <c r="AH321">
        <f>IF(AND(L321&lt;&gt;"",N321&lt;&gt;""),N321-L321,"")</f>
        <v/>
      </c>
      <c r="AI321">
        <f>IF(AND(N321&lt;&gt;"",AA321&lt;&gt;""),AA321-N321,"")</f>
        <v/>
      </c>
      <c r="AJ321">
        <f>IF(AND(L321&lt;&gt;"",N321&lt;&gt;"",Q321&lt;&gt;""),"Qualifies (if FP-QUAL adopted)","")</f>
        <v/>
      </c>
    </row>
    <row r="322">
      <c r="G322" s="9" t="n"/>
      <c r="H322" s="9" t="n"/>
      <c r="K322" s="9" t="n"/>
      <c r="L322" s="9" t="n"/>
      <c r="M322" s="9" t="n"/>
      <c r="N322" s="9" t="n"/>
      <c r="O322" s="9" t="n"/>
      <c r="Q322" s="9" t="n"/>
      <c r="R322" s="9" t="n"/>
      <c r="W322" s="9" t="n"/>
      <c r="X322" s="9" t="n"/>
      <c r="Z322">
        <f>IF(A322="","",IF(AND(N322&lt;&gt;"",O322&lt;&gt;"",Q322&lt;&gt;"",R322&lt;&gt;"",S322="Y"),"YES","no"))</f>
        <v/>
      </c>
      <c r="AA322" s="9">
        <f>IF(Z322="YES",MAX(N322,O322,Q322,R322),"")</f>
        <v/>
      </c>
      <c r="AB322">
        <f>IF(A322="","",IF(X322&lt;&gt;"","13 Repeat activity",IF(W322&lt;&gt;"","12 First enquiry/order/booking",IF(Z322="YES","11 ACTIVATED",IF(Q322&lt;&gt;"","10 First listing live",IF(O322&lt;&gt;"","9 Profile completed",IF(N322&lt;&gt;"","8 Approved",IF(M322&lt;&gt;"","7 KYC submitted",IF(L322&lt;&gt;"","6 Registration completed",IF(K322&lt;&gt;"","5b Registration started",IF(H322&lt;&gt;"","5a Information sent",IF(G322&lt;&gt;"","5 Interested","—"))))))))))))</f>
        <v/>
      </c>
      <c r="AC322" s="10">
        <f>IF(A322="","",(COUNT(G322,H322,K322,L322,M322,N322,O322,Q322,R322)+(I322="Y")+(P322="Y")+(S322="Y"))/12)</f>
        <v/>
      </c>
      <c r="AD322">
        <f>IF(OR(A322="",COUNT(G322:X322)=0),"",TODAY()-MAX(G322,H322,K322,L322,M322,N322,O322,Q322,R322,W322,X322))</f>
        <v/>
      </c>
      <c r="AE322">
        <f>IF(A322="","",IF(AND(Z322&lt;&gt;"YES",AD322&lt;&gt;"",AD322&gt;THRESHOLDS!$B$12),"STUCK — act today",""))</f>
        <v/>
      </c>
      <c r="AF322">
        <f>IF(A322="","",IF(J322="Active (verified)","",IF(J322="","Ask GST status (readiness R2)","Escalate to founder: orders need verified GSTIN in current code — no tax advice")))</f>
        <v/>
      </c>
      <c r="AG322">
        <f>IF(AND(G322&lt;&gt;"",L322&lt;&gt;""),L322-G322,"")</f>
        <v/>
      </c>
      <c r="AH322">
        <f>IF(AND(L322&lt;&gt;"",N322&lt;&gt;""),N322-L322,"")</f>
        <v/>
      </c>
      <c r="AI322">
        <f>IF(AND(N322&lt;&gt;"",AA322&lt;&gt;""),AA322-N322,"")</f>
        <v/>
      </c>
      <c r="AJ322">
        <f>IF(AND(L322&lt;&gt;"",N322&lt;&gt;"",Q322&lt;&gt;""),"Qualifies (if FP-QUAL adopted)","")</f>
        <v/>
      </c>
    </row>
    <row r="323">
      <c r="G323" s="9" t="n"/>
      <c r="H323" s="9" t="n"/>
      <c r="K323" s="9" t="n"/>
      <c r="L323" s="9" t="n"/>
      <c r="M323" s="9" t="n"/>
      <c r="N323" s="9" t="n"/>
      <c r="O323" s="9" t="n"/>
      <c r="Q323" s="9" t="n"/>
      <c r="R323" s="9" t="n"/>
      <c r="W323" s="9" t="n"/>
      <c r="X323" s="9" t="n"/>
      <c r="Z323">
        <f>IF(A323="","",IF(AND(N323&lt;&gt;"",O323&lt;&gt;"",Q323&lt;&gt;"",R323&lt;&gt;"",S323="Y"),"YES","no"))</f>
        <v/>
      </c>
      <c r="AA323" s="9">
        <f>IF(Z323="YES",MAX(N323,O323,Q323,R323),"")</f>
        <v/>
      </c>
      <c r="AB323">
        <f>IF(A323="","",IF(X323&lt;&gt;"","13 Repeat activity",IF(W323&lt;&gt;"","12 First enquiry/order/booking",IF(Z323="YES","11 ACTIVATED",IF(Q323&lt;&gt;"","10 First listing live",IF(O323&lt;&gt;"","9 Profile completed",IF(N323&lt;&gt;"","8 Approved",IF(M323&lt;&gt;"","7 KYC submitted",IF(L323&lt;&gt;"","6 Registration completed",IF(K323&lt;&gt;"","5b Registration started",IF(H323&lt;&gt;"","5a Information sent",IF(G323&lt;&gt;"","5 Interested","—"))))))))))))</f>
        <v/>
      </c>
      <c r="AC323" s="10">
        <f>IF(A323="","",(COUNT(G323,H323,K323,L323,M323,N323,O323,Q323,R323)+(I323="Y")+(P323="Y")+(S323="Y"))/12)</f>
        <v/>
      </c>
      <c r="AD323">
        <f>IF(OR(A323="",COUNT(G323:X323)=0),"",TODAY()-MAX(G323,H323,K323,L323,M323,N323,O323,Q323,R323,W323,X323))</f>
        <v/>
      </c>
      <c r="AE323">
        <f>IF(A323="","",IF(AND(Z323&lt;&gt;"YES",AD323&lt;&gt;"",AD323&gt;THRESHOLDS!$B$12),"STUCK — act today",""))</f>
        <v/>
      </c>
      <c r="AF323">
        <f>IF(A323="","",IF(J323="Active (verified)","",IF(J323="","Ask GST status (readiness R2)","Escalate to founder: orders need verified GSTIN in current code — no tax advice")))</f>
        <v/>
      </c>
      <c r="AG323">
        <f>IF(AND(G323&lt;&gt;"",L323&lt;&gt;""),L323-G323,"")</f>
        <v/>
      </c>
      <c r="AH323">
        <f>IF(AND(L323&lt;&gt;"",N323&lt;&gt;""),N323-L323,"")</f>
        <v/>
      </c>
      <c r="AI323">
        <f>IF(AND(N323&lt;&gt;"",AA323&lt;&gt;""),AA323-N323,"")</f>
        <v/>
      </c>
      <c r="AJ323">
        <f>IF(AND(L323&lt;&gt;"",N323&lt;&gt;"",Q323&lt;&gt;""),"Qualifies (if FP-QUAL adopted)","")</f>
        <v/>
      </c>
    </row>
    <row r="324">
      <c r="G324" s="9" t="n"/>
      <c r="H324" s="9" t="n"/>
      <c r="K324" s="9" t="n"/>
      <c r="L324" s="9" t="n"/>
      <c r="M324" s="9" t="n"/>
      <c r="N324" s="9" t="n"/>
      <c r="O324" s="9" t="n"/>
      <c r="Q324" s="9" t="n"/>
      <c r="R324" s="9" t="n"/>
      <c r="W324" s="9" t="n"/>
      <c r="X324" s="9" t="n"/>
      <c r="Z324">
        <f>IF(A324="","",IF(AND(N324&lt;&gt;"",O324&lt;&gt;"",Q324&lt;&gt;"",R324&lt;&gt;"",S324="Y"),"YES","no"))</f>
        <v/>
      </c>
      <c r="AA324" s="9">
        <f>IF(Z324="YES",MAX(N324,O324,Q324,R324),"")</f>
        <v/>
      </c>
      <c r="AB324">
        <f>IF(A324="","",IF(X324&lt;&gt;"","13 Repeat activity",IF(W324&lt;&gt;"","12 First enquiry/order/booking",IF(Z324="YES","11 ACTIVATED",IF(Q324&lt;&gt;"","10 First listing live",IF(O324&lt;&gt;"","9 Profile completed",IF(N324&lt;&gt;"","8 Approved",IF(M324&lt;&gt;"","7 KYC submitted",IF(L324&lt;&gt;"","6 Registration completed",IF(K324&lt;&gt;"","5b Registration started",IF(H324&lt;&gt;"","5a Information sent",IF(G324&lt;&gt;"","5 Interested","—"))))))))))))</f>
        <v/>
      </c>
      <c r="AC324" s="10">
        <f>IF(A324="","",(COUNT(G324,H324,K324,L324,M324,N324,O324,Q324,R324)+(I324="Y")+(P324="Y")+(S324="Y"))/12)</f>
        <v/>
      </c>
      <c r="AD324">
        <f>IF(OR(A324="",COUNT(G324:X324)=0),"",TODAY()-MAX(G324,H324,K324,L324,M324,N324,O324,Q324,R324,W324,X324))</f>
        <v/>
      </c>
      <c r="AE324">
        <f>IF(A324="","",IF(AND(Z324&lt;&gt;"YES",AD324&lt;&gt;"",AD324&gt;THRESHOLDS!$B$12),"STUCK — act today",""))</f>
        <v/>
      </c>
      <c r="AF324">
        <f>IF(A324="","",IF(J324="Active (verified)","",IF(J324="","Ask GST status (readiness R2)","Escalate to founder: orders need verified GSTIN in current code — no tax advice")))</f>
        <v/>
      </c>
      <c r="AG324">
        <f>IF(AND(G324&lt;&gt;"",L324&lt;&gt;""),L324-G324,"")</f>
        <v/>
      </c>
      <c r="AH324">
        <f>IF(AND(L324&lt;&gt;"",N324&lt;&gt;""),N324-L324,"")</f>
        <v/>
      </c>
      <c r="AI324">
        <f>IF(AND(N324&lt;&gt;"",AA324&lt;&gt;""),AA324-N324,"")</f>
        <v/>
      </c>
      <c r="AJ324">
        <f>IF(AND(L324&lt;&gt;"",N324&lt;&gt;"",Q324&lt;&gt;""),"Qualifies (if FP-QUAL adopted)","")</f>
        <v/>
      </c>
    </row>
    <row r="325">
      <c r="G325" s="9" t="n"/>
      <c r="H325" s="9" t="n"/>
      <c r="K325" s="9" t="n"/>
      <c r="L325" s="9" t="n"/>
      <c r="M325" s="9" t="n"/>
      <c r="N325" s="9" t="n"/>
      <c r="O325" s="9" t="n"/>
      <c r="Q325" s="9" t="n"/>
      <c r="R325" s="9" t="n"/>
      <c r="W325" s="9" t="n"/>
      <c r="X325" s="9" t="n"/>
      <c r="Z325">
        <f>IF(A325="","",IF(AND(N325&lt;&gt;"",O325&lt;&gt;"",Q325&lt;&gt;"",R325&lt;&gt;"",S325="Y"),"YES","no"))</f>
        <v/>
      </c>
      <c r="AA325" s="9">
        <f>IF(Z325="YES",MAX(N325,O325,Q325,R325),"")</f>
        <v/>
      </c>
      <c r="AB325">
        <f>IF(A325="","",IF(X325&lt;&gt;"","13 Repeat activity",IF(W325&lt;&gt;"","12 First enquiry/order/booking",IF(Z325="YES","11 ACTIVATED",IF(Q325&lt;&gt;"","10 First listing live",IF(O325&lt;&gt;"","9 Profile completed",IF(N325&lt;&gt;"","8 Approved",IF(M325&lt;&gt;"","7 KYC submitted",IF(L325&lt;&gt;"","6 Registration completed",IF(K325&lt;&gt;"","5b Registration started",IF(H325&lt;&gt;"","5a Information sent",IF(G325&lt;&gt;"","5 Interested","—"))))))))))))</f>
        <v/>
      </c>
      <c r="AC325" s="10">
        <f>IF(A325="","",(COUNT(G325,H325,K325,L325,M325,N325,O325,Q325,R325)+(I325="Y")+(P325="Y")+(S325="Y"))/12)</f>
        <v/>
      </c>
      <c r="AD325">
        <f>IF(OR(A325="",COUNT(G325:X325)=0),"",TODAY()-MAX(G325,H325,K325,L325,M325,N325,O325,Q325,R325,W325,X325))</f>
        <v/>
      </c>
      <c r="AE325">
        <f>IF(A325="","",IF(AND(Z325&lt;&gt;"YES",AD325&lt;&gt;"",AD325&gt;THRESHOLDS!$B$12),"STUCK — act today",""))</f>
        <v/>
      </c>
      <c r="AF325">
        <f>IF(A325="","",IF(J325="Active (verified)","",IF(J325="","Ask GST status (readiness R2)","Escalate to founder: orders need verified GSTIN in current code — no tax advice")))</f>
        <v/>
      </c>
      <c r="AG325">
        <f>IF(AND(G325&lt;&gt;"",L325&lt;&gt;""),L325-G325,"")</f>
        <v/>
      </c>
      <c r="AH325">
        <f>IF(AND(L325&lt;&gt;"",N325&lt;&gt;""),N325-L325,"")</f>
        <v/>
      </c>
      <c r="AI325">
        <f>IF(AND(N325&lt;&gt;"",AA325&lt;&gt;""),AA325-N325,"")</f>
        <v/>
      </c>
      <c r="AJ325">
        <f>IF(AND(L325&lt;&gt;"",N325&lt;&gt;"",Q325&lt;&gt;""),"Qualifies (if FP-QUAL adopted)","")</f>
        <v/>
      </c>
    </row>
    <row r="326">
      <c r="G326" s="9" t="n"/>
      <c r="H326" s="9" t="n"/>
      <c r="K326" s="9" t="n"/>
      <c r="L326" s="9" t="n"/>
      <c r="M326" s="9" t="n"/>
      <c r="N326" s="9" t="n"/>
      <c r="O326" s="9" t="n"/>
      <c r="Q326" s="9" t="n"/>
      <c r="R326" s="9" t="n"/>
      <c r="W326" s="9" t="n"/>
      <c r="X326" s="9" t="n"/>
      <c r="Z326">
        <f>IF(A326="","",IF(AND(N326&lt;&gt;"",O326&lt;&gt;"",Q326&lt;&gt;"",R326&lt;&gt;"",S326="Y"),"YES","no"))</f>
        <v/>
      </c>
      <c r="AA326" s="9">
        <f>IF(Z326="YES",MAX(N326,O326,Q326,R326),"")</f>
        <v/>
      </c>
      <c r="AB326">
        <f>IF(A326="","",IF(X326&lt;&gt;"","13 Repeat activity",IF(W326&lt;&gt;"","12 First enquiry/order/booking",IF(Z326="YES","11 ACTIVATED",IF(Q326&lt;&gt;"","10 First listing live",IF(O326&lt;&gt;"","9 Profile completed",IF(N326&lt;&gt;"","8 Approved",IF(M326&lt;&gt;"","7 KYC submitted",IF(L326&lt;&gt;"","6 Registration completed",IF(K326&lt;&gt;"","5b Registration started",IF(H326&lt;&gt;"","5a Information sent",IF(G326&lt;&gt;"","5 Interested","—"))))))))))))</f>
        <v/>
      </c>
      <c r="AC326" s="10">
        <f>IF(A326="","",(COUNT(G326,H326,K326,L326,M326,N326,O326,Q326,R326)+(I326="Y")+(P326="Y")+(S326="Y"))/12)</f>
        <v/>
      </c>
      <c r="AD326">
        <f>IF(OR(A326="",COUNT(G326:X326)=0),"",TODAY()-MAX(G326,H326,K326,L326,M326,N326,O326,Q326,R326,W326,X326))</f>
        <v/>
      </c>
      <c r="AE326">
        <f>IF(A326="","",IF(AND(Z326&lt;&gt;"YES",AD326&lt;&gt;"",AD326&gt;THRESHOLDS!$B$12),"STUCK — act today",""))</f>
        <v/>
      </c>
      <c r="AF326">
        <f>IF(A326="","",IF(J326="Active (verified)","",IF(J326="","Ask GST status (readiness R2)","Escalate to founder: orders need verified GSTIN in current code — no tax advice")))</f>
        <v/>
      </c>
      <c r="AG326">
        <f>IF(AND(G326&lt;&gt;"",L326&lt;&gt;""),L326-G326,"")</f>
        <v/>
      </c>
      <c r="AH326">
        <f>IF(AND(L326&lt;&gt;"",N326&lt;&gt;""),N326-L326,"")</f>
        <v/>
      </c>
      <c r="AI326">
        <f>IF(AND(N326&lt;&gt;"",AA326&lt;&gt;""),AA326-N326,"")</f>
        <v/>
      </c>
      <c r="AJ326">
        <f>IF(AND(L326&lt;&gt;"",N326&lt;&gt;"",Q326&lt;&gt;""),"Qualifies (if FP-QUAL adopted)","")</f>
        <v/>
      </c>
    </row>
    <row r="327">
      <c r="G327" s="9" t="n"/>
      <c r="H327" s="9" t="n"/>
      <c r="K327" s="9" t="n"/>
      <c r="L327" s="9" t="n"/>
      <c r="M327" s="9" t="n"/>
      <c r="N327" s="9" t="n"/>
      <c r="O327" s="9" t="n"/>
      <c r="Q327" s="9" t="n"/>
      <c r="R327" s="9" t="n"/>
      <c r="W327" s="9" t="n"/>
      <c r="X327" s="9" t="n"/>
      <c r="Z327">
        <f>IF(A327="","",IF(AND(N327&lt;&gt;"",O327&lt;&gt;"",Q327&lt;&gt;"",R327&lt;&gt;"",S327="Y"),"YES","no"))</f>
        <v/>
      </c>
      <c r="AA327" s="9">
        <f>IF(Z327="YES",MAX(N327,O327,Q327,R327),"")</f>
        <v/>
      </c>
      <c r="AB327">
        <f>IF(A327="","",IF(X327&lt;&gt;"","13 Repeat activity",IF(W327&lt;&gt;"","12 First enquiry/order/booking",IF(Z327="YES","11 ACTIVATED",IF(Q327&lt;&gt;"","10 First listing live",IF(O327&lt;&gt;"","9 Profile completed",IF(N327&lt;&gt;"","8 Approved",IF(M327&lt;&gt;"","7 KYC submitted",IF(L327&lt;&gt;"","6 Registration completed",IF(K327&lt;&gt;"","5b Registration started",IF(H327&lt;&gt;"","5a Information sent",IF(G327&lt;&gt;"","5 Interested","—"))))))))))))</f>
        <v/>
      </c>
      <c r="AC327" s="10">
        <f>IF(A327="","",(COUNT(G327,H327,K327,L327,M327,N327,O327,Q327,R327)+(I327="Y")+(P327="Y")+(S327="Y"))/12)</f>
        <v/>
      </c>
      <c r="AD327">
        <f>IF(OR(A327="",COUNT(G327:X327)=0),"",TODAY()-MAX(G327,H327,K327,L327,M327,N327,O327,Q327,R327,W327,X327))</f>
        <v/>
      </c>
      <c r="AE327">
        <f>IF(A327="","",IF(AND(Z327&lt;&gt;"YES",AD327&lt;&gt;"",AD327&gt;THRESHOLDS!$B$12),"STUCK — act today",""))</f>
        <v/>
      </c>
      <c r="AF327">
        <f>IF(A327="","",IF(J327="Active (verified)","",IF(J327="","Ask GST status (readiness R2)","Escalate to founder: orders need verified GSTIN in current code — no tax advice")))</f>
        <v/>
      </c>
      <c r="AG327">
        <f>IF(AND(G327&lt;&gt;"",L327&lt;&gt;""),L327-G327,"")</f>
        <v/>
      </c>
      <c r="AH327">
        <f>IF(AND(L327&lt;&gt;"",N327&lt;&gt;""),N327-L327,"")</f>
        <v/>
      </c>
      <c r="AI327">
        <f>IF(AND(N327&lt;&gt;"",AA327&lt;&gt;""),AA327-N327,"")</f>
        <v/>
      </c>
      <c r="AJ327">
        <f>IF(AND(L327&lt;&gt;"",N327&lt;&gt;"",Q327&lt;&gt;""),"Qualifies (if FP-QUAL adopted)","")</f>
        <v/>
      </c>
    </row>
    <row r="328">
      <c r="G328" s="9" t="n"/>
      <c r="H328" s="9" t="n"/>
      <c r="K328" s="9" t="n"/>
      <c r="L328" s="9" t="n"/>
      <c r="M328" s="9" t="n"/>
      <c r="N328" s="9" t="n"/>
      <c r="O328" s="9" t="n"/>
      <c r="Q328" s="9" t="n"/>
      <c r="R328" s="9" t="n"/>
      <c r="W328" s="9" t="n"/>
      <c r="X328" s="9" t="n"/>
      <c r="Z328">
        <f>IF(A328="","",IF(AND(N328&lt;&gt;"",O328&lt;&gt;"",Q328&lt;&gt;"",R328&lt;&gt;"",S328="Y"),"YES","no"))</f>
        <v/>
      </c>
      <c r="AA328" s="9">
        <f>IF(Z328="YES",MAX(N328,O328,Q328,R328),"")</f>
        <v/>
      </c>
      <c r="AB328">
        <f>IF(A328="","",IF(X328&lt;&gt;"","13 Repeat activity",IF(W328&lt;&gt;"","12 First enquiry/order/booking",IF(Z328="YES","11 ACTIVATED",IF(Q328&lt;&gt;"","10 First listing live",IF(O328&lt;&gt;"","9 Profile completed",IF(N328&lt;&gt;"","8 Approved",IF(M328&lt;&gt;"","7 KYC submitted",IF(L328&lt;&gt;"","6 Registration completed",IF(K328&lt;&gt;"","5b Registration started",IF(H328&lt;&gt;"","5a Information sent",IF(G328&lt;&gt;"","5 Interested","—"))))))))))))</f>
        <v/>
      </c>
      <c r="AC328" s="10">
        <f>IF(A328="","",(COUNT(G328,H328,K328,L328,M328,N328,O328,Q328,R328)+(I328="Y")+(P328="Y")+(S328="Y"))/12)</f>
        <v/>
      </c>
      <c r="AD328">
        <f>IF(OR(A328="",COUNT(G328:X328)=0),"",TODAY()-MAX(G328,H328,K328,L328,M328,N328,O328,Q328,R328,W328,X328))</f>
        <v/>
      </c>
      <c r="AE328">
        <f>IF(A328="","",IF(AND(Z328&lt;&gt;"YES",AD328&lt;&gt;"",AD328&gt;THRESHOLDS!$B$12),"STUCK — act today",""))</f>
        <v/>
      </c>
      <c r="AF328">
        <f>IF(A328="","",IF(J328="Active (verified)","",IF(J328="","Ask GST status (readiness R2)","Escalate to founder: orders need verified GSTIN in current code — no tax advice")))</f>
        <v/>
      </c>
      <c r="AG328">
        <f>IF(AND(G328&lt;&gt;"",L328&lt;&gt;""),L328-G328,"")</f>
        <v/>
      </c>
      <c r="AH328">
        <f>IF(AND(L328&lt;&gt;"",N328&lt;&gt;""),N328-L328,"")</f>
        <v/>
      </c>
      <c r="AI328">
        <f>IF(AND(N328&lt;&gt;"",AA328&lt;&gt;""),AA328-N328,"")</f>
        <v/>
      </c>
      <c r="AJ328">
        <f>IF(AND(L328&lt;&gt;"",N328&lt;&gt;"",Q328&lt;&gt;""),"Qualifies (if FP-QUAL adopted)","")</f>
        <v/>
      </c>
    </row>
    <row r="329">
      <c r="G329" s="9" t="n"/>
      <c r="H329" s="9" t="n"/>
      <c r="K329" s="9" t="n"/>
      <c r="L329" s="9" t="n"/>
      <c r="M329" s="9" t="n"/>
      <c r="N329" s="9" t="n"/>
      <c r="O329" s="9" t="n"/>
      <c r="Q329" s="9" t="n"/>
      <c r="R329" s="9" t="n"/>
      <c r="W329" s="9" t="n"/>
      <c r="X329" s="9" t="n"/>
      <c r="Z329">
        <f>IF(A329="","",IF(AND(N329&lt;&gt;"",O329&lt;&gt;"",Q329&lt;&gt;"",R329&lt;&gt;"",S329="Y"),"YES","no"))</f>
        <v/>
      </c>
      <c r="AA329" s="9">
        <f>IF(Z329="YES",MAX(N329,O329,Q329,R329),"")</f>
        <v/>
      </c>
      <c r="AB329">
        <f>IF(A329="","",IF(X329&lt;&gt;"","13 Repeat activity",IF(W329&lt;&gt;"","12 First enquiry/order/booking",IF(Z329="YES","11 ACTIVATED",IF(Q329&lt;&gt;"","10 First listing live",IF(O329&lt;&gt;"","9 Profile completed",IF(N329&lt;&gt;"","8 Approved",IF(M329&lt;&gt;"","7 KYC submitted",IF(L329&lt;&gt;"","6 Registration completed",IF(K329&lt;&gt;"","5b Registration started",IF(H329&lt;&gt;"","5a Information sent",IF(G329&lt;&gt;"","5 Interested","—"))))))))))))</f>
        <v/>
      </c>
      <c r="AC329" s="10">
        <f>IF(A329="","",(COUNT(G329,H329,K329,L329,M329,N329,O329,Q329,R329)+(I329="Y")+(P329="Y")+(S329="Y"))/12)</f>
        <v/>
      </c>
      <c r="AD329">
        <f>IF(OR(A329="",COUNT(G329:X329)=0),"",TODAY()-MAX(G329,H329,K329,L329,M329,N329,O329,Q329,R329,W329,X329))</f>
        <v/>
      </c>
      <c r="AE329">
        <f>IF(A329="","",IF(AND(Z329&lt;&gt;"YES",AD329&lt;&gt;"",AD329&gt;THRESHOLDS!$B$12),"STUCK — act today",""))</f>
        <v/>
      </c>
      <c r="AF329">
        <f>IF(A329="","",IF(J329="Active (verified)","",IF(J329="","Ask GST status (readiness R2)","Escalate to founder: orders need verified GSTIN in current code — no tax advice")))</f>
        <v/>
      </c>
      <c r="AG329">
        <f>IF(AND(G329&lt;&gt;"",L329&lt;&gt;""),L329-G329,"")</f>
        <v/>
      </c>
      <c r="AH329">
        <f>IF(AND(L329&lt;&gt;"",N329&lt;&gt;""),N329-L329,"")</f>
        <v/>
      </c>
      <c r="AI329">
        <f>IF(AND(N329&lt;&gt;"",AA329&lt;&gt;""),AA329-N329,"")</f>
        <v/>
      </c>
      <c r="AJ329">
        <f>IF(AND(L329&lt;&gt;"",N329&lt;&gt;"",Q329&lt;&gt;""),"Qualifies (if FP-QUAL adopted)","")</f>
        <v/>
      </c>
    </row>
    <row r="330">
      <c r="G330" s="9" t="n"/>
      <c r="H330" s="9" t="n"/>
      <c r="K330" s="9" t="n"/>
      <c r="L330" s="9" t="n"/>
      <c r="M330" s="9" t="n"/>
      <c r="N330" s="9" t="n"/>
      <c r="O330" s="9" t="n"/>
      <c r="Q330" s="9" t="n"/>
      <c r="R330" s="9" t="n"/>
      <c r="W330" s="9" t="n"/>
      <c r="X330" s="9" t="n"/>
      <c r="Z330">
        <f>IF(A330="","",IF(AND(N330&lt;&gt;"",O330&lt;&gt;"",Q330&lt;&gt;"",R330&lt;&gt;"",S330="Y"),"YES","no"))</f>
        <v/>
      </c>
      <c r="AA330" s="9">
        <f>IF(Z330="YES",MAX(N330,O330,Q330,R330),"")</f>
        <v/>
      </c>
      <c r="AB330">
        <f>IF(A330="","",IF(X330&lt;&gt;"","13 Repeat activity",IF(W330&lt;&gt;"","12 First enquiry/order/booking",IF(Z330="YES","11 ACTIVATED",IF(Q330&lt;&gt;"","10 First listing live",IF(O330&lt;&gt;"","9 Profile completed",IF(N330&lt;&gt;"","8 Approved",IF(M330&lt;&gt;"","7 KYC submitted",IF(L330&lt;&gt;"","6 Registration completed",IF(K330&lt;&gt;"","5b Registration started",IF(H330&lt;&gt;"","5a Information sent",IF(G330&lt;&gt;"","5 Interested","—"))))))))))))</f>
        <v/>
      </c>
      <c r="AC330" s="10">
        <f>IF(A330="","",(COUNT(G330,H330,K330,L330,M330,N330,O330,Q330,R330)+(I330="Y")+(P330="Y")+(S330="Y"))/12)</f>
        <v/>
      </c>
      <c r="AD330">
        <f>IF(OR(A330="",COUNT(G330:X330)=0),"",TODAY()-MAX(G330,H330,K330,L330,M330,N330,O330,Q330,R330,W330,X330))</f>
        <v/>
      </c>
      <c r="AE330">
        <f>IF(A330="","",IF(AND(Z330&lt;&gt;"YES",AD330&lt;&gt;"",AD330&gt;THRESHOLDS!$B$12),"STUCK — act today",""))</f>
        <v/>
      </c>
      <c r="AF330">
        <f>IF(A330="","",IF(J330="Active (verified)","",IF(J330="","Ask GST status (readiness R2)","Escalate to founder: orders need verified GSTIN in current code — no tax advice")))</f>
        <v/>
      </c>
      <c r="AG330">
        <f>IF(AND(G330&lt;&gt;"",L330&lt;&gt;""),L330-G330,"")</f>
        <v/>
      </c>
      <c r="AH330">
        <f>IF(AND(L330&lt;&gt;"",N330&lt;&gt;""),N330-L330,"")</f>
        <v/>
      </c>
      <c r="AI330">
        <f>IF(AND(N330&lt;&gt;"",AA330&lt;&gt;""),AA330-N330,"")</f>
        <v/>
      </c>
      <c r="AJ330">
        <f>IF(AND(L330&lt;&gt;"",N330&lt;&gt;"",Q330&lt;&gt;""),"Qualifies (if FP-QUAL adopted)","")</f>
        <v/>
      </c>
    </row>
    <row r="331">
      <c r="G331" s="9" t="n"/>
      <c r="H331" s="9" t="n"/>
      <c r="K331" s="9" t="n"/>
      <c r="L331" s="9" t="n"/>
      <c r="M331" s="9" t="n"/>
      <c r="N331" s="9" t="n"/>
      <c r="O331" s="9" t="n"/>
      <c r="Q331" s="9" t="n"/>
      <c r="R331" s="9" t="n"/>
      <c r="W331" s="9" t="n"/>
      <c r="X331" s="9" t="n"/>
      <c r="Z331">
        <f>IF(A331="","",IF(AND(N331&lt;&gt;"",O331&lt;&gt;"",Q331&lt;&gt;"",R331&lt;&gt;"",S331="Y"),"YES","no"))</f>
        <v/>
      </c>
      <c r="AA331" s="9">
        <f>IF(Z331="YES",MAX(N331,O331,Q331,R331),"")</f>
        <v/>
      </c>
      <c r="AB331">
        <f>IF(A331="","",IF(X331&lt;&gt;"","13 Repeat activity",IF(W331&lt;&gt;"","12 First enquiry/order/booking",IF(Z331="YES","11 ACTIVATED",IF(Q331&lt;&gt;"","10 First listing live",IF(O331&lt;&gt;"","9 Profile completed",IF(N331&lt;&gt;"","8 Approved",IF(M331&lt;&gt;"","7 KYC submitted",IF(L331&lt;&gt;"","6 Registration completed",IF(K331&lt;&gt;"","5b Registration started",IF(H331&lt;&gt;"","5a Information sent",IF(G331&lt;&gt;"","5 Interested","—"))))))))))))</f>
        <v/>
      </c>
      <c r="AC331" s="10">
        <f>IF(A331="","",(COUNT(G331,H331,K331,L331,M331,N331,O331,Q331,R331)+(I331="Y")+(P331="Y")+(S331="Y"))/12)</f>
        <v/>
      </c>
      <c r="AD331">
        <f>IF(OR(A331="",COUNT(G331:X331)=0),"",TODAY()-MAX(G331,H331,K331,L331,M331,N331,O331,Q331,R331,W331,X331))</f>
        <v/>
      </c>
      <c r="AE331">
        <f>IF(A331="","",IF(AND(Z331&lt;&gt;"YES",AD331&lt;&gt;"",AD331&gt;THRESHOLDS!$B$12),"STUCK — act today",""))</f>
        <v/>
      </c>
      <c r="AF331">
        <f>IF(A331="","",IF(J331="Active (verified)","",IF(J331="","Ask GST status (readiness R2)","Escalate to founder: orders need verified GSTIN in current code — no tax advice")))</f>
        <v/>
      </c>
      <c r="AG331">
        <f>IF(AND(G331&lt;&gt;"",L331&lt;&gt;""),L331-G331,"")</f>
        <v/>
      </c>
      <c r="AH331">
        <f>IF(AND(L331&lt;&gt;"",N331&lt;&gt;""),N331-L331,"")</f>
        <v/>
      </c>
      <c r="AI331">
        <f>IF(AND(N331&lt;&gt;"",AA331&lt;&gt;""),AA331-N331,"")</f>
        <v/>
      </c>
      <c r="AJ331">
        <f>IF(AND(L331&lt;&gt;"",N331&lt;&gt;"",Q331&lt;&gt;""),"Qualifies (if FP-QUAL adopted)","")</f>
        <v/>
      </c>
    </row>
    <row r="332">
      <c r="G332" s="9" t="n"/>
      <c r="H332" s="9" t="n"/>
      <c r="K332" s="9" t="n"/>
      <c r="L332" s="9" t="n"/>
      <c r="M332" s="9" t="n"/>
      <c r="N332" s="9" t="n"/>
      <c r="O332" s="9" t="n"/>
      <c r="Q332" s="9" t="n"/>
      <c r="R332" s="9" t="n"/>
      <c r="W332" s="9" t="n"/>
      <c r="X332" s="9" t="n"/>
      <c r="Z332">
        <f>IF(A332="","",IF(AND(N332&lt;&gt;"",O332&lt;&gt;"",Q332&lt;&gt;"",R332&lt;&gt;"",S332="Y"),"YES","no"))</f>
        <v/>
      </c>
      <c r="AA332" s="9">
        <f>IF(Z332="YES",MAX(N332,O332,Q332,R332),"")</f>
        <v/>
      </c>
      <c r="AB332">
        <f>IF(A332="","",IF(X332&lt;&gt;"","13 Repeat activity",IF(W332&lt;&gt;"","12 First enquiry/order/booking",IF(Z332="YES","11 ACTIVATED",IF(Q332&lt;&gt;"","10 First listing live",IF(O332&lt;&gt;"","9 Profile completed",IF(N332&lt;&gt;"","8 Approved",IF(M332&lt;&gt;"","7 KYC submitted",IF(L332&lt;&gt;"","6 Registration completed",IF(K332&lt;&gt;"","5b Registration started",IF(H332&lt;&gt;"","5a Information sent",IF(G332&lt;&gt;"","5 Interested","—"))))))))))))</f>
        <v/>
      </c>
      <c r="AC332" s="10">
        <f>IF(A332="","",(COUNT(G332,H332,K332,L332,M332,N332,O332,Q332,R332)+(I332="Y")+(P332="Y")+(S332="Y"))/12)</f>
        <v/>
      </c>
      <c r="AD332">
        <f>IF(OR(A332="",COUNT(G332:X332)=0),"",TODAY()-MAX(G332,H332,K332,L332,M332,N332,O332,Q332,R332,W332,X332))</f>
        <v/>
      </c>
      <c r="AE332">
        <f>IF(A332="","",IF(AND(Z332&lt;&gt;"YES",AD332&lt;&gt;"",AD332&gt;THRESHOLDS!$B$12),"STUCK — act today",""))</f>
        <v/>
      </c>
      <c r="AF332">
        <f>IF(A332="","",IF(J332="Active (verified)","",IF(J332="","Ask GST status (readiness R2)","Escalate to founder: orders need verified GSTIN in current code — no tax advice")))</f>
        <v/>
      </c>
      <c r="AG332">
        <f>IF(AND(G332&lt;&gt;"",L332&lt;&gt;""),L332-G332,"")</f>
        <v/>
      </c>
      <c r="AH332">
        <f>IF(AND(L332&lt;&gt;"",N332&lt;&gt;""),N332-L332,"")</f>
        <v/>
      </c>
      <c r="AI332">
        <f>IF(AND(N332&lt;&gt;"",AA332&lt;&gt;""),AA332-N332,"")</f>
        <v/>
      </c>
      <c r="AJ332">
        <f>IF(AND(L332&lt;&gt;"",N332&lt;&gt;"",Q332&lt;&gt;""),"Qualifies (if FP-QUAL adopted)","")</f>
        <v/>
      </c>
    </row>
    <row r="333">
      <c r="G333" s="9" t="n"/>
      <c r="H333" s="9" t="n"/>
      <c r="K333" s="9" t="n"/>
      <c r="L333" s="9" t="n"/>
      <c r="M333" s="9" t="n"/>
      <c r="N333" s="9" t="n"/>
      <c r="O333" s="9" t="n"/>
      <c r="Q333" s="9" t="n"/>
      <c r="R333" s="9" t="n"/>
      <c r="W333" s="9" t="n"/>
      <c r="X333" s="9" t="n"/>
      <c r="Z333">
        <f>IF(A333="","",IF(AND(N333&lt;&gt;"",O333&lt;&gt;"",Q333&lt;&gt;"",R333&lt;&gt;"",S333="Y"),"YES","no"))</f>
        <v/>
      </c>
      <c r="AA333" s="9">
        <f>IF(Z333="YES",MAX(N333,O333,Q333,R333),"")</f>
        <v/>
      </c>
      <c r="AB333">
        <f>IF(A333="","",IF(X333&lt;&gt;"","13 Repeat activity",IF(W333&lt;&gt;"","12 First enquiry/order/booking",IF(Z333="YES","11 ACTIVATED",IF(Q333&lt;&gt;"","10 First listing live",IF(O333&lt;&gt;"","9 Profile completed",IF(N333&lt;&gt;"","8 Approved",IF(M333&lt;&gt;"","7 KYC submitted",IF(L333&lt;&gt;"","6 Registration completed",IF(K333&lt;&gt;"","5b Registration started",IF(H333&lt;&gt;"","5a Information sent",IF(G333&lt;&gt;"","5 Interested","—"))))))))))))</f>
        <v/>
      </c>
      <c r="AC333" s="10">
        <f>IF(A333="","",(COUNT(G333,H333,K333,L333,M333,N333,O333,Q333,R333)+(I333="Y")+(P333="Y")+(S333="Y"))/12)</f>
        <v/>
      </c>
      <c r="AD333">
        <f>IF(OR(A333="",COUNT(G333:X333)=0),"",TODAY()-MAX(G333,H333,K333,L333,M333,N333,O333,Q333,R333,W333,X333))</f>
        <v/>
      </c>
      <c r="AE333">
        <f>IF(A333="","",IF(AND(Z333&lt;&gt;"YES",AD333&lt;&gt;"",AD333&gt;THRESHOLDS!$B$12),"STUCK — act today",""))</f>
        <v/>
      </c>
      <c r="AF333">
        <f>IF(A333="","",IF(J333="Active (verified)","",IF(J333="","Ask GST status (readiness R2)","Escalate to founder: orders need verified GSTIN in current code — no tax advice")))</f>
        <v/>
      </c>
      <c r="AG333">
        <f>IF(AND(G333&lt;&gt;"",L333&lt;&gt;""),L333-G333,"")</f>
        <v/>
      </c>
      <c r="AH333">
        <f>IF(AND(L333&lt;&gt;"",N333&lt;&gt;""),N333-L333,"")</f>
        <v/>
      </c>
      <c r="AI333">
        <f>IF(AND(N333&lt;&gt;"",AA333&lt;&gt;""),AA333-N333,"")</f>
        <v/>
      </c>
      <c r="AJ333">
        <f>IF(AND(L333&lt;&gt;"",N333&lt;&gt;"",Q333&lt;&gt;""),"Qualifies (if FP-QUAL adopted)","")</f>
        <v/>
      </c>
    </row>
    <row r="334">
      <c r="G334" s="9" t="n"/>
      <c r="H334" s="9" t="n"/>
      <c r="K334" s="9" t="n"/>
      <c r="L334" s="9" t="n"/>
      <c r="M334" s="9" t="n"/>
      <c r="N334" s="9" t="n"/>
      <c r="O334" s="9" t="n"/>
      <c r="Q334" s="9" t="n"/>
      <c r="R334" s="9" t="n"/>
      <c r="W334" s="9" t="n"/>
      <c r="X334" s="9" t="n"/>
      <c r="Z334">
        <f>IF(A334="","",IF(AND(N334&lt;&gt;"",O334&lt;&gt;"",Q334&lt;&gt;"",R334&lt;&gt;"",S334="Y"),"YES","no"))</f>
        <v/>
      </c>
      <c r="AA334" s="9">
        <f>IF(Z334="YES",MAX(N334,O334,Q334,R334),"")</f>
        <v/>
      </c>
      <c r="AB334">
        <f>IF(A334="","",IF(X334&lt;&gt;"","13 Repeat activity",IF(W334&lt;&gt;"","12 First enquiry/order/booking",IF(Z334="YES","11 ACTIVATED",IF(Q334&lt;&gt;"","10 First listing live",IF(O334&lt;&gt;"","9 Profile completed",IF(N334&lt;&gt;"","8 Approved",IF(M334&lt;&gt;"","7 KYC submitted",IF(L334&lt;&gt;"","6 Registration completed",IF(K334&lt;&gt;"","5b Registration started",IF(H334&lt;&gt;"","5a Information sent",IF(G334&lt;&gt;"","5 Interested","—"))))))))))))</f>
        <v/>
      </c>
      <c r="AC334" s="10">
        <f>IF(A334="","",(COUNT(G334,H334,K334,L334,M334,N334,O334,Q334,R334)+(I334="Y")+(P334="Y")+(S334="Y"))/12)</f>
        <v/>
      </c>
      <c r="AD334">
        <f>IF(OR(A334="",COUNT(G334:X334)=0),"",TODAY()-MAX(G334,H334,K334,L334,M334,N334,O334,Q334,R334,W334,X334))</f>
        <v/>
      </c>
      <c r="AE334">
        <f>IF(A334="","",IF(AND(Z334&lt;&gt;"YES",AD334&lt;&gt;"",AD334&gt;THRESHOLDS!$B$12),"STUCK — act today",""))</f>
        <v/>
      </c>
      <c r="AF334">
        <f>IF(A334="","",IF(J334="Active (verified)","",IF(J334="","Ask GST status (readiness R2)","Escalate to founder: orders need verified GSTIN in current code — no tax advice")))</f>
        <v/>
      </c>
      <c r="AG334">
        <f>IF(AND(G334&lt;&gt;"",L334&lt;&gt;""),L334-G334,"")</f>
        <v/>
      </c>
      <c r="AH334">
        <f>IF(AND(L334&lt;&gt;"",N334&lt;&gt;""),N334-L334,"")</f>
        <v/>
      </c>
      <c r="AI334">
        <f>IF(AND(N334&lt;&gt;"",AA334&lt;&gt;""),AA334-N334,"")</f>
        <v/>
      </c>
      <c r="AJ334">
        <f>IF(AND(L334&lt;&gt;"",N334&lt;&gt;"",Q334&lt;&gt;""),"Qualifies (if FP-QUAL adopted)","")</f>
        <v/>
      </c>
    </row>
    <row r="335">
      <c r="G335" s="9" t="n"/>
      <c r="H335" s="9" t="n"/>
      <c r="K335" s="9" t="n"/>
      <c r="L335" s="9" t="n"/>
      <c r="M335" s="9" t="n"/>
      <c r="N335" s="9" t="n"/>
      <c r="O335" s="9" t="n"/>
      <c r="Q335" s="9" t="n"/>
      <c r="R335" s="9" t="n"/>
      <c r="W335" s="9" t="n"/>
      <c r="X335" s="9" t="n"/>
      <c r="Z335">
        <f>IF(A335="","",IF(AND(N335&lt;&gt;"",O335&lt;&gt;"",Q335&lt;&gt;"",R335&lt;&gt;"",S335="Y"),"YES","no"))</f>
        <v/>
      </c>
      <c r="AA335" s="9">
        <f>IF(Z335="YES",MAX(N335,O335,Q335,R335),"")</f>
        <v/>
      </c>
      <c r="AB335">
        <f>IF(A335="","",IF(X335&lt;&gt;"","13 Repeat activity",IF(W335&lt;&gt;"","12 First enquiry/order/booking",IF(Z335="YES","11 ACTIVATED",IF(Q335&lt;&gt;"","10 First listing live",IF(O335&lt;&gt;"","9 Profile completed",IF(N335&lt;&gt;"","8 Approved",IF(M335&lt;&gt;"","7 KYC submitted",IF(L335&lt;&gt;"","6 Registration completed",IF(K335&lt;&gt;"","5b Registration started",IF(H335&lt;&gt;"","5a Information sent",IF(G335&lt;&gt;"","5 Interested","—"))))))))))))</f>
        <v/>
      </c>
      <c r="AC335" s="10">
        <f>IF(A335="","",(COUNT(G335,H335,K335,L335,M335,N335,O335,Q335,R335)+(I335="Y")+(P335="Y")+(S335="Y"))/12)</f>
        <v/>
      </c>
      <c r="AD335">
        <f>IF(OR(A335="",COUNT(G335:X335)=0),"",TODAY()-MAX(G335,H335,K335,L335,M335,N335,O335,Q335,R335,W335,X335))</f>
        <v/>
      </c>
      <c r="AE335">
        <f>IF(A335="","",IF(AND(Z335&lt;&gt;"YES",AD335&lt;&gt;"",AD335&gt;THRESHOLDS!$B$12),"STUCK — act today",""))</f>
        <v/>
      </c>
      <c r="AF335">
        <f>IF(A335="","",IF(J335="Active (verified)","",IF(J335="","Ask GST status (readiness R2)","Escalate to founder: orders need verified GSTIN in current code — no tax advice")))</f>
        <v/>
      </c>
      <c r="AG335">
        <f>IF(AND(G335&lt;&gt;"",L335&lt;&gt;""),L335-G335,"")</f>
        <v/>
      </c>
      <c r="AH335">
        <f>IF(AND(L335&lt;&gt;"",N335&lt;&gt;""),N335-L335,"")</f>
        <v/>
      </c>
      <c r="AI335">
        <f>IF(AND(N335&lt;&gt;"",AA335&lt;&gt;""),AA335-N335,"")</f>
        <v/>
      </c>
      <c r="AJ335">
        <f>IF(AND(L335&lt;&gt;"",N335&lt;&gt;"",Q335&lt;&gt;""),"Qualifies (if FP-QUAL adopted)","")</f>
        <v/>
      </c>
    </row>
    <row r="336">
      <c r="G336" s="9" t="n"/>
      <c r="H336" s="9" t="n"/>
      <c r="K336" s="9" t="n"/>
      <c r="L336" s="9" t="n"/>
      <c r="M336" s="9" t="n"/>
      <c r="N336" s="9" t="n"/>
      <c r="O336" s="9" t="n"/>
      <c r="Q336" s="9" t="n"/>
      <c r="R336" s="9" t="n"/>
      <c r="W336" s="9" t="n"/>
      <c r="X336" s="9" t="n"/>
      <c r="Z336">
        <f>IF(A336="","",IF(AND(N336&lt;&gt;"",O336&lt;&gt;"",Q336&lt;&gt;"",R336&lt;&gt;"",S336="Y"),"YES","no"))</f>
        <v/>
      </c>
      <c r="AA336" s="9">
        <f>IF(Z336="YES",MAX(N336,O336,Q336,R336),"")</f>
        <v/>
      </c>
      <c r="AB336">
        <f>IF(A336="","",IF(X336&lt;&gt;"","13 Repeat activity",IF(W336&lt;&gt;"","12 First enquiry/order/booking",IF(Z336="YES","11 ACTIVATED",IF(Q336&lt;&gt;"","10 First listing live",IF(O336&lt;&gt;"","9 Profile completed",IF(N336&lt;&gt;"","8 Approved",IF(M336&lt;&gt;"","7 KYC submitted",IF(L336&lt;&gt;"","6 Registration completed",IF(K336&lt;&gt;"","5b Registration started",IF(H336&lt;&gt;"","5a Information sent",IF(G336&lt;&gt;"","5 Interested","—"))))))))))))</f>
        <v/>
      </c>
      <c r="AC336" s="10">
        <f>IF(A336="","",(COUNT(G336,H336,K336,L336,M336,N336,O336,Q336,R336)+(I336="Y")+(P336="Y")+(S336="Y"))/12)</f>
        <v/>
      </c>
      <c r="AD336">
        <f>IF(OR(A336="",COUNT(G336:X336)=0),"",TODAY()-MAX(G336,H336,K336,L336,M336,N336,O336,Q336,R336,W336,X336))</f>
        <v/>
      </c>
      <c r="AE336">
        <f>IF(A336="","",IF(AND(Z336&lt;&gt;"YES",AD336&lt;&gt;"",AD336&gt;THRESHOLDS!$B$12),"STUCK — act today",""))</f>
        <v/>
      </c>
      <c r="AF336">
        <f>IF(A336="","",IF(J336="Active (verified)","",IF(J336="","Ask GST status (readiness R2)","Escalate to founder: orders need verified GSTIN in current code — no tax advice")))</f>
        <v/>
      </c>
      <c r="AG336">
        <f>IF(AND(G336&lt;&gt;"",L336&lt;&gt;""),L336-G336,"")</f>
        <v/>
      </c>
      <c r="AH336">
        <f>IF(AND(L336&lt;&gt;"",N336&lt;&gt;""),N336-L336,"")</f>
        <v/>
      </c>
      <c r="AI336">
        <f>IF(AND(N336&lt;&gt;"",AA336&lt;&gt;""),AA336-N336,"")</f>
        <v/>
      </c>
      <c r="AJ336">
        <f>IF(AND(L336&lt;&gt;"",N336&lt;&gt;"",Q336&lt;&gt;""),"Qualifies (if FP-QUAL adopted)","")</f>
        <v/>
      </c>
    </row>
    <row r="337">
      <c r="G337" s="9" t="n"/>
      <c r="H337" s="9" t="n"/>
      <c r="K337" s="9" t="n"/>
      <c r="L337" s="9" t="n"/>
      <c r="M337" s="9" t="n"/>
      <c r="N337" s="9" t="n"/>
      <c r="O337" s="9" t="n"/>
      <c r="Q337" s="9" t="n"/>
      <c r="R337" s="9" t="n"/>
      <c r="W337" s="9" t="n"/>
      <c r="X337" s="9" t="n"/>
      <c r="Z337">
        <f>IF(A337="","",IF(AND(N337&lt;&gt;"",O337&lt;&gt;"",Q337&lt;&gt;"",R337&lt;&gt;"",S337="Y"),"YES","no"))</f>
        <v/>
      </c>
      <c r="AA337" s="9">
        <f>IF(Z337="YES",MAX(N337,O337,Q337,R337),"")</f>
        <v/>
      </c>
      <c r="AB337">
        <f>IF(A337="","",IF(X337&lt;&gt;"","13 Repeat activity",IF(W337&lt;&gt;"","12 First enquiry/order/booking",IF(Z337="YES","11 ACTIVATED",IF(Q337&lt;&gt;"","10 First listing live",IF(O337&lt;&gt;"","9 Profile completed",IF(N337&lt;&gt;"","8 Approved",IF(M337&lt;&gt;"","7 KYC submitted",IF(L337&lt;&gt;"","6 Registration completed",IF(K337&lt;&gt;"","5b Registration started",IF(H337&lt;&gt;"","5a Information sent",IF(G337&lt;&gt;"","5 Interested","—"))))))))))))</f>
        <v/>
      </c>
      <c r="AC337" s="10">
        <f>IF(A337="","",(COUNT(G337,H337,K337,L337,M337,N337,O337,Q337,R337)+(I337="Y")+(P337="Y")+(S337="Y"))/12)</f>
        <v/>
      </c>
      <c r="AD337">
        <f>IF(OR(A337="",COUNT(G337:X337)=0),"",TODAY()-MAX(G337,H337,K337,L337,M337,N337,O337,Q337,R337,W337,X337))</f>
        <v/>
      </c>
      <c r="AE337">
        <f>IF(A337="","",IF(AND(Z337&lt;&gt;"YES",AD337&lt;&gt;"",AD337&gt;THRESHOLDS!$B$12),"STUCK — act today",""))</f>
        <v/>
      </c>
      <c r="AF337">
        <f>IF(A337="","",IF(J337="Active (verified)","",IF(J337="","Ask GST status (readiness R2)","Escalate to founder: orders need verified GSTIN in current code — no tax advice")))</f>
        <v/>
      </c>
      <c r="AG337">
        <f>IF(AND(G337&lt;&gt;"",L337&lt;&gt;""),L337-G337,"")</f>
        <v/>
      </c>
      <c r="AH337">
        <f>IF(AND(L337&lt;&gt;"",N337&lt;&gt;""),N337-L337,"")</f>
        <v/>
      </c>
      <c r="AI337">
        <f>IF(AND(N337&lt;&gt;"",AA337&lt;&gt;""),AA337-N337,"")</f>
        <v/>
      </c>
      <c r="AJ337">
        <f>IF(AND(L337&lt;&gt;"",N337&lt;&gt;"",Q337&lt;&gt;""),"Qualifies (if FP-QUAL adopted)","")</f>
        <v/>
      </c>
    </row>
    <row r="338">
      <c r="G338" s="9" t="n"/>
      <c r="H338" s="9" t="n"/>
      <c r="K338" s="9" t="n"/>
      <c r="L338" s="9" t="n"/>
      <c r="M338" s="9" t="n"/>
      <c r="N338" s="9" t="n"/>
      <c r="O338" s="9" t="n"/>
      <c r="Q338" s="9" t="n"/>
      <c r="R338" s="9" t="n"/>
      <c r="W338" s="9" t="n"/>
      <c r="X338" s="9" t="n"/>
      <c r="Z338">
        <f>IF(A338="","",IF(AND(N338&lt;&gt;"",O338&lt;&gt;"",Q338&lt;&gt;"",R338&lt;&gt;"",S338="Y"),"YES","no"))</f>
        <v/>
      </c>
      <c r="AA338" s="9">
        <f>IF(Z338="YES",MAX(N338,O338,Q338,R338),"")</f>
        <v/>
      </c>
      <c r="AB338">
        <f>IF(A338="","",IF(X338&lt;&gt;"","13 Repeat activity",IF(W338&lt;&gt;"","12 First enquiry/order/booking",IF(Z338="YES","11 ACTIVATED",IF(Q338&lt;&gt;"","10 First listing live",IF(O338&lt;&gt;"","9 Profile completed",IF(N338&lt;&gt;"","8 Approved",IF(M338&lt;&gt;"","7 KYC submitted",IF(L338&lt;&gt;"","6 Registration completed",IF(K338&lt;&gt;"","5b Registration started",IF(H338&lt;&gt;"","5a Information sent",IF(G338&lt;&gt;"","5 Interested","—"))))))))))))</f>
        <v/>
      </c>
      <c r="AC338" s="10">
        <f>IF(A338="","",(COUNT(G338,H338,K338,L338,M338,N338,O338,Q338,R338)+(I338="Y")+(P338="Y")+(S338="Y"))/12)</f>
        <v/>
      </c>
      <c r="AD338">
        <f>IF(OR(A338="",COUNT(G338:X338)=0),"",TODAY()-MAX(G338,H338,K338,L338,M338,N338,O338,Q338,R338,W338,X338))</f>
        <v/>
      </c>
      <c r="AE338">
        <f>IF(A338="","",IF(AND(Z338&lt;&gt;"YES",AD338&lt;&gt;"",AD338&gt;THRESHOLDS!$B$12),"STUCK — act today",""))</f>
        <v/>
      </c>
      <c r="AF338">
        <f>IF(A338="","",IF(J338="Active (verified)","",IF(J338="","Ask GST status (readiness R2)","Escalate to founder: orders need verified GSTIN in current code — no tax advice")))</f>
        <v/>
      </c>
      <c r="AG338">
        <f>IF(AND(G338&lt;&gt;"",L338&lt;&gt;""),L338-G338,"")</f>
        <v/>
      </c>
      <c r="AH338">
        <f>IF(AND(L338&lt;&gt;"",N338&lt;&gt;""),N338-L338,"")</f>
        <v/>
      </c>
      <c r="AI338">
        <f>IF(AND(N338&lt;&gt;"",AA338&lt;&gt;""),AA338-N338,"")</f>
        <v/>
      </c>
      <c r="AJ338">
        <f>IF(AND(L338&lt;&gt;"",N338&lt;&gt;"",Q338&lt;&gt;""),"Qualifies (if FP-QUAL adopted)","")</f>
        <v/>
      </c>
    </row>
    <row r="339">
      <c r="G339" s="9" t="n"/>
      <c r="H339" s="9" t="n"/>
      <c r="K339" s="9" t="n"/>
      <c r="L339" s="9" t="n"/>
      <c r="M339" s="9" t="n"/>
      <c r="N339" s="9" t="n"/>
      <c r="O339" s="9" t="n"/>
      <c r="Q339" s="9" t="n"/>
      <c r="R339" s="9" t="n"/>
      <c r="W339" s="9" t="n"/>
      <c r="X339" s="9" t="n"/>
      <c r="Z339">
        <f>IF(A339="","",IF(AND(N339&lt;&gt;"",O339&lt;&gt;"",Q339&lt;&gt;"",R339&lt;&gt;"",S339="Y"),"YES","no"))</f>
        <v/>
      </c>
      <c r="AA339" s="9">
        <f>IF(Z339="YES",MAX(N339,O339,Q339,R339),"")</f>
        <v/>
      </c>
      <c r="AB339">
        <f>IF(A339="","",IF(X339&lt;&gt;"","13 Repeat activity",IF(W339&lt;&gt;"","12 First enquiry/order/booking",IF(Z339="YES","11 ACTIVATED",IF(Q339&lt;&gt;"","10 First listing live",IF(O339&lt;&gt;"","9 Profile completed",IF(N339&lt;&gt;"","8 Approved",IF(M339&lt;&gt;"","7 KYC submitted",IF(L339&lt;&gt;"","6 Registration completed",IF(K339&lt;&gt;"","5b Registration started",IF(H339&lt;&gt;"","5a Information sent",IF(G339&lt;&gt;"","5 Interested","—"))))))))))))</f>
        <v/>
      </c>
      <c r="AC339" s="10">
        <f>IF(A339="","",(COUNT(G339,H339,K339,L339,M339,N339,O339,Q339,R339)+(I339="Y")+(P339="Y")+(S339="Y"))/12)</f>
        <v/>
      </c>
      <c r="AD339">
        <f>IF(OR(A339="",COUNT(G339:X339)=0),"",TODAY()-MAX(G339,H339,K339,L339,M339,N339,O339,Q339,R339,W339,X339))</f>
        <v/>
      </c>
      <c r="AE339">
        <f>IF(A339="","",IF(AND(Z339&lt;&gt;"YES",AD339&lt;&gt;"",AD339&gt;THRESHOLDS!$B$12),"STUCK — act today",""))</f>
        <v/>
      </c>
      <c r="AF339">
        <f>IF(A339="","",IF(J339="Active (verified)","",IF(J339="","Ask GST status (readiness R2)","Escalate to founder: orders need verified GSTIN in current code — no tax advice")))</f>
        <v/>
      </c>
      <c r="AG339">
        <f>IF(AND(G339&lt;&gt;"",L339&lt;&gt;""),L339-G339,"")</f>
        <v/>
      </c>
      <c r="AH339">
        <f>IF(AND(L339&lt;&gt;"",N339&lt;&gt;""),N339-L339,"")</f>
        <v/>
      </c>
      <c r="AI339">
        <f>IF(AND(N339&lt;&gt;"",AA339&lt;&gt;""),AA339-N339,"")</f>
        <v/>
      </c>
      <c r="AJ339">
        <f>IF(AND(L339&lt;&gt;"",N339&lt;&gt;"",Q339&lt;&gt;""),"Qualifies (if FP-QUAL adopted)","")</f>
        <v/>
      </c>
    </row>
    <row r="340">
      <c r="G340" s="9" t="n"/>
      <c r="H340" s="9" t="n"/>
      <c r="K340" s="9" t="n"/>
      <c r="L340" s="9" t="n"/>
      <c r="M340" s="9" t="n"/>
      <c r="N340" s="9" t="n"/>
      <c r="O340" s="9" t="n"/>
      <c r="Q340" s="9" t="n"/>
      <c r="R340" s="9" t="n"/>
      <c r="W340" s="9" t="n"/>
      <c r="X340" s="9" t="n"/>
      <c r="Z340">
        <f>IF(A340="","",IF(AND(N340&lt;&gt;"",O340&lt;&gt;"",Q340&lt;&gt;"",R340&lt;&gt;"",S340="Y"),"YES","no"))</f>
        <v/>
      </c>
      <c r="AA340" s="9">
        <f>IF(Z340="YES",MAX(N340,O340,Q340,R340),"")</f>
        <v/>
      </c>
      <c r="AB340">
        <f>IF(A340="","",IF(X340&lt;&gt;"","13 Repeat activity",IF(W340&lt;&gt;"","12 First enquiry/order/booking",IF(Z340="YES","11 ACTIVATED",IF(Q340&lt;&gt;"","10 First listing live",IF(O340&lt;&gt;"","9 Profile completed",IF(N340&lt;&gt;"","8 Approved",IF(M340&lt;&gt;"","7 KYC submitted",IF(L340&lt;&gt;"","6 Registration completed",IF(K340&lt;&gt;"","5b Registration started",IF(H340&lt;&gt;"","5a Information sent",IF(G340&lt;&gt;"","5 Interested","—"))))))))))))</f>
        <v/>
      </c>
      <c r="AC340" s="10">
        <f>IF(A340="","",(COUNT(G340,H340,K340,L340,M340,N340,O340,Q340,R340)+(I340="Y")+(P340="Y")+(S340="Y"))/12)</f>
        <v/>
      </c>
      <c r="AD340">
        <f>IF(OR(A340="",COUNT(G340:X340)=0),"",TODAY()-MAX(G340,H340,K340,L340,M340,N340,O340,Q340,R340,W340,X340))</f>
        <v/>
      </c>
      <c r="AE340">
        <f>IF(A340="","",IF(AND(Z340&lt;&gt;"YES",AD340&lt;&gt;"",AD340&gt;THRESHOLDS!$B$12),"STUCK — act today",""))</f>
        <v/>
      </c>
      <c r="AF340">
        <f>IF(A340="","",IF(J340="Active (verified)","",IF(J340="","Ask GST status (readiness R2)","Escalate to founder: orders need verified GSTIN in current code — no tax advice")))</f>
        <v/>
      </c>
      <c r="AG340">
        <f>IF(AND(G340&lt;&gt;"",L340&lt;&gt;""),L340-G340,"")</f>
        <v/>
      </c>
      <c r="AH340">
        <f>IF(AND(L340&lt;&gt;"",N340&lt;&gt;""),N340-L340,"")</f>
        <v/>
      </c>
      <c r="AI340">
        <f>IF(AND(N340&lt;&gt;"",AA340&lt;&gt;""),AA340-N340,"")</f>
        <v/>
      </c>
      <c r="AJ340">
        <f>IF(AND(L340&lt;&gt;"",N340&lt;&gt;"",Q340&lt;&gt;""),"Qualifies (if FP-QUAL adopted)","")</f>
        <v/>
      </c>
    </row>
    <row r="341">
      <c r="G341" s="9" t="n"/>
      <c r="H341" s="9" t="n"/>
      <c r="K341" s="9" t="n"/>
      <c r="L341" s="9" t="n"/>
      <c r="M341" s="9" t="n"/>
      <c r="N341" s="9" t="n"/>
      <c r="O341" s="9" t="n"/>
      <c r="Q341" s="9" t="n"/>
      <c r="R341" s="9" t="n"/>
      <c r="W341" s="9" t="n"/>
      <c r="X341" s="9" t="n"/>
      <c r="Z341">
        <f>IF(A341="","",IF(AND(N341&lt;&gt;"",O341&lt;&gt;"",Q341&lt;&gt;"",R341&lt;&gt;"",S341="Y"),"YES","no"))</f>
        <v/>
      </c>
      <c r="AA341" s="9">
        <f>IF(Z341="YES",MAX(N341,O341,Q341,R341),"")</f>
        <v/>
      </c>
      <c r="AB341">
        <f>IF(A341="","",IF(X341&lt;&gt;"","13 Repeat activity",IF(W341&lt;&gt;"","12 First enquiry/order/booking",IF(Z341="YES","11 ACTIVATED",IF(Q341&lt;&gt;"","10 First listing live",IF(O341&lt;&gt;"","9 Profile completed",IF(N341&lt;&gt;"","8 Approved",IF(M341&lt;&gt;"","7 KYC submitted",IF(L341&lt;&gt;"","6 Registration completed",IF(K341&lt;&gt;"","5b Registration started",IF(H341&lt;&gt;"","5a Information sent",IF(G341&lt;&gt;"","5 Interested","—"))))))))))))</f>
        <v/>
      </c>
      <c r="AC341" s="10">
        <f>IF(A341="","",(COUNT(G341,H341,K341,L341,M341,N341,O341,Q341,R341)+(I341="Y")+(P341="Y")+(S341="Y"))/12)</f>
        <v/>
      </c>
      <c r="AD341">
        <f>IF(OR(A341="",COUNT(G341:X341)=0),"",TODAY()-MAX(G341,H341,K341,L341,M341,N341,O341,Q341,R341,W341,X341))</f>
        <v/>
      </c>
      <c r="AE341">
        <f>IF(A341="","",IF(AND(Z341&lt;&gt;"YES",AD341&lt;&gt;"",AD341&gt;THRESHOLDS!$B$12),"STUCK — act today",""))</f>
        <v/>
      </c>
      <c r="AF341">
        <f>IF(A341="","",IF(J341="Active (verified)","",IF(J341="","Ask GST status (readiness R2)","Escalate to founder: orders need verified GSTIN in current code — no tax advice")))</f>
        <v/>
      </c>
      <c r="AG341">
        <f>IF(AND(G341&lt;&gt;"",L341&lt;&gt;""),L341-G341,"")</f>
        <v/>
      </c>
      <c r="AH341">
        <f>IF(AND(L341&lt;&gt;"",N341&lt;&gt;""),N341-L341,"")</f>
        <v/>
      </c>
      <c r="AI341">
        <f>IF(AND(N341&lt;&gt;"",AA341&lt;&gt;""),AA341-N341,"")</f>
        <v/>
      </c>
      <c r="AJ341">
        <f>IF(AND(L341&lt;&gt;"",N341&lt;&gt;"",Q341&lt;&gt;""),"Qualifies (if FP-QUAL adopted)","")</f>
        <v/>
      </c>
    </row>
    <row r="342">
      <c r="G342" s="9" t="n"/>
      <c r="H342" s="9" t="n"/>
      <c r="K342" s="9" t="n"/>
      <c r="L342" s="9" t="n"/>
      <c r="M342" s="9" t="n"/>
      <c r="N342" s="9" t="n"/>
      <c r="O342" s="9" t="n"/>
      <c r="Q342" s="9" t="n"/>
      <c r="R342" s="9" t="n"/>
      <c r="W342" s="9" t="n"/>
      <c r="X342" s="9" t="n"/>
      <c r="Z342">
        <f>IF(A342="","",IF(AND(N342&lt;&gt;"",O342&lt;&gt;"",Q342&lt;&gt;"",R342&lt;&gt;"",S342="Y"),"YES","no"))</f>
        <v/>
      </c>
      <c r="AA342" s="9">
        <f>IF(Z342="YES",MAX(N342,O342,Q342,R342),"")</f>
        <v/>
      </c>
      <c r="AB342">
        <f>IF(A342="","",IF(X342&lt;&gt;"","13 Repeat activity",IF(W342&lt;&gt;"","12 First enquiry/order/booking",IF(Z342="YES","11 ACTIVATED",IF(Q342&lt;&gt;"","10 First listing live",IF(O342&lt;&gt;"","9 Profile completed",IF(N342&lt;&gt;"","8 Approved",IF(M342&lt;&gt;"","7 KYC submitted",IF(L342&lt;&gt;"","6 Registration completed",IF(K342&lt;&gt;"","5b Registration started",IF(H342&lt;&gt;"","5a Information sent",IF(G342&lt;&gt;"","5 Interested","—"))))))))))))</f>
        <v/>
      </c>
      <c r="AC342" s="10">
        <f>IF(A342="","",(COUNT(G342,H342,K342,L342,M342,N342,O342,Q342,R342)+(I342="Y")+(P342="Y")+(S342="Y"))/12)</f>
        <v/>
      </c>
      <c r="AD342">
        <f>IF(OR(A342="",COUNT(G342:X342)=0),"",TODAY()-MAX(G342,H342,K342,L342,M342,N342,O342,Q342,R342,W342,X342))</f>
        <v/>
      </c>
      <c r="AE342">
        <f>IF(A342="","",IF(AND(Z342&lt;&gt;"YES",AD342&lt;&gt;"",AD342&gt;THRESHOLDS!$B$12),"STUCK — act today",""))</f>
        <v/>
      </c>
      <c r="AF342">
        <f>IF(A342="","",IF(J342="Active (verified)","",IF(J342="","Ask GST status (readiness R2)","Escalate to founder: orders need verified GSTIN in current code — no tax advice")))</f>
        <v/>
      </c>
      <c r="AG342">
        <f>IF(AND(G342&lt;&gt;"",L342&lt;&gt;""),L342-G342,"")</f>
        <v/>
      </c>
      <c r="AH342">
        <f>IF(AND(L342&lt;&gt;"",N342&lt;&gt;""),N342-L342,"")</f>
        <v/>
      </c>
      <c r="AI342">
        <f>IF(AND(N342&lt;&gt;"",AA342&lt;&gt;""),AA342-N342,"")</f>
        <v/>
      </c>
      <c r="AJ342">
        <f>IF(AND(L342&lt;&gt;"",N342&lt;&gt;"",Q342&lt;&gt;""),"Qualifies (if FP-QUAL adopted)","")</f>
        <v/>
      </c>
    </row>
    <row r="343">
      <c r="G343" s="9" t="n"/>
      <c r="H343" s="9" t="n"/>
      <c r="K343" s="9" t="n"/>
      <c r="L343" s="9" t="n"/>
      <c r="M343" s="9" t="n"/>
      <c r="N343" s="9" t="n"/>
      <c r="O343" s="9" t="n"/>
      <c r="Q343" s="9" t="n"/>
      <c r="R343" s="9" t="n"/>
      <c r="W343" s="9" t="n"/>
      <c r="X343" s="9" t="n"/>
      <c r="Z343">
        <f>IF(A343="","",IF(AND(N343&lt;&gt;"",O343&lt;&gt;"",Q343&lt;&gt;"",R343&lt;&gt;"",S343="Y"),"YES","no"))</f>
        <v/>
      </c>
      <c r="AA343" s="9">
        <f>IF(Z343="YES",MAX(N343,O343,Q343,R343),"")</f>
        <v/>
      </c>
      <c r="AB343">
        <f>IF(A343="","",IF(X343&lt;&gt;"","13 Repeat activity",IF(W343&lt;&gt;"","12 First enquiry/order/booking",IF(Z343="YES","11 ACTIVATED",IF(Q343&lt;&gt;"","10 First listing live",IF(O343&lt;&gt;"","9 Profile completed",IF(N343&lt;&gt;"","8 Approved",IF(M343&lt;&gt;"","7 KYC submitted",IF(L343&lt;&gt;"","6 Registration completed",IF(K343&lt;&gt;"","5b Registration started",IF(H343&lt;&gt;"","5a Information sent",IF(G343&lt;&gt;"","5 Interested","—"))))))))))))</f>
        <v/>
      </c>
      <c r="AC343" s="10">
        <f>IF(A343="","",(COUNT(G343,H343,K343,L343,M343,N343,O343,Q343,R343)+(I343="Y")+(P343="Y")+(S343="Y"))/12)</f>
        <v/>
      </c>
      <c r="AD343">
        <f>IF(OR(A343="",COUNT(G343:X343)=0),"",TODAY()-MAX(G343,H343,K343,L343,M343,N343,O343,Q343,R343,W343,X343))</f>
        <v/>
      </c>
      <c r="AE343">
        <f>IF(A343="","",IF(AND(Z343&lt;&gt;"YES",AD343&lt;&gt;"",AD343&gt;THRESHOLDS!$B$12),"STUCK — act today",""))</f>
        <v/>
      </c>
      <c r="AF343">
        <f>IF(A343="","",IF(J343="Active (verified)","",IF(J343="","Ask GST status (readiness R2)","Escalate to founder: orders need verified GSTIN in current code — no tax advice")))</f>
        <v/>
      </c>
      <c r="AG343">
        <f>IF(AND(G343&lt;&gt;"",L343&lt;&gt;""),L343-G343,"")</f>
        <v/>
      </c>
      <c r="AH343">
        <f>IF(AND(L343&lt;&gt;"",N343&lt;&gt;""),N343-L343,"")</f>
        <v/>
      </c>
      <c r="AI343">
        <f>IF(AND(N343&lt;&gt;"",AA343&lt;&gt;""),AA343-N343,"")</f>
        <v/>
      </c>
      <c r="AJ343">
        <f>IF(AND(L343&lt;&gt;"",N343&lt;&gt;"",Q343&lt;&gt;""),"Qualifies (if FP-QUAL adopted)","")</f>
        <v/>
      </c>
    </row>
    <row r="344">
      <c r="G344" s="9" t="n"/>
      <c r="H344" s="9" t="n"/>
      <c r="K344" s="9" t="n"/>
      <c r="L344" s="9" t="n"/>
      <c r="M344" s="9" t="n"/>
      <c r="N344" s="9" t="n"/>
      <c r="O344" s="9" t="n"/>
      <c r="Q344" s="9" t="n"/>
      <c r="R344" s="9" t="n"/>
      <c r="W344" s="9" t="n"/>
      <c r="X344" s="9" t="n"/>
      <c r="Z344">
        <f>IF(A344="","",IF(AND(N344&lt;&gt;"",O344&lt;&gt;"",Q344&lt;&gt;"",R344&lt;&gt;"",S344="Y"),"YES","no"))</f>
        <v/>
      </c>
      <c r="AA344" s="9">
        <f>IF(Z344="YES",MAX(N344,O344,Q344,R344),"")</f>
        <v/>
      </c>
      <c r="AB344">
        <f>IF(A344="","",IF(X344&lt;&gt;"","13 Repeat activity",IF(W344&lt;&gt;"","12 First enquiry/order/booking",IF(Z344="YES","11 ACTIVATED",IF(Q344&lt;&gt;"","10 First listing live",IF(O344&lt;&gt;"","9 Profile completed",IF(N344&lt;&gt;"","8 Approved",IF(M344&lt;&gt;"","7 KYC submitted",IF(L344&lt;&gt;"","6 Registration completed",IF(K344&lt;&gt;"","5b Registration started",IF(H344&lt;&gt;"","5a Information sent",IF(G344&lt;&gt;"","5 Interested","—"))))))))))))</f>
        <v/>
      </c>
      <c r="AC344" s="10">
        <f>IF(A344="","",(COUNT(G344,H344,K344,L344,M344,N344,O344,Q344,R344)+(I344="Y")+(P344="Y")+(S344="Y"))/12)</f>
        <v/>
      </c>
      <c r="AD344">
        <f>IF(OR(A344="",COUNT(G344:X344)=0),"",TODAY()-MAX(G344,H344,K344,L344,M344,N344,O344,Q344,R344,W344,X344))</f>
        <v/>
      </c>
      <c r="AE344">
        <f>IF(A344="","",IF(AND(Z344&lt;&gt;"YES",AD344&lt;&gt;"",AD344&gt;THRESHOLDS!$B$12),"STUCK — act today",""))</f>
        <v/>
      </c>
      <c r="AF344">
        <f>IF(A344="","",IF(J344="Active (verified)","",IF(J344="","Ask GST status (readiness R2)","Escalate to founder: orders need verified GSTIN in current code — no tax advice")))</f>
        <v/>
      </c>
      <c r="AG344">
        <f>IF(AND(G344&lt;&gt;"",L344&lt;&gt;""),L344-G344,"")</f>
        <v/>
      </c>
      <c r="AH344">
        <f>IF(AND(L344&lt;&gt;"",N344&lt;&gt;""),N344-L344,"")</f>
        <v/>
      </c>
      <c r="AI344">
        <f>IF(AND(N344&lt;&gt;"",AA344&lt;&gt;""),AA344-N344,"")</f>
        <v/>
      </c>
      <c r="AJ344">
        <f>IF(AND(L344&lt;&gt;"",N344&lt;&gt;"",Q344&lt;&gt;""),"Qualifies (if FP-QUAL adopted)","")</f>
        <v/>
      </c>
    </row>
    <row r="345">
      <c r="G345" s="9" t="n"/>
      <c r="H345" s="9" t="n"/>
      <c r="K345" s="9" t="n"/>
      <c r="L345" s="9" t="n"/>
      <c r="M345" s="9" t="n"/>
      <c r="N345" s="9" t="n"/>
      <c r="O345" s="9" t="n"/>
      <c r="Q345" s="9" t="n"/>
      <c r="R345" s="9" t="n"/>
      <c r="W345" s="9" t="n"/>
      <c r="X345" s="9" t="n"/>
      <c r="Z345">
        <f>IF(A345="","",IF(AND(N345&lt;&gt;"",O345&lt;&gt;"",Q345&lt;&gt;"",R345&lt;&gt;"",S345="Y"),"YES","no"))</f>
        <v/>
      </c>
      <c r="AA345" s="9">
        <f>IF(Z345="YES",MAX(N345,O345,Q345,R345),"")</f>
        <v/>
      </c>
      <c r="AB345">
        <f>IF(A345="","",IF(X345&lt;&gt;"","13 Repeat activity",IF(W345&lt;&gt;"","12 First enquiry/order/booking",IF(Z345="YES","11 ACTIVATED",IF(Q345&lt;&gt;"","10 First listing live",IF(O345&lt;&gt;"","9 Profile completed",IF(N345&lt;&gt;"","8 Approved",IF(M345&lt;&gt;"","7 KYC submitted",IF(L345&lt;&gt;"","6 Registration completed",IF(K345&lt;&gt;"","5b Registration started",IF(H345&lt;&gt;"","5a Information sent",IF(G345&lt;&gt;"","5 Interested","—"))))))))))))</f>
        <v/>
      </c>
      <c r="AC345" s="10">
        <f>IF(A345="","",(COUNT(G345,H345,K345,L345,M345,N345,O345,Q345,R345)+(I345="Y")+(P345="Y")+(S345="Y"))/12)</f>
        <v/>
      </c>
      <c r="AD345">
        <f>IF(OR(A345="",COUNT(G345:X345)=0),"",TODAY()-MAX(G345,H345,K345,L345,M345,N345,O345,Q345,R345,W345,X345))</f>
        <v/>
      </c>
      <c r="AE345">
        <f>IF(A345="","",IF(AND(Z345&lt;&gt;"YES",AD345&lt;&gt;"",AD345&gt;THRESHOLDS!$B$12),"STUCK — act today",""))</f>
        <v/>
      </c>
      <c r="AF345">
        <f>IF(A345="","",IF(J345="Active (verified)","",IF(J345="","Ask GST status (readiness R2)","Escalate to founder: orders need verified GSTIN in current code — no tax advice")))</f>
        <v/>
      </c>
      <c r="AG345">
        <f>IF(AND(G345&lt;&gt;"",L345&lt;&gt;""),L345-G345,"")</f>
        <v/>
      </c>
      <c r="AH345">
        <f>IF(AND(L345&lt;&gt;"",N345&lt;&gt;""),N345-L345,"")</f>
        <v/>
      </c>
      <c r="AI345">
        <f>IF(AND(N345&lt;&gt;"",AA345&lt;&gt;""),AA345-N345,"")</f>
        <v/>
      </c>
      <c r="AJ345">
        <f>IF(AND(L345&lt;&gt;"",N345&lt;&gt;"",Q345&lt;&gt;""),"Qualifies (if FP-QUAL adopted)","")</f>
        <v/>
      </c>
    </row>
    <row r="346">
      <c r="G346" s="9" t="n"/>
      <c r="H346" s="9" t="n"/>
      <c r="K346" s="9" t="n"/>
      <c r="L346" s="9" t="n"/>
      <c r="M346" s="9" t="n"/>
      <c r="N346" s="9" t="n"/>
      <c r="O346" s="9" t="n"/>
      <c r="Q346" s="9" t="n"/>
      <c r="R346" s="9" t="n"/>
      <c r="W346" s="9" t="n"/>
      <c r="X346" s="9" t="n"/>
      <c r="Z346">
        <f>IF(A346="","",IF(AND(N346&lt;&gt;"",O346&lt;&gt;"",Q346&lt;&gt;"",R346&lt;&gt;"",S346="Y"),"YES","no"))</f>
        <v/>
      </c>
      <c r="AA346" s="9">
        <f>IF(Z346="YES",MAX(N346,O346,Q346,R346),"")</f>
        <v/>
      </c>
      <c r="AB346">
        <f>IF(A346="","",IF(X346&lt;&gt;"","13 Repeat activity",IF(W346&lt;&gt;"","12 First enquiry/order/booking",IF(Z346="YES","11 ACTIVATED",IF(Q346&lt;&gt;"","10 First listing live",IF(O346&lt;&gt;"","9 Profile completed",IF(N346&lt;&gt;"","8 Approved",IF(M346&lt;&gt;"","7 KYC submitted",IF(L346&lt;&gt;"","6 Registration completed",IF(K346&lt;&gt;"","5b Registration started",IF(H346&lt;&gt;"","5a Information sent",IF(G346&lt;&gt;"","5 Interested","—"))))))))))))</f>
        <v/>
      </c>
      <c r="AC346" s="10">
        <f>IF(A346="","",(COUNT(G346,H346,K346,L346,M346,N346,O346,Q346,R346)+(I346="Y")+(P346="Y")+(S346="Y"))/12)</f>
        <v/>
      </c>
      <c r="AD346">
        <f>IF(OR(A346="",COUNT(G346:X346)=0),"",TODAY()-MAX(G346,H346,K346,L346,M346,N346,O346,Q346,R346,W346,X346))</f>
        <v/>
      </c>
      <c r="AE346">
        <f>IF(A346="","",IF(AND(Z346&lt;&gt;"YES",AD346&lt;&gt;"",AD346&gt;THRESHOLDS!$B$12),"STUCK — act today",""))</f>
        <v/>
      </c>
      <c r="AF346">
        <f>IF(A346="","",IF(J346="Active (verified)","",IF(J346="","Ask GST status (readiness R2)","Escalate to founder: orders need verified GSTIN in current code — no tax advice")))</f>
        <v/>
      </c>
      <c r="AG346">
        <f>IF(AND(G346&lt;&gt;"",L346&lt;&gt;""),L346-G346,"")</f>
        <v/>
      </c>
      <c r="AH346">
        <f>IF(AND(L346&lt;&gt;"",N346&lt;&gt;""),N346-L346,"")</f>
        <v/>
      </c>
      <c r="AI346">
        <f>IF(AND(N346&lt;&gt;"",AA346&lt;&gt;""),AA346-N346,"")</f>
        <v/>
      </c>
      <c r="AJ346">
        <f>IF(AND(L346&lt;&gt;"",N346&lt;&gt;"",Q346&lt;&gt;""),"Qualifies (if FP-QUAL adopted)","")</f>
        <v/>
      </c>
    </row>
    <row r="347">
      <c r="G347" s="9" t="n"/>
      <c r="H347" s="9" t="n"/>
      <c r="K347" s="9" t="n"/>
      <c r="L347" s="9" t="n"/>
      <c r="M347" s="9" t="n"/>
      <c r="N347" s="9" t="n"/>
      <c r="O347" s="9" t="n"/>
      <c r="Q347" s="9" t="n"/>
      <c r="R347" s="9" t="n"/>
      <c r="W347" s="9" t="n"/>
      <c r="X347" s="9" t="n"/>
      <c r="Z347">
        <f>IF(A347="","",IF(AND(N347&lt;&gt;"",O347&lt;&gt;"",Q347&lt;&gt;"",R347&lt;&gt;"",S347="Y"),"YES","no"))</f>
        <v/>
      </c>
      <c r="AA347" s="9">
        <f>IF(Z347="YES",MAX(N347,O347,Q347,R347),"")</f>
        <v/>
      </c>
      <c r="AB347">
        <f>IF(A347="","",IF(X347&lt;&gt;"","13 Repeat activity",IF(W347&lt;&gt;"","12 First enquiry/order/booking",IF(Z347="YES","11 ACTIVATED",IF(Q347&lt;&gt;"","10 First listing live",IF(O347&lt;&gt;"","9 Profile completed",IF(N347&lt;&gt;"","8 Approved",IF(M347&lt;&gt;"","7 KYC submitted",IF(L347&lt;&gt;"","6 Registration completed",IF(K347&lt;&gt;"","5b Registration started",IF(H347&lt;&gt;"","5a Information sent",IF(G347&lt;&gt;"","5 Interested","—"))))))))))))</f>
        <v/>
      </c>
      <c r="AC347" s="10">
        <f>IF(A347="","",(COUNT(G347,H347,K347,L347,M347,N347,O347,Q347,R347)+(I347="Y")+(P347="Y")+(S347="Y"))/12)</f>
        <v/>
      </c>
      <c r="AD347">
        <f>IF(OR(A347="",COUNT(G347:X347)=0),"",TODAY()-MAX(G347,H347,K347,L347,M347,N347,O347,Q347,R347,W347,X347))</f>
        <v/>
      </c>
      <c r="AE347">
        <f>IF(A347="","",IF(AND(Z347&lt;&gt;"YES",AD347&lt;&gt;"",AD347&gt;THRESHOLDS!$B$12),"STUCK — act today",""))</f>
        <v/>
      </c>
      <c r="AF347">
        <f>IF(A347="","",IF(J347="Active (verified)","",IF(J347="","Ask GST status (readiness R2)","Escalate to founder: orders need verified GSTIN in current code — no tax advice")))</f>
        <v/>
      </c>
      <c r="AG347">
        <f>IF(AND(G347&lt;&gt;"",L347&lt;&gt;""),L347-G347,"")</f>
        <v/>
      </c>
      <c r="AH347">
        <f>IF(AND(L347&lt;&gt;"",N347&lt;&gt;""),N347-L347,"")</f>
        <v/>
      </c>
      <c r="AI347">
        <f>IF(AND(N347&lt;&gt;"",AA347&lt;&gt;""),AA347-N347,"")</f>
        <v/>
      </c>
      <c r="AJ347">
        <f>IF(AND(L347&lt;&gt;"",N347&lt;&gt;"",Q347&lt;&gt;""),"Qualifies (if FP-QUAL adopted)","")</f>
        <v/>
      </c>
    </row>
    <row r="348">
      <c r="G348" s="9" t="n"/>
      <c r="H348" s="9" t="n"/>
      <c r="K348" s="9" t="n"/>
      <c r="L348" s="9" t="n"/>
      <c r="M348" s="9" t="n"/>
      <c r="N348" s="9" t="n"/>
      <c r="O348" s="9" t="n"/>
      <c r="Q348" s="9" t="n"/>
      <c r="R348" s="9" t="n"/>
      <c r="W348" s="9" t="n"/>
      <c r="X348" s="9" t="n"/>
      <c r="Z348">
        <f>IF(A348="","",IF(AND(N348&lt;&gt;"",O348&lt;&gt;"",Q348&lt;&gt;"",R348&lt;&gt;"",S348="Y"),"YES","no"))</f>
        <v/>
      </c>
      <c r="AA348" s="9">
        <f>IF(Z348="YES",MAX(N348,O348,Q348,R348),"")</f>
        <v/>
      </c>
      <c r="AB348">
        <f>IF(A348="","",IF(X348&lt;&gt;"","13 Repeat activity",IF(W348&lt;&gt;"","12 First enquiry/order/booking",IF(Z348="YES","11 ACTIVATED",IF(Q348&lt;&gt;"","10 First listing live",IF(O348&lt;&gt;"","9 Profile completed",IF(N348&lt;&gt;"","8 Approved",IF(M348&lt;&gt;"","7 KYC submitted",IF(L348&lt;&gt;"","6 Registration completed",IF(K348&lt;&gt;"","5b Registration started",IF(H348&lt;&gt;"","5a Information sent",IF(G348&lt;&gt;"","5 Interested","—"))))))))))))</f>
        <v/>
      </c>
      <c r="AC348" s="10">
        <f>IF(A348="","",(COUNT(G348,H348,K348,L348,M348,N348,O348,Q348,R348)+(I348="Y")+(P348="Y")+(S348="Y"))/12)</f>
        <v/>
      </c>
      <c r="AD348">
        <f>IF(OR(A348="",COUNT(G348:X348)=0),"",TODAY()-MAX(G348,H348,K348,L348,M348,N348,O348,Q348,R348,W348,X348))</f>
        <v/>
      </c>
      <c r="AE348">
        <f>IF(A348="","",IF(AND(Z348&lt;&gt;"YES",AD348&lt;&gt;"",AD348&gt;THRESHOLDS!$B$12),"STUCK — act today",""))</f>
        <v/>
      </c>
      <c r="AF348">
        <f>IF(A348="","",IF(J348="Active (verified)","",IF(J348="","Ask GST status (readiness R2)","Escalate to founder: orders need verified GSTIN in current code — no tax advice")))</f>
        <v/>
      </c>
      <c r="AG348">
        <f>IF(AND(G348&lt;&gt;"",L348&lt;&gt;""),L348-G348,"")</f>
        <v/>
      </c>
      <c r="AH348">
        <f>IF(AND(L348&lt;&gt;"",N348&lt;&gt;""),N348-L348,"")</f>
        <v/>
      </c>
      <c r="AI348">
        <f>IF(AND(N348&lt;&gt;"",AA348&lt;&gt;""),AA348-N348,"")</f>
        <v/>
      </c>
      <c r="AJ348">
        <f>IF(AND(L348&lt;&gt;"",N348&lt;&gt;"",Q348&lt;&gt;""),"Qualifies (if FP-QUAL adopted)","")</f>
        <v/>
      </c>
    </row>
    <row r="349">
      <c r="G349" s="9" t="n"/>
      <c r="H349" s="9" t="n"/>
      <c r="K349" s="9" t="n"/>
      <c r="L349" s="9" t="n"/>
      <c r="M349" s="9" t="n"/>
      <c r="N349" s="9" t="n"/>
      <c r="O349" s="9" t="n"/>
      <c r="Q349" s="9" t="n"/>
      <c r="R349" s="9" t="n"/>
      <c r="W349" s="9" t="n"/>
      <c r="X349" s="9" t="n"/>
      <c r="Z349">
        <f>IF(A349="","",IF(AND(N349&lt;&gt;"",O349&lt;&gt;"",Q349&lt;&gt;"",R349&lt;&gt;"",S349="Y"),"YES","no"))</f>
        <v/>
      </c>
      <c r="AA349" s="9">
        <f>IF(Z349="YES",MAX(N349,O349,Q349,R349),"")</f>
        <v/>
      </c>
      <c r="AB349">
        <f>IF(A349="","",IF(X349&lt;&gt;"","13 Repeat activity",IF(W349&lt;&gt;"","12 First enquiry/order/booking",IF(Z349="YES","11 ACTIVATED",IF(Q349&lt;&gt;"","10 First listing live",IF(O349&lt;&gt;"","9 Profile completed",IF(N349&lt;&gt;"","8 Approved",IF(M349&lt;&gt;"","7 KYC submitted",IF(L349&lt;&gt;"","6 Registration completed",IF(K349&lt;&gt;"","5b Registration started",IF(H349&lt;&gt;"","5a Information sent",IF(G349&lt;&gt;"","5 Interested","—"))))))))))))</f>
        <v/>
      </c>
      <c r="AC349" s="10">
        <f>IF(A349="","",(COUNT(G349,H349,K349,L349,M349,N349,O349,Q349,R349)+(I349="Y")+(P349="Y")+(S349="Y"))/12)</f>
        <v/>
      </c>
      <c r="AD349">
        <f>IF(OR(A349="",COUNT(G349:X349)=0),"",TODAY()-MAX(G349,H349,K349,L349,M349,N349,O349,Q349,R349,W349,X349))</f>
        <v/>
      </c>
      <c r="AE349">
        <f>IF(A349="","",IF(AND(Z349&lt;&gt;"YES",AD349&lt;&gt;"",AD349&gt;THRESHOLDS!$B$12),"STUCK — act today",""))</f>
        <v/>
      </c>
      <c r="AF349">
        <f>IF(A349="","",IF(J349="Active (verified)","",IF(J349="","Ask GST status (readiness R2)","Escalate to founder: orders need verified GSTIN in current code — no tax advice")))</f>
        <v/>
      </c>
      <c r="AG349">
        <f>IF(AND(G349&lt;&gt;"",L349&lt;&gt;""),L349-G349,"")</f>
        <v/>
      </c>
      <c r="AH349">
        <f>IF(AND(L349&lt;&gt;"",N349&lt;&gt;""),N349-L349,"")</f>
        <v/>
      </c>
      <c r="AI349">
        <f>IF(AND(N349&lt;&gt;"",AA349&lt;&gt;""),AA349-N349,"")</f>
        <v/>
      </c>
      <c r="AJ349">
        <f>IF(AND(L349&lt;&gt;"",N349&lt;&gt;"",Q349&lt;&gt;""),"Qualifies (if FP-QUAL adopted)","")</f>
        <v/>
      </c>
    </row>
    <row r="350">
      <c r="G350" s="9" t="n"/>
      <c r="H350" s="9" t="n"/>
      <c r="K350" s="9" t="n"/>
      <c r="L350" s="9" t="n"/>
      <c r="M350" s="9" t="n"/>
      <c r="N350" s="9" t="n"/>
      <c r="O350" s="9" t="n"/>
      <c r="Q350" s="9" t="n"/>
      <c r="R350" s="9" t="n"/>
      <c r="W350" s="9" t="n"/>
      <c r="X350" s="9" t="n"/>
      <c r="Z350">
        <f>IF(A350="","",IF(AND(N350&lt;&gt;"",O350&lt;&gt;"",Q350&lt;&gt;"",R350&lt;&gt;"",S350="Y"),"YES","no"))</f>
        <v/>
      </c>
      <c r="AA350" s="9">
        <f>IF(Z350="YES",MAX(N350,O350,Q350,R350),"")</f>
        <v/>
      </c>
      <c r="AB350">
        <f>IF(A350="","",IF(X350&lt;&gt;"","13 Repeat activity",IF(W350&lt;&gt;"","12 First enquiry/order/booking",IF(Z350="YES","11 ACTIVATED",IF(Q350&lt;&gt;"","10 First listing live",IF(O350&lt;&gt;"","9 Profile completed",IF(N350&lt;&gt;"","8 Approved",IF(M350&lt;&gt;"","7 KYC submitted",IF(L350&lt;&gt;"","6 Registration completed",IF(K350&lt;&gt;"","5b Registration started",IF(H350&lt;&gt;"","5a Information sent",IF(G350&lt;&gt;"","5 Interested","—"))))))))))))</f>
        <v/>
      </c>
      <c r="AC350" s="10">
        <f>IF(A350="","",(COUNT(G350,H350,K350,L350,M350,N350,O350,Q350,R350)+(I350="Y")+(P350="Y")+(S350="Y"))/12)</f>
        <v/>
      </c>
      <c r="AD350">
        <f>IF(OR(A350="",COUNT(G350:X350)=0),"",TODAY()-MAX(G350,H350,K350,L350,M350,N350,O350,Q350,R350,W350,X350))</f>
        <v/>
      </c>
      <c r="AE350">
        <f>IF(A350="","",IF(AND(Z350&lt;&gt;"YES",AD350&lt;&gt;"",AD350&gt;THRESHOLDS!$B$12),"STUCK — act today",""))</f>
        <v/>
      </c>
      <c r="AF350">
        <f>IF(A350="","",IF(J350="Active (verified)","",IF(J350="","Ask GST status (readiness R2)","Escalate to founder: orders need verified GSTIN in current code — no tax advice")))</f>
        <v/>
      </c>
      <c r="AG350">
        <f>IF(AND(G350&lt;&gt;"",L350&lt;&gt;""),L350-G350,"")</f>
        <v/>
      </c>
      <c r="AH350">
        <f>IF(AND(L350&lt;&gt;"",N350&lt;&gt;""),N350-L350,"")</f>
        <v/>
      </c>
      <c r="AI350">
        <f>IF(AND(N350&lt;&gt;"",AA350&lt;&gt;""),AA350-N350,"")</f>
        <v/>
      </c>
      <c r="AJ350">
        <f>IF(AND(L350&lt;&gt;"",N350&lt;&gt;"",Q350&lt;&gt;""),"Qualifies (if FP-QUAL adopted)","")</f>
        <v/>
      </c>
    </row>
    <row r="351">
      <c r="G351" s="9" t="n"/>
      <c r="H351" s="9" t="n"/>
      <c r="K351" s="9" t="n"/>
      <c r="L351" s="9" t="n"/>
      <c r="M351" s="9" t="n"/>
      <c r="N351" s="9" t="n"/>
      <c r="O351" s="9" t="n"/>
      <c r="Q351" s="9" t="n"/>
      <c r="R351" s="9" t="n"/>
      <c r="W351" s="9" t="n"/>
      <c r="X351" s="9" t="n"/>
      <c r="Z351">
        <f>IF(A351="","",IF(AND(N351&lt;&gt;"",O351&lt;&gt;"",Q351&lt;&gt;"",R351&lt;&gt;"",S351="Y"),"YES","no"))</f>
        <v/>
      </c>
      <c r="AA351" s="9">
        <f>IF(Z351="YES",MAX(N351,O351,Q351,R351),"")</f>
        <v/>
      </c>
      <c r="AB351">
        <f>IF(A351="","",IF(X351&lt;&gt;"","13 Repeat activity",IF(W351&lt;&gt;"","12 First enquiry/order/booking",IF(Z351="YES","11 ACTIVATED",IF(Q351&lt;&gt;"","10 First listing live",IF(O351&lt;&gt;"","9 Profile completed",IF(N351&lt;&gt;"","8 Approved",IF(M351&lt;&gt;"","7 KYC submitted",IF(L351&lt;&gt;"","6 Registration completed",IF(K351&lt;&gt;"","5b Registration started",IF(H351&lt;&gt;"","5a Information sent",IF(G351&lt;&gt;"","5 Interested","—"))))))))))))</f>
        <v/>
      </c>
      <c r="AC351" s="10">
        <f>IF(A351="","",(COUNT(G351,H351,K351,L351,M351,N351,O351,Q351,R351)+(I351="Y")+(P351="Y")+(S351="Y"))/12)</f>
        <v/>
      </c>
      <c r="AD351">
        <f>IF(OR(A351="",COUNT(G351:X351)=0),"",TODAY()-MAX(G351,H351,K351,L351,M351,N351,O351,Q351,R351,W351,X351))</f>
        <v/>
      </c>
      <c r="AE351">
        <f>IF(A351="","",IF(AND(Z351&lt;&gt;"YES",AD351&lt;&gt;"",AD351&gt;THRESHOLDS!$B$12),"STUCK — act today",""))</f>
        <v/>
      </c>
      <c r="AF351">
        <f>IF(A351="","",IF(J351="Active (verified)","",IF(J351="","Ask GST status (readiness R2)","Escalate to founder: orders need verified GSTIN in current code — no tax advice")))</f>
        <v/>
      </c>
      <c r="AG351">
        <f>IF(AND(G351&lt;&gt;"",L351&lt;&gt;""),L351-G351,"")</f>
        <v/>
      </c>
      <c r="AH351">
        <f>IF(AND(L351&lt;&gt;"",N351&lt;&gt;""),N351-L351,"")</f>
        <v/>
      </c>
      <c r="AI351">
        <f>IF(AND(N351&lt;&gt;"",AA351&lt;&gt;""),AA351-N351,"")</f>
        <v/>
      </c>
      <c r="AJ351">
        <f>IF(AND(L351&lt;&gt;"",N351&lt;&gt;"",Q351&lt;&gt;""),"Qualifies (if FP-QUAL adopted)","")</f>
        <v/>
      </c>
    </row>
    <row r="352">
      <c r="G352" s="9" t="n"/>
      <c r="H352" s="9" t="n"/>
      <c r="K352" s="9" t="n"/>
      <c r="L352" s="9" t="n"/>
      <c r="M352" s="9" t="n"/>
      <c r="N352" s="9" t="n"/>
      <c r="O352" s="9" t="n"/>
      <c r="Q352" s="9" t="n"/>
      <c r="R352" s="9" t="n"/>
      <c r="W352" s="9" t="n"/>
      <c r="X352" s="9" t="n"/>
      <c r="Z352">
        <f>IF(A352="","",IF(AND(N352&lt;&gt;"",O352&lt;&gt;"",Q352&lt;&gt;"",R352&lt;&gt;"",S352="Y"),"YES","no"))</f>
        <v/>
      </c>
      <c r="AA352" s="9">
        <f>IF(Z352="YES",MAX(N352,O352,Q352,R352),"")</f>
        <v/>
      </c>
      <c r="AB352">
        <f>IF(A352="","",IF(X352&lt;&gt;"","13 Repeat activity",IF(W352&lt;&gt;"","12 First enquiry/order/booking",IF(Z352="YES","11 ACTIVATED",IF(Q352&lt;&gt;"","10 First listing live",IF(O352&lt;&gt;"","9 Profile completed",IF(N352&lt;&gt;"","8 Approved",IF(M352&lt;&gt;"","7 KYC submitted",IF(L352&lt;&gt;"","6 Registration completed",IF(K352&lt;&gt;"","5b Registration started",IF(H352&lt;&gt;"","5a Information sent",IF(G352&lt;&gt;"","5 Interested","—"))))))))))))</f>
        <v/>
      </c>
      <c r="AC352" s="10">
        <f>IF(A352="","",(COUNT(G352,H352,K352,L352,M352,N352,O352,Q352,R352)+(I352="Y")+(P352="Y")+(S352="Y"))/12)</f>
        <v/>
      </c>
      <c r="AD352">
        <f>IF(OR(A352="",COUNT(G352:X352)=0),"",TODAY()-MAX(G352,H352,K352,L352,M352,N352,O352,Q352,R352,W352,X352))</f>
        <v/>
      </c>
      <c r="AE352">
        <f>IF(A352="","",IF(AND(Z352&lt;&gt;"YES",AD352&lt;&gt;"",AD352&gt;THRESHOLDS!$B$12),"STUCK — act today",""))</f>
        <v/>
      </c>
      <c r="AF352">
        <f>IF(A352="","",IF(J352="Active (verified)","",IF(J352="","Ask GST status (readiness R2)","Escalate to founder: orders need verified GSTIN in current code — no tax advice")))</f>
        <v/>
      </c>
      <c r="AG352">
        <f>IF(AND(G352&lt;&gt;"",L352&lt;&gt;""),L352-G352,"")</f>
        <v/>
      </c>
      <c r="AH352">
        <f>IF(AND(L352&lt;&gt;"",N352&lt;&gt;""),N352-L352,"")</f>
        <v/>
      </c>
      <c r="AI352">
        <f>IF(AND(N352&lt;&gt;"",AA352&lt;&gt;""),AA352-N352,"")</f>
        <v/>
      </c>
      <c r="AJ352">
        <f>IF(AND(L352&lt;&gt;"",N352&lt;&gt;"",Q352&lt;&gt;""),"Qualifies (if FP-QUAL adopted)","")</f>
        <v/>
      </c>
    </row>
    <row r="353">
      <c r="G353" s="9" t="n"/>
      <c r="H353" s="9" t="n"/>
      <c r="K353" s="9" t="n"/>
      <c r="L353" s="9" t="n"/>
      <c r="M353" s="9" t="n"/>
      <c r="N353" s="9" t="n"/>
      <c r="O353" s="9" t="n"/>
      <c r="Q353" s="9" t="n"/>
      <c r="R353" s="9" t="n"/>
      <c r="W353" s="9" t="n"/>
      <c r="X353" s="9" t="n"/>
      <c r="Z353">
        <f>IF(A353="","",IF(AND(N353&lt;&gt;"",O353&lt;&gt;"",Q353&lt;&gt;"",R353&lt;&gt;"",S353="Y"),"YES","no"))</f>
        <v/>
      </c>
      <c r="AA353" s="9">
        <f>IF(Z353="YES",MAX(N353,O353,Q353,R353),"")</f>
        <v/>
      </c>
      <c r="AB353">
        <f>IF(A353="","",IF(X353&lt;&gt;"","13 Repeat activity",IF(W353&lt;&gt;"","12 First enquiry/order/booking",IF(Z353="YES","11 ACTIVATED",IF(Q353&lt;&gt;"","10 First listing live",IF(O353&lt;&gt;"","9 Profile completed",IF(N353&lt;&gt;"","8 Approved",IF(M353&lt;&gt;"","7 KYC submitted",IF(L353&lt;&gt;"","6 Registration completed",IF(K353&lt;&gt;"","5b Registration started",IF(H353&lt;&gt;"","5a Information sent",IF(G353&lt;&gt;"","5 Interested","—"))))))))))))</f>
        <v/>
      </c>
      <c r="AC353" s="10">
        <f>IF(A353="","",(COUNT(G353,H353,K353,L353,M353,N353,O353,Q353,R353)+(I353="Y")+(P353="Y")+(S353="Y"))/12)</f>
        <v/>
      </c>
      <c r="AD353">
        <f>IF(OR(A353="",COUNT(G353:X353)=0),"",TODAY()-MAX(G353,H353,K353,L353,M353,N353,O353,Q353,R353,W353,X353))</f>
        <v/>
      </c>
      <c r="AE353">
        <f>IF(A353="","",IF(AND(Z353&lt;&gt;"YES",AD353&lt;&gt;"",AD353&gt;THRESHOLDS!$B$12),"STUCK — act today",""))</f>
        <v/>
      </c>
      <c r="AF353">
        <f>IF(A353="","",IF(J353="Active (verified)","",IF(J353="","Ask GST status (readiness R2)","Escalate to founder: orders need verified GSTIN in current code — no tax advice")))</f>
        <v/>
      </c>
      <c r="AG353">
        <f>IF(AND(G353&lt;&gt;"",L353&lt;&gt;""),L353-G353,"")</f>
        <v/>
      </c>
      <c r="AH353">
        <f>IF(AND(L353&lt;&gt;"",N353&lt;&gt;""),N353-L353,"")</f>
        <v/>
      </c>
      <c r="AI353">
        <f>IF(AND(N353&lt;&gt;"",AA353&lt;&gt;""),AA353-N353,"")</f>
        <v/>
      </c>
      <c r="AJ353">
        <f>IF(AND(L353&lt;&gt;"",N353&lt;&gt;"",Q353&lt;&gt;""),"Qualifies (if FP-QUAL adopted)","")</f>
        <v/>
      </c>
    </row>
    <row r="354">
      <c r="G354" s="9" t="n"/>
      <c r="H354" s="9" t="n"/>
      <c r="K354" s="9" t="n"/>
      <c r="L354" s="9" t="n"/>
      <c r="M354" s="9" t="n"/>
      <c r="N354" s="9" t="n"/>
      <c r="O354" s="9" t="n"/>
      <c r="Q354" s="9" t="n"/>
      <c r="R354" s="9" t="n"/>
      <c r="W354" s="9" t="n"/>
      <c r="X354" s="9" t="n"/>
      <c r="Z354">
        <f>IF(A354="","",IF(AND(N354&lt;&gt;"",O354&lt;&gt;"",Q354&lt;&gt;"",R354&lt;&gt;"",S354="Y"),"YES","no"))</f>
        <v/>
      </c>
      <c r="AA354" s="9">
        <f>IF(Z354="YES",MAX(N354,O354,Q354,R354),"")</f>
        <v/>
      </c>
      <c r="AB354">
        <f>IF(A354="","",IF(X354&lt;&gt;"","13 Repeat activity",IF(W354&lt;&gt;"","12 First enquiry/order/booking",IF(Z354="YES","11 ACTIVATED",IF(Q354&lt;&gt;"","10 First listing live",IF(O354&lt;&gt;"","9 Profile completed",IF(N354&lt;&gt;"","8 Approved",IF(M354&lt;&gt;"","7 KYC submitted",IF(L354&lt;&gt;"","6 Registration completed",IF(K354&lt;&gt;"","5b Registration started",IF(H354&lt;&gt;"","5a Information sent",IF(G354&lt;&gt;"","5 Interested","—"))))))))))))</f>
        <v/>
      </c>
      <c r="AC354" s="10">
        <f>IF(A354="","",(COUNT(G354,H354,K354,L354,M354,N354,O354,Q354,R354)+(I354="Y")+(P354="Y")+(S354="Y"))/12)</f>
        <v/>
      </c>
      <c r="AD354">
        <f>IF(OR(A354="",COUNT(G354:X354)=0),"",TODAY()-MAX(G354,H354,K354,L354,M354,N354,O354,Q354,R354,W354,X354))</f>
        <v/>
      </c>
      <c r="AE354">
        <f>IF(A354="","",IF(AND(Z354&lt;&gt;"YES",AD354&lt;&gt;"",AD354&gt;THRESHOLDS!$B$12),"STUCK — act today",""))</f>
        <v/>
      </c>
      <c r="AF354">
        <f>IF(A354="","",IF(J354="Active (verified)","",IF(J354="","Ask GST status (readiness R2)","Escalate to founder: orders need verified GSTIN in current code — no tax advice")))</f>
        <v/>
      </c>
      <c r="AG354">
        <f>IF(AND(G354&lt;&gt;"",L354&lt;&gt;""),L354-G354,"")</f>
        <v/>
      </c>
      <c r="AH354">
        <f>IF(AND(L354&lt;&gt;"",N354&lt;&gt;""),N354-L354,"")</f>
        <v/>
      </c>
      <c r="AI354">
        <f>IF(AND(N354&lt;&gt;"",AA354&lt;&gt;""),AA354-N354,"")</f>
        <v/>
      </c>
      <c r="AJ354">
        <f>IF(AND(L354&lt;&gt;"",N354&lt;&gt;"",Q354&lt;&gt;""),"Qualifies (if FP-QUAL adopted)","")</f>
        <v/>
      </c>
    </row>
    <row r="355">
      <c r="G355" s="9" t="n"/>
      <c r="H355" s="9" t="n"/>
      <c r="K355" s="9" t="n"/>
      <c r="L355" s="9" t="n"/>
      <c r="M355" s="9" t="n"/>
      <c r="N355" s="9" t="n"/>
      <c r="O355" s="9" t="n"/>
      <c r="Q355" s="9" t="n"/>
      <c r="R355" s="9" t="n"/>
      <c r="W355" s="9" t="n"/>
      <c r="X355" s="9" t="n"/>
      <c r="Z355">
        <f>IF(A355="","",IF(AND(N355&lt;&gt;"",O355&lt;&gt;"",Q355&lt;&gt;"",R355&lt;&gt;"",S355="Y"),"YES","no"))</f>
        <v/>
      </c>
      <c r="AA355" s="9">
        <f>IF(Z355="YES",MAX(N355,O355,Q355,R355),"")</f>
        <v/>
      </c>
      <c r="AB355">
        <f>IF(A355="","",IF(X355&lt;&gt;"","13 Repeat activity",IF(W355&lt;&gt;"","12 First enquiry/order/booking",IF(Z355="YES","11 ACTIVATED",IF(Q355&lt;&gt;"","10 First listing live",IF(O355&lt;&gt;"","9 Profile completed",IF(N355&lt;&gt;"","8 Approved",IF(M355&lt;&gt;"","7 KYC submitted",IF(L355&lt;&gt;"","6 Registration completed",IF(K355&lt;&gt;"","5b Registration started",IF(H355&lt;&gt;"","5a Information sent",IF(G355&lt;&gt;"","5 Interested","—"))))))))))))</f>
        <v/>
      </c>
      <c r="AC355" s="10">
        <f>IF(A355="","",(COUNT(G355,H355,K355,L355,M355,N355,O355,Q355,R355)+(I355="Y")+(P355="Y")+(S355="Y"))/12)</f>
        <v/>
      </c>
      <c r="AD355">
        <f>IF(OR(A355="",COUNT(G355:X355)=0),"",TODAY()-MAX(G355,H355,K355,L355,M355,N355,O355,Q355,R355,W355,X355))</f>
        <v/>
      </c>
      <c r="AE355">
        <f>IF(A355="","",IF(AND(Z355&lt;&gt;"YES",AD355&lt;&gt;"",AD355&gt;THRESHOLDS!$B$12),"STUCK — act today",""))</f>
        <v/>
      </c>
      <c r="AF355">
        <f>IF(A355="","",IF(J355="Active (verified)","",IF(J355="","Ask GST status (readiness R2)","Escalate to founder: orders need verified GSTIN in current code — no tax advice")))</f>
        <v/>
      </c>
      <c r="AG355">
        <f>IF(AND(G355&lt;&gt;"",L355&lt;&gt;""),L355-G355,"")</f>
        <v/>
      </c>
      <c r="AH355">
        <f>IF(AND(L355&lt;&gt;"",N355&lt;&gt;""),N355-L355,"")</f>
        <v/>
      </c>
      <c r="AI355">
        <f>IF(AND(N355&lt;&gt;"",AA355&lt;&gt;""),AA355-N355,"")</f>
        <v/>
      </c>
      <c r="AJ355">
        <f>IF(AND(L355&lt;&gt;"",N355&lt;&gt;"",Q355&lt;&gt;""),"Qualifies (if FP-QUAL adopted)","")</f>
        <v/>
      </c>
    </row>
    <row r="356">
      <c r="G356" s="9" t="n"/>
      <c r="H356" s="9" t="n"/>
      <c r="K356" s="9" t="n"/>
      <c r="L356" s="9" t="n"/>
      <c r="M356" s="9" t="n"/>
      <c r="N356" s="9" t="n"/>
      <c r="O356" s="9" t="n"/>
      <c r="Q356" s="9" t="n"/>
      <c r="R356" s="9" t="n"/>
      <c r="W356" s="9" t="n"/>
      <c r="X356" s="9" t="n"/>
      <c r="Z356">
        <f>IF(A356="","",IF(AND(N356&lt;&gt;"",O356&lt;&gt;"",Q356&lt;&gt;"",R356&lt;&gt;"",S356="Y"),"YES","no"))</f>
        <v/>
      </c>
      <c r="AA356" s="9">
        <f>IF(Z356="YES",MAX(N356,O356,Q356,R356),"")</f>
        <v/>
      </c>
      <c r="AB356">
        <f>IF(A356="","",IF(X356&lt;&gt;"","13 Repeat activity",IF(W356&lt;&gt;"","12 First enquiry/order/booking",IF(Z356="YES","11 ACTIVATED",IF(Q356&lt;&gt;"","10 First listing live",IF(O356&lt;&gt;"","9 Profile completed",IF(N356&lt;&gt;"","8 Approved",IF(M356&lt;&gt;"","7 KYC submitted",IF(L356&lt;&gt;"","6 Registration completed",IF(K356&lt;&gt;"","5b Registration started",IF(H356&lt;&gt;"","5a Information sent",IF(G356&lt;&gt;"","5 Interested","—"))))))))))))</f>
        <v/>
      </c>
      <c r="AC356" s="10">
        <f>IF(A356="","",(COUNT(G356,H356,K356,L356,M356,N356,O356,Q356,R356)+(I356="Y")+(P356="Y")+(S356="Y"))/12)</f>
        <v/>
      </c>
      <c r="AD356">
        <f>IF(OR(A356="",COUNT(G356:X356)=0),"",TODAY()-MAX(G356,H356,K356,L356,M356,N356,O356,Q356,R356,W356,X356))</f>
        <v/>
      </c>
      <c r="AE356">
        <f>IF(A356="","",IF(AND(Z356&lt;&gt;"YES",AD356&lt;&gt;"",AD356&gt;THRESHOLDS!$B$12),"STUCK — act today",""))</f>
        <v/>
      </c>
      <c r="AF356">
        <f>IF(A356="","",IF(J356="Active (verified)","",IF(J356="","Ask GST status (readiness R2)","Escalate to founder: orders need verified GSTIN in current code — no tax advice")))</f>
        <v/>
      </c>
      <c r="AG356">
        <f>IF(AND(G356&lt;&gt;"",L356&lt;&gt;""),L356-G356,"")</f>
        <v/>
      </c>
      <c r="AH356">
        <f>IF(AND(L356&lt;&gt;"",N356&lt;&gt;""),N356-L356,"")</f>
        <v/>
      </c>
      <c r="AI356">
        <f>IF(AND(N356&lt;&gt;"",AA356&lt;&gt;""),AA356-N356,"")</f>
        <v/>
      </c>
      <c r="AJ356">
        <f>IF(AND(L356&lt;&gt;"",N356&lt;&gt;"",Q356&lt;&gt;""),"Qualifies (if FP-QUAL adopted)","")</f>
        <v/>
      </c>
    </row>
    <row r="357">
      <c r="G357" s="9" t="n"/>
      <c r="H357" s="9" t="n"/>
      <c r="K357" s="9" t="n"/>
      <c r="L357" s="9" t="n"/>
      <c r="M357" s="9" t="n"/>
      <c r="N357" s="9" t="n"/>
      <c r="O357" s="9" t="n"/>
      <c r="Q357" s="9" t="n"/>
      <c r="R357" s="9" t="n"/>
      <c r="W357" s="9" t="n"/>
      <c r="X357" s="9" t="n"/>
      <c r="Z357">
        <f>IF(A357="","",IF(AND(N357&lt;&gt;"",O357&lt;&gt;"",Q357&lt;&gt;"",R357&lt;&gt;"",S357="Y"),"YES","no"))</f>
        <v/>
      </c>
      <c r="AA357" s="9">
        <f>IF(Z357="YES",MAX(N357,O357,Q357,R357),"")</f>
        <v/>
      </c>
      <c r="AB357">
        <f>IF(A357="","",IF(X357&lt;&gt;"","13 Repeat activity",IF(W357&lt;&gt;"","12 First enquiry/order/booking",IF(Z357="YES","11 ACTIVATED",IF(Q357&lt;&gt;"","10 First listing live",IF(O357&lt;&gt;"","9 Profile completed",IF(N357&lt;&gt;"","8 Approved",IF(M357&lt;&gt;"","7 KYC submitted",IF(L357&lt;&gt;"","6 Registration completed",IF(K357&lt;&gt;"","5b Registration started",IF(H357&lt;&gt;"","5a Information sent",IF(G357&lt;&gt;"","5 Interested","—"))))))))))))</f>
        <v/>
      </c>
      <c r="AC357" s="10">
        <f>IF(A357="","",(COUNT(G357,H357,K357,L357,M357,N357,O357,Q357,R357)+(I357="Y")+(P357="Y")+(S357="Y"))/12)</f>
        <v/>
      </c>
      <c r="AD357">
        <f>IF(OR(A357="",COUNT(G357:X357)=0),"",TODAY()-MAX(G357,H357,K357,L357,M357,N357,O357,Q357,R357,W357,X357))</f>
        <v/>
      </c>
      <c r="AE357">
        <f>IF(A357="","",IF(AND(Z357&lt;&gt;"YES",AD357&lt;&gt;"",AD357&gt;THRESHOLDS!$B$12),"STUCK — act today",""))</f>
        <v/>
      </c>
      <c r="AF357">
        <f>IF(A357="","",IF(J357="Active (verified)","",IF(J357="","Ask GST status (readiness R2)","Escalate to founder: orders need verified GSTIN in current code — no tax advice")))</f>
        <v/>
      </c>
      <c r="AG357">
        <f>IF(AND(G357&lt;&gt;"",L357&lt;&gt;""),L357-G357,"")</f>
        <v/>
      </c>
      <c r="AH357">
        <f>IF(AND(L357&lt;&gt;"",N357&lt;&gt;""),N357-L357,"")</f>
        <v/>
      </c>
      <c r="AI357">
        <f>IF(AND(N357&lt;&gt;"",AA357&lt;&gt;""),AA357-N357,"")</f>
        <v/>
      </c>
      <c r="AJ357">
        <f>IF(AND(L357&lt;&gt;"",N357&lt;&gt;"",Q357&lt;&gt;""),"Qualifies (if FP-QUAL adopted)","")</f>
        <v/>
      </c>
    </row>
    <row r="358">
      <c r="G358" s="9" t="n"/>
      <c r="H358" s="9" t="n"/>
      <c r="K358" s="9" t="n"/>
      <c r="L358" s="9" t="n"/>
      <c r="M358" s="9" t="n"/>
      <c r="N358" s="9" t="n"/>
      <c r="O358" s="9" t="n"/>
      <c r="Q358" s="9" t="n"/>
      <c r="R358" s="9" t="n"/>
      <c r="W358" s="9" t="n"/>
      <c r="X358" s="9" t="n"/>
      <c r="Z358">
        <f>IF(A358="","",IF(AND(N358&lt;&gt;"",O358&lt;&gt;"",Q358&lt;&gt;"",R358&lt;&gt;"",S358="Y"),"YES","no"))</f>
        <v/>
      </c>
      <c r="AA358" s="9">
        <f>IF(Z358="YES",MAX(N358,O358,Q358,R358),"")</f>
        <v/>
      </c>
      <c r="AB358">
        <f>IF(A358="","",IF(X358&lt;&gt;"","13 Repeat activity",IF(W358&lt;&gt;"","12 First enquiry/order/booking",IF(Z358="YES","11 ACTIVATED",IF(Q358&lt;&gt;"","10 First listing live",IF(O358&lt;&gt;"","9 Profile completed",IF(N358&lt;&gt;"","8 Approved",IF(M358&lt;&gt;"","7 KYC submitted",IF(L358&lt;&gt;"","6 Registration completed",IF(K358&lt;&gt;"","5b Registration started",IF(H358&lt;&gt;"","5a Information sent",IF(G358&lt;&gt;"","5 Interested","—"))))))))))))</f>
        <v/>
      </c>
      <c r="AC358" s="10">
        <f>IF(A358="","",(COUNT(G358,H358,K358,L358,M358,N358,O358,Q358,R358)+(I358="Y")+(P358="Y")+(S358="Y"))/12)</f>
        <v/>
      </c>
      <c r="AD358">
        <f>IF(OR(A358="",COUNT(G358:X358)=0),"",TODAY()-MAX(G358,H358,K358,L358,M358,N358,O358,Q358,R358,W358,X358))</f>
        <v/>
      </c>
      <c r="AE358">
        <f>IF(A358="","",IF(AND(Z358&lt;&gt;"YES",AD358&lt;&gt;"",AD358&gt;THRESHOLDS!$B$12),"STUCK — act today",""))</f>
        <v/>
      </c>
      <c r="AF358">
        <f>IF(A358="","",IF(J358="Active (verified)","",IF(J358="","Ask GST status (readiness R2)","Escalate to founder: orders need verified GSTIN in current code — no tax advice")))</f>
        <v/>
      </c>
      <c r="AG358">
        <f>IF(AND(G358&lt;&gt;"",L358&lt;&gt;""),L358-G358,"")</f>
        <v/>
      </c>
      <c r="AH358">
        <f>IF(AND(L358&lt;&gt;"",N358&lt;&gt;""),N358-L358,"")</f>
        <v/>
      </c>
      <c r="AI358">
        <f>IF(AND(N358&lt;&gt;"",AA358&lt;&gt;""),AA358-N358,"")</f>
        <v/>
      </c>
      <c r="AJ358">
        <f>IF(AND(L358&lt;&gt;"",N358&lt;&gt;"",Q358&lt;&gt;""),"Qualifies (if FP-QUAL adopted)","")</f>
        <v/>
      </c>
    </row>
    <row r="359">
      <c r="G359" s="9" t="n"/>
      <c r="H359" s="9" t="n"/>
      <c r="K359" s="9" t="n"/>
      <c r="L359" s="9" t="n"/>
      <c r="M359" s="9" t="n"/>
      <c r="N359" s="9" t="n"/>
      <c r="O359" s="9" t="n"/>
      <c r="Q359" s="9" t="n"/>
      <c r="R359" s="9" t="n"/>
      <c r="W359" s="9" t="n"/>
      <c r="X359" s="9" t="n"/>
      <c r="Z359">
        <f>IF(A359="","",IF(AND(N359&lt;&gt;"",O359&lt;&gt;"",Q359&lt;&gt;"",R359&lt;&gt;"",S359="Y"),"YES","no"))</f>
        <v/>
      </c>
      <c r="AA359" s="9">
        <f>IF(Z359="YES",MAX(N359,O359,Q359,R359),"")</f>
        <v/>
      </c>
      <c r="AB359">
        <f>IF(A359="","",IF(X359&lt;&gt;"","13 Repeat activity",IF(W359&lt;&gt;"","12 First enquiry/order/booking",IF(Z359="YES","11 ACTIVATED",IF(Q359&lt;&gt;"","10 First listing live",IF(O359&lt;&gt;"","9 Profile completed",IF(N359&lt;&gt;"","8 Approved",IF(M359&lt;&gt;"","7 KYC submitted",IF(L359&lt;&gt;"","6 Registration completed",IF(K359&lt;&gt;"","5b Registration started",IF(H359&lt;&gt;"","5a Information sent",IF(G359&lt;&gt;"","5 Interested","—"))))))))))))</f>
        <v/>
      </c>
      <c r="AC359" s="10">
        <f>IF(A359="","",(COUNT(G359,H359,K359,L359,M359,N359,O359,Q359,R359)+(I359="Y")+(P359="Y")+(S359="Y"))/12)</f>
        <v/>
      </c>
      <c r="AD359">
        <f>IF(OR(A359="",COUNT(G359:X359)=0),"",TODAY()-MAX(G359,H359,K359,L359,M359,N359,O359,Q359,R359,W359,X359))</f>
        <v/>
      </c>
      <c r="AE359">
        <f>IF(A359="","",IF(AND(Z359&lt;&gt;"YES",AD359&lt;&gt;"",AD359&gt;THRESHOLDS!$B$12),"STUCK — act today",""))</f>
        <v/>
      </c>
      <c r="AF359">
        <f>IF(A359="","",IF(J359="Active (verified)","",IF(J359="","Ask GST status (readiness R2)","Escalate to founder: orders need verified GSTIN in current code — no tax advice")))</f>
        <v/>
      </c>
      <c r="AG359">
        <f>IF(AND(G359&lt;&gt;"",L359&lt;&gt;""),L359-G359,"")</f>
        <v/>
      </c>
      <c r="AH359">
        <f>IF(AND(L359&lt;&gt;"",N359&lt;&gt;""),N359-L359,"")</f>
        <v/>
      </c>
      <c r="AI359">
        <f>IF(AND(N359&lt;&gt;"",AA359&lt;&gt;""),AA359-N359,"")</f>
        <v/>
      </c>
      <c r="AJ359">
        <f>IF(AND(L359&lt;&gt;"",N359&lt;&gt;"",Q359&lt;&gt;""),"Qualifies (if FP-QUAL adopted)","")</f>
        <v/>
      </c>
    </row>
    <row r="360">
      <c r="G360" s="9" t="n"/>
      <c r="H360" s="9" t="n"/>
      <c r="K360" s="9" t="n"/>
      <c r="L360" s="9" t="n"/>
      <c r="M360" s="9" t="n"/>
      <c r="N360" s="9" t="n"/>
      <c r="O360" s="9" t="n"/>
      <c r="Q360" s="9" t="n"/>
      <c r="R360" s="9" t="n"/>
      <c r="W360" s="9" t="n"/>
      <c r="X360" s="9" t="n"/>
      <c r="Z360">
        <f>IF(A360="","",IF(AND(N360&lt;&gt;"",O360&lt;&gt;"",Q360&lt;&gt;"",R360&lt;&gt;"",S360="Y"),"YES","no"))</f>
        <v/>
      </c>
      <c r="AA360" s="9">
        <f>IF(Z360="YES",MAX(N360,O360,Q360,R360),"")</f>
        <v/>
      </c>
      <c r="AB360">
        <f>IF(A360="","",IF(X360&lt;&gt;"","13 Repeat activity",IF(W360&lt;&gt;"","12 First enquiry/order/booking",IF(Z360="YES","11 ACTIVATED",IF(Q360&lt;&gt;"","10 First listing live",IF(O360&lt;&gt;"","9 Profile completed",IF(N360&lt;&gt;"","8 Approved",IF(M360&lt;&gt;"","7 KYC submitted",IF(L360&lt;&gt;"","6 Registration completed",IF(K360&lt;&gt;"","5b Registration started",IF(H360&lt;&gt;"","5a Information sent",IF(G360&lt;&gt;"","5 Interested","—"))))))))))))</f>
        <v/>
      </c>
      <c r="AC360" s="10">
        <f>IF(A360="","",(COUNT(G360,H360,K360,L360,M360,N360,O360,Q360,R360)+(I360="Y")+(P360="Y")+(S360="Y"))/12)</f>
        <v/>
      </c>
      <c r="AD360">
        <f>IF(OR(A360="",COUNT(G360:X360)=0),"",TODAY()-MAX(G360,H360,K360,L360,M360,N360,O360,Q360,R360,W360,X360))</f>
        <v/>
      </c>
      <c r="AE360">
        <f>IF(A360="","",IF(AND(Z360&lt;&gt;"YES",AD360&lt;&gt;"",AD360&gt;THRESHOLDS!$B$12),"STUCK — act today",""))</f>
        <v/>
      </c>
      <c r="AF360">
        <f>IF(A360="","",IF(J360="Active (verified)","",IF(J360="","Ask GST status (readiness R2)","Escalate to founder: orders need verified GSTIN in current code — no tax advice")))</f>
        <v/>
      </c>
      <c r="AG360">
        <f>IF(AND(G360&lt;&gt;"",L360&lt;&gt;""),L360-G360,"")</f>
        <v/>
      </c>
      <c r="AH360">
        <f>IF(AND(L360&lt;&gt;"",N360&lt;&gt;""),N360-L360,"")</f>
        <v/>
      </c>
      <c r="AI360">
        <f>IF(AND(N360&lt;&gt;"",AA360&lt;&gt;""),AA360-N360,"")</f>
        <v/>
      </c>
      <c r="AJ360">
        <f>IF(AND(L360&lt;&gt;"",N360&lt;&gt;"",Q360&lt;&gt;""),"Qualifies (if FP-QUAL adopted)","")</f>
        <v/>
      </c>
    </row>
    <row r="361">
      <c r="G361" s="9" t="n"/>
      <c r="H361" s="9" t="n"/>
      <c r="K361" s="9" t="n"/>
      <c r="L361" s="9" t="n"/>
      <c r="M361" s="9" t="n"/>
      <c r="N361" s="9" t="n"/>
      <c r="O361" s="9" t="n"/>
      <c r="Q361" s="9" t="n"/>
      <c r="R361" s="9" t="n"/>
      <c r="W361" s="9" t="n"/>
      <c r="X361" s="9" t="n"/>
      <c r="Z361">
        <f>IF(A361="","",IF(AND(N361&lt;&gt;"",O361&lt;&gt;"",Q361&lt;&gt;"",R361&lt;&gt;"",S361="Y"),"YES","no"))</f>
        <v/>
      </c>
      <c r="AA361" s="9">
        <f>IF(Z361="YES",MAX(N361,O361,Q361,R361),"")</f>
        <v/>
      </c>
      <c r="AB361">
        <f>IF(A361="","",IF(X361&lt;&gt;"","13 Repeat activity",IF(W361&lt;&gt;"","12 First enquiry/order/booking",IF(Z361="YES","11 ACTIVATED",IF(Q361&lt;&gt;"","10 First listing live",IF(O361&lt;&gt;"","9 Profile completed",IF(N361&lt;&gt;"","8 Approved",IF(M361&lt;&gt;"","7 KYC submitted",IF(L361&lt;&gt;"","6 Registration completed",IF(K361&lt;&gt;"","5b Registration started",IF(H361&lt;&gt;"","5a Information sent",IF(G361&lt;&gt;"","5 Interested","—"))))))))))))</f>
        <v/>
      </c>
      <c r="AC361" s="10">
        <f>IF(A361="","",(COUNT(G361,H361,K361,L361,M361,N361,O361,Q361,R361)+(I361="Y")+(P361="Y")+(S361="Y"))/12)</f>
        <v/>
      </c>
      <c r="AD361">
        <f>IF(OR(A361="",COUNT(G361:X361)=0),"",TODAY()-MAX(G361,H361,K361,L361,M361,N361,O361,Q361,R361,W361,X361))</f>
        <v/>
      </c>
      <c r="AE361">
        <f>IF(A361="","",IF(AND(Z361&lt;&gt;"YES",AD361&lt;&gt;"",AD361&gt;THRESHOLDS!$B$12),"STUCK — act today",""))</f>
        <v/>
      </c>
      <c r="AF361">
        <f>IF(A361="","",IF(J361="Active (verified)","",IF(J361="","Ask GST status (readiness R2)","Escalate to founder: orders need verified GSTIN in current code — no tax advice")))</f>
        <v/>
      </c>
      <c r="AG361">
        <f>IF(AND(G361&lt;&gt;"",L361&lt;&gt;""),L361-G361,"")</f>
        <v/>
      </c>
      <c r="AH361">
        <f>IF(AND(L361&lt;&gt;"",N361&lt;&gt;""),N361-L361,"")</f>
        <v/>
      </c>
      <c r="AI361">
        <f>IF(AND(N361&lt;&gt;"",AA361&lt;&gt;""),AA361-N361,"")</f>
        <v/>
      </c>
      <c r="AJ361">
        <f>IF(AND(L361&lt;&gt;"",N361&lt;&gt;"",Q361&lt;&gt;""),"Qualifies (if FP-QUAL adopted)","")</f>
        <v/>
      </c>
    </row>
    <row r="362">
      <c r="G362" s="9" t="n"/>
      <c r="H362" s="9" t="n"/>
      <c r="K362" s="9" t="n"/>
      <c r="L362" s="9" t="n"/>
      <c r="M362" s="9" t="n"/>
      <c r="N362" s="9" t="n"/>
      <c r="O362" s="9" t="n"/>
      <c r="Q362" s="9" t="n"/>
      <c r="R362" s="9" t="n"/>
      <c r="W362" s="9" t="n"/>
      <c r="X362" s="9" t="n"/>
      <c r="Z362">
        <f>IF(A362="","",IF(AND(N362&lt;&gt;"",O362&lt;&gt;"",Q362&lt;&gt;"",R362&lt;&gt;"",S362="Y"),"YES","no"))</f>
        <v/>
      </c>
      <c r="AA362" s="9">
        <f>IF(Z362="YES",MAX(N362,O362,Q362,R362),"")</f>
        <v/>
      </c>
      <c r="AB362">
        <f>IF(A362="","",IF(X362&lt;&gt;"","13 Repeat activity",IF(W362&lt;&gt;"","12 First enquiry/order/booking",IF(Z362="YES","11 ACTIVATED",IF(Q362&lt;&gt;"","10 First listing live",IF(O362&lt;&gt;"","9 Profile completed",IF(N362&lt;&gt;"","8 Approved",IF(M362&lt;&gt;"","7 KYC submitted",IF(L362&lt;&gt;"","6 Registration completed",IF(K362&lt;&gt;"","5b Registration started",IF(H362&lt;&gt;"","5a Information sent",IF(G362&lt;&gt;"","5 Interested","—"))))))))))))</f>
        <v/>
      </c>
      <c r="AC362" s="10">
        <f>IF(A362="","",(COUNT(G362,H362,K362,L362,M362,N362,O362,Q362,R362)+(I362="Y")+(P362="Y")+(S362="Y"))/12)</f>
        <v/>
      </c>
      <c r="AD362">
        <f>IF(OR(A362="",COUNT(G362:X362)=0),"",TODAY()-MAX(G362,H362,K362,L362,M362,N362,O362,Q362,R362,W362,X362))</f>
        <v/>
      </c>
      <c r="AE362">
        <f>IF(A362="","",IF(AND(Z362&lt;&gt;"YES",AD362&lt;&gt;"",AD362&gt;THRESHOLDS!$B$12),"STUCK — act today",""))</f>
        <v/>
      </c>
      <c r="AF362">
        <f>IF(A362="","",IF(J362="Active (verified)","",IF(J362="","Ask GST status (readiness R2)","Escalate to founder: orders need verified GSTIN in current code — no tax advice")))</f>
        <v/>
      </c>
      <c r="AG362">
        <f>IF(AND(G362&lt;&gt;"",L362&lt;&gt;""),L362-G362,"")</f>
        <v/>
      </c>
      <c r="AH362">
        <f>IF(AND(L362&lt;&gt;"",N362&lt;&gt;""),N362-L362,"")</f>
        <v/>
      </c>
      <c r="AI362">
        <f>IF(AND(N362&lt;&gt;"",AA362&lt;&gt;""),AA362-N362,"")</f>
        <v/>
      </c>
      <c r="AJ362">
        <f>IF(AND(L362&lt;&gt;"",N362&lt;&gt;"",Q362&lt;&gt;""),"Qualifies (if FP-QUAL adopted)","")</f>
        <v/>
      </c>
    </row>
    <row r="363">
      <c r="G363" s="9" t="n"/>
      <c r="H363" s="9" t="n"/>
      <c r="K363" s="9" t="n"/>
      <c r="L363" s="9" t="n"/>
      <c r="M363" s="9" t="n"/>
      <c r="N363" s="9" t="n"/>
      <c r="O363" s="9" t="n"/>
      <c r="Q363" s="9" t="n"/>
      <c r="R363" s="9" t="n"/>
      <c r="W363" s="9" t="n"/>
      <c r="X363" s="9" t="n"/>
      <c r="Z363">
        <f>IF(A363="","",IF(AND(N363&lt;&gt;"",O363&lt;&gt;"",Q363&lt;&gt;"",R363&lt;&gt;"",S363="Y"),"YES","no"))</f>
        <v/>
      </c>
      <c r="AA363" s="9">
        <f>IF(Z363="YES",MAX(N363,O363,Q363,R363),"")</f>
        <v/>
      </c>
      <c r="AB363">
        <f>IF(A363="","",IF(X363&lt;&gt;"","13 Repeat activity",IF(W363&lt;&gt;"","12 First enquiry/order/booking",IF(Z363="YES","11 ACTIVATED",IF(Q363&lt;&gt;"","10 First listing live",IF(O363&lt;&gt;"","9 Profile completed",IF(N363&lt;&gt;"","8 Approved",IF(M363&lt;&gt;"","7 KYC submitted",IF(L363&lt;&gt;"","6 Registration completed",IF(K363&lt;&gt;"","5b Registration started",IF(H363&lt;&gt;"","5a Information sent",IF(G363&lt;&gt;"","5 Interested","—"))))))))))))</f>
        <v/>
      </c>
      <c r="AC363" s="10">
        <f>IF(A363="","",(COUNT(G363,H363,K363,L363,M363,N363,O363,Q363,R363)+(I363="Y")+(P363="Y")+(S363="Y"))/12)</f>
        <v/>
      </c>
      <c r="AD363">
        <f>IF(OR(A363="",COUNT(G363:X363)=0),"",TODAY()-MAX(G363,H363,K363,L363,M363,N363,O363,Q363,R363,W363,X363))</f>
        <v/>
      </c>
      <c r="AE363">
        <f>IF(A363="","",IF(AND(Z363&lt;&gt;"YES",AD363&lt;&gt;"",AD363&gt;THRESHOLDS!$B$12),"STUCK — act today",""))</f>
        <v/>
      </c>
      <c r="AF363">
        <f>IF(A363="","",IF(J363="Active (verified)","",IF(J363="","Ask GST status (readiness R2)","Escalate to founder: orders need verified GSTIN in current code — no tax advice")))</f>
        <v/>
      </c>
      <c r="AG363">
        <f>IF(AND(G363&lt;&gt;"",L363&lt;&gt;""),L363-G363,"")</f>
        <v/>
      </c>
      <c r="AH363">
        <f>IF(AND(L363&lt;&gt;"",N363&lt;&gt;""),N363-L363,"")</f>
        <v/>
      </c>
      <c r="AI363">
        <f>IF(AND(N363&lt;&gt;"",AA363&lt;&gt;""),AA363-N363,"")</f>
        <v/>
      </c>
      <c r="AJ363">
        <f>IF(AND(L363&lt;&gt;"",N363&lt;&gt;"",Q363&lt;&gt;""),"Qualifies (if FP-QUAL adopted)","")</f>
        <v/>
      </c>
    </row>
    <row r="364">
      <c r="G364" s="9" t="n"/>
      <c r="H364" s="9" t="n"/>
      <c r="K364" s="9" t="n"/>
      <c r="L364" s="9" t="n"/>
      <c r="M364" s="9" t="n"/>
      <c r="N364" s="9" t="n"/>
      <c r="O364" s="9" t="n"/>
      <c r="Q364" s="9" t="n"/>
      <c r="R364" s="9" t="n"/>
      <c r="W364" s="9" t="n"/>
      <c r="X364" s="9" t="n"/>
      <c r="Z364">
        <f>IF(A364="","",IF(AND(N364&lt;&gt;"",O364&lt;&gt;"",Q364&lt;&gt;"",R364&lt;&gt;"",S364="Y"),"YES","no"))</f>
        <v/>
      </c>
      <c r="AA364" s="9">
        <f>IF(Z364="YES",MAX(N364,O364,Q364,R364),"")</f>
        <v/>
      </c>
      <c r="AB364">
        <f>IF(A364="","",IF(X364&lt;&gt;"","13 Repeat activity",IF(W364&lt;&gt;"","12 First enquiry/order/booking",IF(Z364="YES","11 ACTIVATED",IF(Q364&lt;&gt;"","10 First listing live",IF(O364&lt;&gt;"","9 Profile completed",IF(N364&lt;&gt;"","8 Approved",IF(M364&lt;&gt;"","7 KYC submitted",IF(L364&lt;&gt;"","6 Registration completed",IF(K364&lt;&gt;"","5b Registration started",IF(H364&lt;&gt;"","5a Information sent",IF(G364&lt;&gt;"","5 Interested","—"))))))))))))</f>
        <v/>
      </c>
      <c r="AC364" s="10">
        <f>IF(A364="","",(COUNT(G364,H364,K364,L364,M364,N364,O364,Q364,R364)+(I364="Y")+(P364="Y")+(S364="Y"))/12)</f>
        <v/>
      </c>
      <c r="AD364">
        <f>IF(OR(A364="",COUNT(G364:X364)=0),"",TODAY()-MAX(G364,H364,K364,L364,M364,N364,O364,Q364,R364,W364,X364))</f>
        <v/>
      </c>
      <c r="AE364">
        <f>IF(A364="","",IF(AND(Z364&lt;&gt;"YES",AD364&lt;&gt;"",AD364&gt;THRESHOLDS!$B$12),"STUCK — act today",""))</f>
        <v/>
      </c>
      <c r="AF364">
        <f>IF(A364="","",IF(J364="Active (verified)","",IF(J364="","Ask GST status (readiness R2)","Escalate to founder: orders need verified GSTIN in current code — no tax advice")))</f>
        <v/>
      </c>
      <c r="AG364">
        <f>IF(AND(G364&lt;&gt;"",L364&lt;&gt;""),L364-G364,"")</f>
        <v/>
      </c>
      <c r="AH364">
        <f>IF(AND(L364&lt;&gt;"",N364&lt;&gt;""),N364-L364,"")</f>
        <v/>
      </c>
      <c r="AI364">
        <f>IF(AND(N364&lt;&gt;"",AA364&lt;&gt;""),AA364-N364,"")</f>
        <v/>
      </c>
      <c r="AJ364">
        <f>IF(AND(L364&lt;&gt;"",N364&lt;&gt;"",Q364&lt;&gt;""),"Qualifies (if FP-QUAL adopted)","")</f>
        <v/>
      </c>
    </row>
    <row r="365">
      <c r="G365" s="9" t="n"/>
      <c r="H365" s="9" t="n"/>
      <c r="K365" s="9" t="n"/>
      <c r="L365" s="9" t="n"/>
      <c r="M365" s="9" t="n"/>
      <c r="N365" s="9" t="n"/>
      <c r="O365" s="9" t="n"/>
      <c r="Q365" s="9" t="n"/>
      <c r="R365" s="9" t="n"/>
      <c r="W365" s="9" t="n"/>
      <c r="X365" s="9" t="n"/>
      <c r="Z365">
        <f>IF(A365="","",IF(AND(N365&lt;&gt;"",O365&lt;&gt;"",Q365&lt;&gt;"",R365&lt;&gt;"",S365="Y"),"YES","no"))</f>
        <v/>
      </c>
      <c r="AA365" s="9">
        <f>IF(Z365="YES",MAX(N365,O365,Q365,R365),"")</f>
        <v/>
      </c>
      <c r="AB365">
        <f>IF(A365="","",IF(X365&lt;&gt;"","13 Repeat activity",IF(W365&lt;&gt;"","12 First enquiry/order/booking",IF(Z365="YES","11 ACTIVATED",IF(Q365&lt;&gt;"","10 First listing live",IF(O365&lt;&gt;"","9 Profile completed",IF(N365&lt;&gt;"","8 Approved",IF(M365&lt;&gt;"","7 KYC submitted",IF(L365&lt;&gt;"","6 Registration completed",IF(K365&lt;&gt;"","5b Registration started",IF(H365&lt;&gt;"","5a Information sent",IF(G365&lt;&gt;"","5 Interested","—"))))))))))))</f>
        <v/>
      </c>
      <c r="AC365" s="10">
        <f>IF(A365="","",(COUNT(G365,H365,K365,L365,M365,N365,O365,Q365,R365)+(I365="Y")+(P365="Y")+(S365="Y"))/12)</f>
        <v/>
      </c>
      <c r="AD365">
        <f>IF(OR(A365="",COUNT(G365:X365)=0),"",TODAY()-MAX(G365,H365,K365,L365,M365,N365,O365,Q365,R365,W365,X365))</f>
        <v/>
      </c>
      <c r="AE365">
        <f>IF(A365="","",IF(AND(Z365&lt;&gt;"YES",AD365&lt;&gt;"",AD365&gt;THRESHOLDS!$B$12),"STUCK — act today",""))</f>
        <v/>
      </c>
      <c r="AF365">
        <f>IF(A365="","",IF(J365="Active (verified)","",IF(J365="","Ask GST status (readiness R2)","Escalate to founder: orders need verified GSTIN in current code — no tax advice")))</f>
        <v/>
      </c>
      <c r="AG365">
        <f>IF(AND(G365&lt;&gt;"",L365&lt;&gt;""),L365-G365,"")</f>
        <v/>
      </c>
      <c r="AH365">
        <f>IF(AND(L365&lt;&gt;"",N365&lt;&gt;""),N365-L365,"")</f>
        <v/>
      </c>
      <c r="AI365">
        <f>IF(AND(N365&lt;&gt;"",AA365&lt;&gt;""),AA365-N365,"")</f>
        <v/>
      </c>
      <c r="AJ365">
        <f>IF(AND(L365&lt;&gt;"",N365&lt;&gt;"",Q365&lt;&gt;""),"Qualifies (if FP-QUAL adopted)","")</f>
        <v/>
      </c>
    </row>
    <row r="366">
      <c r="G366" s="9" t="n"/>
      <c r="H366" s="9" t="n"/>
      <c r="K366" s="9" t="n"/>
      <c r="L366" s="9" t="n"/>
      <c r="M366" s="9" t="n"/>
      <c r="N366" s="9" t="n"/>
      <c r="O366" s="9" t="n"/>
      <c r="Q366" s="9" t="n"/>
      <c r="R366" s="9" t="n"/>
      <c r="W366" s="9" t="n"/>
      <c r="X366" s="9" t="n"/>
      <c r="Z366">
        <f>IF(A366="","",IF(AND(N366&lt;&gt;"",O366&lt;&gt;"",Q366&lt;&gt;"",R366&lt;&gt;"",S366="Y"),"YES","no"))</f>
        <v/>
      </c>
      <c r="AA366" s="9">
        <f>IF(Z366="YES",MAX(N366,O366,Q366,R366),"")</f>
        <v/>
      </c>
      <c r="AB366">
        <f>IF(A366="","",IF(X366&lt;&gt;"","13 Repeat activity",IF(W366&lt;&gt;"","12 First enquiry/order/booking",IF(Z366="YES","11 ACTIVATED",IF(Q366&lt;&gt;"","10 First listing live",IF(O366&lt;&gt;"","9 Profile completed",IF(N366&lt;&gt;"","8 Approved",IF(M366&lt;&gt;"","7 KYC submitted",IF(L366&lt;&gt;"","6 Registration completed",IF(K366&lt;&gt;"","5b Registration started",IF(H366&lt;&gt;"","5a Information sent",IF(G366&lt;&gt;"","5 Interested","—"))))))))))))</f>
        <v/>
      </c>
      <c r="AC366" s="10">
        <f>IF(A366="","",(COUNT(G366,H366,K366,L366,M366,N366,O366,Q366,R366)+(I366="Y")+(P366="Y")+(S366="Y"))/12)</f>
        <v/>
      </c>
      <c r="AD366">
        <f>IF(OR(A366="",COUNT(G366:X366)=0),"",TODAY()-MAX(G366,H366,K366,L366,M366,N366,O366,Q366,R366,W366,X366))</f>
        <v/>
      </c>
      <c r="AE366">
        <f>IF(A366="","",IF(AND(Z366&lt;&gt;"YES",AD366&lt;&gt;"",AD366&gt;THRESHOLDS!$B$12),"STUCK — act today",""))</f>
        <v/>
      </c>
      <c r="AF366">
        <f>IF(A366="","",IF(J366="Active (verified)","",IF(J366="","Ask GST status (readiness R2)","Escalate to founder: orders need verified GSTIN in current code — no tax advice")))</f>
        <v/>
      </c>
      <c r="AG366">
        <f>IF(AND(G366&lt;&gt;"",L366&lt;&gt;""),L366-G366,"")</f>
        <v/>
      </c>
      <c r="AH366">
        <f>IF(AND(L366&lt;&gt;"",N366&lt;&gt;""),N366-L366,"")</f>
        <v/>
      </c>
      <c r="AI366">
        <f>IF(AND(N366&lt;&gt;"",AA366&lt;&gt;""),AA366-N366,"")</f>
        <v/>
      </c>
      <c r="AJ366">
        <f>IF(AND(L366&lt;&gt;"",N366&lt;&gt;"",Q366&lt;&gt;""),"Qualifies (if FP-QUAL adopted)","")</f>
        <v/>
      </c>
    </row>
    <row r="367">
      <c r="G367" s="9" t="n"/>
      <c r="H367" s="9" t="n"/>
      <c r="K367" s="9" t="n"/>
      <c r="L367" s="9" t="n"/>
      <c r="M367" s="9" t="n"/>
      <c r="N367" s="9" t="n"/>
      <c r="O367" s="9" t="n"/>
      <c r="Q367" s="9" t="n"/>
      <c r="R367" s="9" t="n"/>
      <c r="W367" s="9" t="n"/>
      <c r="X367" s="9" t="n"/>
      <c r="Z367">
        <f>IF(A367="","",IF(AND(N367&lt;&gt;"",O367&lt;&gt;"",Q367&lt;&gt;"",R367&lt;&gt;"",S367="Y"),"YES","no"))</f>
        <v/>
      </c>
      <c r="AA367" s="9">
        <f>IF(Z367="YES",MAX(N367,O367,Q367,R367),"")</f>
        <v/>
      </c>
      <c r="AB367">
        <f>IF(A367="","",IF(X367&lt;&gt;"","13 Repeat activity",IF(W367&lt;&gt;"","12 First enquiry/order/booking",IF(Z367="YES","11 ACTIVATED",IF(Q367&lt;&gt;"","10 First listing live",IF(O367&lt;&gt;"","9 Profile completed",IF(N367&lt;&gt;"","8 Approved",IF(M367&lt;&gt;"","7 KYC submitted",IF(L367&lt;&gt;"","6 Registration completed",IF(K367&lt;&gt;"","5b Registration started",IF(H367&lt;&gt;"","5a Information sent",IF(G367&lt;&gt;"","5 Interested","—"))))))))))))</f>
        <v/>
      </c>
      <c r="AC367" s="10">
        <f>IF(A367="","",(COUNT(G367,H367,K367,L367,M367,N367,O367,Q367,R367)+(I367="Y")+(P367="Y")+(S367="Y"))/12)</f>
        <v/>
      </c>
      <c r="AD367">
        <f>IF(OR(A367="",COUNT(G367:X367)=0),"",TODAY()-MAX(G367,H367,K367,L367,M367,N367,O367,Q367,R367,W367,X367))</f>
        <v/>
      </c>
      <c r="AE367">
        <f>IF(A367="","",IF(AND(Z367&lt;&gt;"YES",AD367&lt;&gt;"",AD367&gt;THRESHOLDS!$B$12),"STUCK — act today",""))</f>
        <v/>
      </c>
      <c r="AF367">
        <f>IF(A367="","",IF(J367="Active (verified)","",IF(J367="","Ask GST status (readiness R2)","Escalate to founder: orders need verified GSTIN in current code — no tax advice")))</f>
        <v/>
      </c>
      <c r="AG367">
        <f>IF(AND(G367&lt;&gt;"",L367&lt;&gt;""),L367-G367,"")</f>
        <v/>
      </c>
      <c r="AH367">
        <f>IF(AND(L367&lt;&gt;"",N367&lt;&gt;""),N367-L367,"")</f>
        <v/>
      </c>
      <c r="AI367">
        <f>IF(AND(N367&lt;&gt;"",AA367&lt;&gt;""),AA367-N367,"")</f>
        <v/>
      </c>
      <c r="AJ367">
        <f>IF(AND(L367&lt;&gt;"",N367&lt;&gt;"",Q367&lt;&gt;""),"Qualifies (if FP-QUAL adopted)","")</f>
        <v/>
      </c>
    </row>
    <row r="368">
      <c r="G368" s="9" t="n"/>
      <c r="H368" s="9" t="n"/>
      <c r="K368" s="9" t="n"/>
      <c r="L368" s="9" t="n"/>
      <c r="M368" s="9" t="n"/>
      <c r="N368" s="9" t="n"/>
      <c r="O368" s="9" t="n"/>
      <c r="Q368" s="9" t="n"/>
      <c r="R368" s="9" t="n"/>
      <c r="W368" s="9" t="n"/>
      <c r="X368" s="9" t="n"/>
      <c r="Z368">
        <f>IF(A368="","",IF(AND(N368&lt;&gt;"",O368&lt;&gt;"",Q368&lt;&gt;"",R368&lt;&gt;"",S368="Y"),"YES","no"))</f>
        <v/>
      </c>
      <c r="AA368" s="9">
        <f>IF(Z368="YES",MAX(N368,O368,Q368,R368),"")</f>
        <v/>
      </c>
      <c r="AB368">
        <f>IF(A368="","",IF(X368&lt;&gt;"","13 Repeat activity",IF(W368&lt;&gt;"","12 First enquiry/order/booking",IF(Z368="YES","11 ACTIVATED",IF(Q368&lt;&gt;"","10 First listing live",IF(O368&lt;&gt;"","9 Profile completed",IF(N368&lt;&gt;"","8 Approved",IF(M368&lt;&gt;"","7 KYC submitted",IF(L368&lt;&gt;"","6 Registration completed",IF(K368&lt;&gt;"","5b Registration started",IF(H368&lt;&gt;"","5a Information sent",IF(G368&lt;&gt;"","5 Interested","—"))))))))))))</f>
        <v/>
      </c>
      <c r="AC368" s="10">
        <f>IF(A368="","",(COUNT(G368,H368,K368,L368,M368,N368,O368,Q368,R368)+(I368="Y")+(P368="Y")+(S368="Y"))/12)</f>
        <v/>
      </c>
      <c r="AD368">
        <f>IF(OR(A368="",COUNT(G368:X368)=0),"",TODAY()-MAX(G368,H368,K368,L368,M368,N368,O368,Q368,R368,W368,X368))</f>
        <v/>
      </c>
      <c r="AE368">
        <f>IF(A368="","",IF(AND(Z368&lt;&gt;"YES",AD368&lt;&gt;"",AD368&gt;THRESHOLDS!$B$12),"STUCK — act today",""))</f>
        <v/>
      </c>
      <c r="AF368">
        <f>IF(A368="","",IF(J368="Active (verified)","",IF(J368="","Ask GST status (readiness R2)","Escalate to founder: orders need verified GSTIN in current code — no tax advice")))</f>
        <v/>
      </c>
      <c r="AG368">
        <f>IF(AND(G368&lt;&gt;"",L368&lt;&gt;""),L368-G368,"")</f>
        <v/>
      </c>
      <c r="AH368">
        <f>IF(AND(L368&lt;&gt;"",N368&lt;&gt;""),N368-L368,"")</f>
        <v/>
      </c>
      <c r="AI368">
        <f>IF(AND(N368&lt;&gt;"",AA368&lt;&gt;""),AA368-N368,"")</f>
        <v/>
      </c>
      <c r="AJ368">
        <f>IF(AND(L368&lt;&gt;"",N368&lt;&gt;"",Q368&lt;&gt;""),"Qualifies (if FP-QUAL adopted)","")</f>
        <v/>
      </c>
    </row>
    <row r="369">
      <c r="G369" s="9" t="n"/>
      <c r="H369" s="9" t="n"/>
      <c r="K369" s="9" t="n"/>
      <c r="L369" s="9" t="n"/>
      <c r="M369" s="9" t="n"/>
      <c r="N369" s="9" t="n"/>
      <c r="O369" s="9" t="n"/>
      <c r="Q369" s="9" t="n"/>
      <c r="R369" s="9" t="n"/>
      <c r="W369" s="9" t="n"/>
      <c r="X369" s="9" t="n"/>
      <c r="Z369">
        <f>IF(A369="","",IF(AND(N369&lt;&gt;"",O369&lt;&gt;"",Q369&lt;&gt;"",R369&lt;&gt;"",S369="Y"),"YES","no"))</f>
        <v/>
      </c>
      <c r="AA369" s="9">
        <f>IF(Z369="YES",MAX(N369,O369,Q369,R369),"")</f>
        <v/>
      </c>
      <c r="AB369">
        <f>IF(A369="","",IF(X369&lt;&gt;"","13 Repeat activity",IF(W369&lt;&gt;"","12 First enquiry/order/booking",IF(Z369="YES","11 ACTIVATED",IF(Q369&lt;&gt;"","10 First listing live",IF(O369&lt;&gt;"","9 Profile completed",IF(N369&lt;&gt;"","8 Approved",IF(M369&lt;&gt;"","7 KYC submitted",IF(L369&lt;&gt;"","6 Registration completed",IF(K369&lt;&gt;"","5b Registration started",IF(H369&lt;&gt;"","5a Information sent",IF(G369&lt;&gt;"","5 Interested","—"))))))))))))</f>
        <v/>
      </c>
      <c r="AC369" s="10">
        <f>IF(A369="","",(COUNT(G369,H369,K369,L369,M369,N369,O369,Q369,R369)+(I369="Y")+(P369="Y")+(S369="Y"))/12)</f>
        <v/>
      </c>
      <c r="AD369">
        <f>IF(OR(A369="",COUNT(G369:X369)=0),"",TODAY()-MAX(G369,H369,K369,L369,M369,N369,O369,Q369,R369,W369,X369))</f>
        <v/>
      </c>
      <c r="AE369">
        <f>IF(A369="","",IF(AND(Z369&lt;&gt;"YES",AD369&lt;&gt;"",AD369&gt;THRESHOLDS!$B$12),"STUCK — act today",""))</f>
        <v/>
      </c>
      <c r="AF369">
        <f>IF(A369="","",IF(J369="Active (verified)","",IF(J369="","Ask GST status (readiness R2)","Escalate to founder: orders need verified GSTIN in current code — no tax advice")))</f>
        <v/>
      </c>
      <c r="AG369">
        <f>IF(AND(G369&lt;&gt;"",L369&lt;&gt;""),L369-G369,"")</f>
        <v/>
      </c>
      <c r="AH369">
        <f>IF(AND(L369&lt;&gt;"",N369&lt;&gt;""),N369-L369,"")</f>
        <v/>
      </c>
      <c r="AI369">
        <f>IF(AND(N369&lt;&gt;"",AA369&lt;&gt;""),AA369-N369,"")</f>
        <v/>
      </c>
      <c r="AJ369">
        <f>IF(AND(L369&lt;&gt;"",N369&lt;&gt;"",Q369&lt;&gt;""),"Qualifies (if FP-QUAL adopted)","")</f>
        <v/>
      </c>
    </row>
    <row r="370">
      <c r="G370" s="9" t="n"/>
      <c r="H370" s="9" t="n"/>
      <c r="K370" s="9" t="n"/>
      <c r="L370" s="9" t="n"/>
      <c r="M370" s="9" t="n"/>
      <c r="N370" s="9" t="n"/>
      <c r="O370" s="9" t="n"/>
      <c r="Q370" s="9" t="n"/>
      <c r="R370" s="9" t="n"/>
      <c r="W370" s="9" t="n"/>
      <c r="X370" s="9" t="n"/>
      <c r="Z370">
        <f>IF(A370="","",IF(AND(N370&lt;&gt;"",O370&lt;&gt;"",Q370&lt;&gt;"",R370&lt;&gt;"",S370="Y"),"YES","no"))</f>
        <v/>
      </c>
      <c r="AA370" s="9">
        <f>IF(Z370="YES",MAX(N370,O370,Q370,R370),"")</f>
        <v/>
      </c>
      <c r="AB370">
        <f>IF(A370="","",IF(X370&lt;&gt;"","13 Repeat activity",IF(W370&lt;&gt;"","12 First enquiry/order/booking",IF(Z370="YES","11 ACTIVATED",IF(Q370&lt;&gt;"","10 First listing live",IF(O370&lt;&gt;"","9 Profile completed",IF(N370&lt;&gt;"","8 Approved",IF(M370&lt;&gt;"","7 KYC submitted",IF(L370&lt;&gt;"","6 Registration completed",IF(K370&lt;&gt;"","5b Registration started",IF(H370&lt;&gt;"","5a Information sent",IF(G370&lt;&gt;"","5 Interested","—"))))))))))))</f>
        <v/>
      </c>
      <c r="AC370" s="10">
        <f>IF(A370="","",(COUNT(G370,H370,K370,L370,M370,N370,O370,Q370,R370)+(I370="Y")+(P370="Y")+(S370="Y"))/12)</f>
        <v/>
      </c>
      <c r="AD370">
        <f>IF(OR(A370="",COUNT(G370:X370)=0),"",TODAY()-MAX(G370,H370,K370,L370,M370,N370,O370,Q370,R370,W370,X370))</f>
        <v/>
      </c>
      <c r="AE370">
        <f>IF(A370="","",IF(AND(Z370&lt;&gt;"YES",AD370&lt;&gt;"",AD370&gt;THRESHOLDS!$B$12),"STUCK — act today",""))</f>
        <v/>
      </c>
      <c r="AF370">
        <f>IF(A370="","",IF(J370="Active (verified)","",IF(J370="","Ask GST status (readiness R2)","Escalate to founder: orders need verified GSTIN in current code — no tax advice")))</f>
        <v/>
      </c>
      <c r="AG370">
        <f>IF(AND(G370&lt;&gt;"",L370&lt;&gt;""),L370-G370,"")</f>
        <v/>
      </c>
      <c r="AH370">
        <f>IF(AND(L370&lt;&gt;"",N370&lt;&gt;""),N370-L370,"")</f>
        <v/>
      </c>
      <c r="AI370">
        <f>IF(AND(N370&lt;&gt;"",AA370&lt;&gt;""),AA370-N370,"")</f>
        <v/>
      </c>
      <c r="AJ370">
        <f>IF(AND(L370&lt;&gt;"",N370&lt;&gt;"",Q370&lt;&gt;""),"Qualifies (if FP-QUAL adopted)","")</f>
        <v/>
      </c>
    </row>
    <row r="371">
      <c r="G371" s="9" t="n"/>
      <c r="H371" s="9" t="n"/>
      <c r="K371" s="9" t="n"/>
      <c r="L371" s="9" t="n"/>
      <c r="M371" s="9" t="n"/>
      <c r="N371" s="9" t="n"/>
      <c r="O371" s="9" t="n"/>
      <c r="Q371" s="9" t="n"/>
      <c r="R371" s="9" t="n"/>
      <c r="W371" s="9" t="n"/>
      <c r="X371" s="9" t="n"/>
      <c r="Z371">
        <f>IF(A371="","",IF(AND(N371&lt;&gt;"",O371&lt;&gt;"",Q371&lt;&gt;"",R371&lt;&gt;"",S371="Y"),"YES","no"))</f>
        <v/>
      </c>
      <c r="AA371" s="9">
        <f>IF(Z371="YES",MAX(N371,O371,Q371,R371),"")</f>
        <v/>
      </c>
      <c r="AB371">
        <f>IF(A371="","",IF(X371&lt;&gt;"","13 Repeat activity",IF(W371&lt;&gt;"","12 First enquiry/order/booking",IF(Z371="YES","11 ACTIVATED",IF(Q371&lt;&gt;"","10 First listing live",IF(O371&lt;&gt;"","9 Profile completed",IF(N371&lt;&gt;"","8 Approved",IF(M371&lt;&gt;"","7 KYC submitted",IF(L371&lt;&gt;"","6 Registration completed",IF(K371&lt;&gt;"","5b Registration started",IF(H371&lt;&gt;"","5a Information sent",IF(G371&lt;&gt;"","5 Interested","—"))))))))))))</f>
        <v/>
      </c>
      <c r="AC371" s="10">
        <f>IF(A371="","",(COUNT(G371,H371,K371,L371,M371,N371,O371,Q371,R371)+(I371="Y")+(P371="Y")+(S371="Y"))/12)</f>
        <v/>
      </c>
      <c r="AD371">
        <f>IF(OR(A371="",COUNT(G371:X371)=0),"",TODAY()-MAX(G371,H371,K371,L371,M371,N371,O371,Q371,R371,W371,X371))</f>
        <v/>
      </c>
      <c r="AE371">
        <f>IF(A371="","",IF(AND(Z371&lt;&gt;"YES",AD371&lt;&gt;"",AD371&gt;THRESHOLDS!$B$12),"STUCK — act today",""))</f>
        <v/>
      </c>
      <c r="AF371">
        <f>IF(A371="","",IF(J371="Active (verified)","",IF(J371="","Ask GST status (readiness R2)","Escalate to founder: orders need verified GSTIN in current code — no tax advice")))</f>
        <v/>
      </c>
      <c r="AG371">
        <f>IF(AND(G371&lt;&gt;"",L371&lt;&gt;""),L371-G371,"")</f>
        <v/>
      </c>
      <c r="AH371">
        <f>IF(AND(L371&lt;&gt;"",N371&lt;&gt;""),N371-L371,"")</f>
        <v/>
      </c>
      <c r="AI371">
        <f>IF(AND(N371&lt;&gt;"",AA371&lt;&gt;""),AA371-N371,"")</f>
        <v/>
      </c>
      <c r="AJ371">
        <f>IF(AND(L371&lt;&gt;"",N371&lt;&gt;"",Q371&lt;&gt;""),"Qualifies (if FP-QUAL adopted)","")</f>
        <v/>
      </c>
    </row>
    <row r="372">
      <c r="G372" s="9" t="n"/>
      <c r="H372" s="9" t="n"/>
      <c r="K372" s="9" t="n"/>
      <c r="L372" s="9" t="n"/>
      <c r="M372" s="9" t="n"/>
      <c r="N372" s="9" t="n"/>
      <c r="O372" s="9" t="n"/>
      <c r="Q372" s="9" t="n"/>
      <c r="R372" s="9" t="n"/>
      <c r="W372" s="9" t="n"/>
      <c r="X372" s="9" t="n"/>
      <c r="Z372">
        <f>IF(A372="","",IF(AND(N372&lt;&gt;"",O372&lt;&gt;"",Q372&lt;&gt;"",R372&lt;&gt;"",S372="Y"),"YES","no"))</f>
        <v/>
      </c>
      <c r="AA372" s="9">
        <f>IF(Z372="YES",MAX(N372,O372,Q372,R372),"")</f>
        <v/>
      </c>
      <c r="AB372">
        <f>IF(A372="","",IF(X372&lt;&gt;"","13 Repeat activity",IF(W372&lt;&gt;"","12 First enquiry/order/booking",IF(Z372="YES","11 ACTIVATED",IF(Q372&lt;&gt;"","10 First listing live",IF(O372&lt;&gt;"","9 Profile completed",IF(N372&lt;&gt;"","8 Approved",IF(M372&lt;&gt;"","7 KYC submitted",IF(L372&lt;&gt;"","6 Registration completed",IF(K372&lt;&gt;"","5b Registration started",IF(H372&lt;&gt;"","5a Information sent",IF(G372&lt;&gt;"","5 Interested","—"))))))))))))</f>
        <v/>
      </c>
      <c r="AC372" s="10">
        <f>IF(A372="","",(COUNT(G372,H372,K372,L372,M372,N372,O372,Q372,R372)+(I372="Y")+(P372="Y")+(S372="Y"))/12)</f>
        <v/>
      </c>
      <c r="AD372">
        <f>IF(OR(A372="",COUNT(G372:X372)=0),"",TODAY()-MAX(G372,H372,K372,L372,M372,N372,O372,Q372,R372,W372,X372))</f>
        <v/>
      </c>
      <c r="AE372">
        <f>IF(A372="","",IF(AND(Z372&lt;&gt;"YES",AD372&lt;&gt;"",AD372&gt;THRESHOLDS!$B$12),"STUCK — act today",""))</f>
        <v/>
      </c>
      <c r="AF372">
        <f>IF(A372="","",IF(J372="Active (verified)","",IF(J372="","Ask GST status (readiness R2)","Escalate to founder: orders need verified GSTIN in current code — no tax advice")))</f>
        <v/>
      </c>
      <c r="AG372">
        <f>IF(AND(G372&lt;&gt;"",L372&lt;&gt;""),L372-G372,"")</f>
        <v/>
      </c>
      <c r="AH372">
        <f>IF(AND(L372&lt;&gt;"",N372&lt;&gt;""),N372-L372,"")</f>
        <v/>
      </c>
      <c r="AI372">
        <f>IF(AND(N372&lt;&gt;"",AA372&lt;&gt;""),AA372-N372,"")</f>
        <v/>
      </c>
      <c r="AJ372">
        <f>IF(AND(L372&lt;&gt;"",N372&lt;&gt;"",Q372&lt;&gt;""),"Qualifies (if FP-QUAL adopted)","")</f>
        <v/>
      </c>
    </row>
    <row r="373">
      <c r="G373" s="9" t="n"/>
      <c r="H373" s="9" t="n"/>
      <c r="K373" s="9" t="n"/>
      <c r="L373" s="9" t="n"/>
      <c r="M373" s="9" t="n"/>
      <c r="N373" s="9" t="n"/>
      <c r="O373" s="9" t="n"/>
      <c r="Q373" s="9" t="n"/>
      <c r="R373" s="9" t="n"/>
      <c r="W373" s="9" t="n"/>
      <c r="X373" s="9" t="n"/>
      <c r="Z373">
        <f>IF(A373="","",IF(AND(N373&lt;&gt;"",O373&lt;&gt;"",Q373&lt;&gt;"",R373&lt;&gt;"",S373="Y"),"YES","no"))</f>
        <v/>
      </c>
      <c r="AA373" s="9">
        <f>IF(Z373="YES",MAX(N373,O373,Q373,R373),"")</f>
        <v/>
      </c>
      <c r="AB373">
        <f>IF(A373="","",IF(X373&lt;&gt;"","13 Repeat activity",IF(W373&lt;&gt;"","12 First enquiry/order/booking",IF(Z373="YES","11 ACTIVATED",IF(Q373&lt;&gt;"","10 First listing live",IF(O373&lt;&gt;"","9 Profile completed",IF(N373&lt;&gt;"","8 Approved",IF(M373&lt;&gt;"","7 KYC submitted",IF(L373&lt;&gt;"","6 Registration completed",IF(K373&lt;&gt;"","5b Registration started",IF(H373&lt;&gt;"","5a Information sent",IF(G373&lt;&gt;"","5 Interested","—"))))))))))))</f>
        <v/>
      </c>
      <c r="AC373" s="10">
        <f>IF(A373="","",(COUNT(G373,H373,K373,L373,M373,N373,O373,Q373,R373)+(I373="Y")+(P373="Y")+(S373="Y"))/12)</f>
        <v/>
      </c>
      <c r="AD373">
        <f>IF(OR(A373="",COUNT(G373:X373)=0),"",TODAY()-MAX(G373,H373,K373,L373,M373,N373,O373,Q373,R373,W373,X373))</f>
        <v/>
      </c>
      <c r="AE373">
        <f>IF(A373="","",IF(AND(Z373&lt;&gt;"YES",AD373&lt;&gt;"",AD373&gt;THRESHOLDS!$B$12),"STUCK — act today",""))</f>
        <v/>
      </c>
      <c r="AF373">
        <f>IF(A373="","",IF(J373="Active (verified)","",IF(J373="","Ask GST status (readiness R2)","Escalate to founder: orders need verified GSTIN in current code — no tax advice")))</f>
        <v/>
      </c>
      <c r="AG373">
        <f>IF(AND(G373&lt;&gt;"",L373&lt;&gt;""),L373-G373,"")</f>
        <v/>
      </c>
      <c r="AH373">
        <f>IF(AND(L373&lt;&gt;"",N373&lt;&gt;""),N373-L373,"")</f>
        <v/>
      </c>
      <c r="AI373">
        <f>IF(AND(N373&lt;&gt;"",AA373&lt;&gt;""),AA373-N373,"")</f>
        <v/>
      </c>
      <c r="AJ373">
        <f>IF(AND(L373&lt;&gt;"",N373&lt;&gt;"",Q373&lt;&gt;""),"Qualifies (if FP-QUAL adopted)","")</f>
        <v/>
      </c>
    </row>
    <row r="374">
      <c r="G374" s="9" t="n"/>
      <c r="H374" s="9" t="n"/>
      <c r="K374" s="9" t="n"/>
      <c r="L374" s="9" t="n"/>
      <c r="M374" s="9" t="n"/>
      <c r="N374" s="9" t="n"/>
      <c r="O374" s="9" t="n"/>
      <c r="Q374" s="9" t="n"/>
      <c r="R374" s="9" t="n"/>
      <c r="W374" s="9" t="n"/>
      <c r="X374" s="9" t="n"/>
      <c r="Z374">
        <f>IF(A374="","",IF(AND(N374&lt;&gt;"",O374&lt;&gt;"",Q374&lt;&gt;"",R374&lt;&gt;"",S374="Y"),"YES","no"))</f>
        <v/>
      </c>
      <c r="AA374" s="9">
        <f>IF(Z374="YES",MAX(N374,O374,Q374,R374),"")</f>
        <v/>
      </c>
      <c r="AB374">
        <f>IF(A374="","",IF(X374&lt;&gt;"","13 Repeat activity",IF(W374&lt;&gt;"","12 First enquiry/order/booking",IF(Z374="YES","11 ACTIVATED",IF(Q374&lt;&gt;"","10 First listing live",IF(O374&lt;&gt;"","9 Profile completed",IF(N374&lt;&gt;"","8 Approved",IF(M374&lt;&gt;"","7 KYC submitted",IF(L374&lt;&gt;"","6 Registration completed",IF(K374&lt;&gt;"","5b Registration started",IF(H374&lt;&gt;"","5a Information sent",IF(G374&lt;&gt;"","5 Interested","—"))))))))))))</f>
        <v/>
      </c>
      <c r="AC374" s="10">
        <f>IF(A374="","",(COUNT(G374,H374,K374,L374,M374,N374,O374,Q374,R374)+(I374="Y")+(P374="Y")+(S374="Y"))/12)</f>
        <v/>
      </c>
      <c r="AD374">
        <f>IF(OR(A374="",COUNT(G374:X374)=0),"",TODAY()-MAX(G374,H374,K374,L374,M374,N374,O374,Q374,R374,W374,X374))</f>
        <v/>
      </c>
      <c r="AE374">
        <f>IF(A374="","",IF(AND(Z374&lt;&gt;"YES",AD374&lt;&gt;"",AD374&gt;THRESHOLDS!$B$12),"STUCK — act today",""))</f>
        <v/>
      </c>
      <c r="AF374">
        <f>IF(A374="","",IF(J374="Active (verified)","",IF(J374="","Ask GST status (readiness R2)","Escalate to founder: orders need verified GSTIN in current code — no tax advice")))</f>
        <v/>
      </c>
      <c r="AG374">
        <f>IF(AND(G374&lt;&gt;"",L374&lt;&gt;""),L374-G374,"")</f>
        <v/>
      </c>
      <c r="AH374">
        <f>IF(AND(L374&lt;&gt;"",N374&lt;&gt;""),N374-L374,"")</f>
        <v/>
      </c>
      <c r="AI374">
        <f>IF(AND(N374&lt;&gt;"",AA374&lt;&gt;""),AA374-N374,"")</f>
        <v/>
      </c>
      <c r="AJ374">
        <f>IF(AND(L374&lt;&gt;"",N374&lt;&gt;"",Q374&lt;&gt;""),"Qualifies (if FP-QUAL adopted)","")</f>
        <v/>
      </c>
    </row>
    <row r="375">
      <c r="G375" s="9" t="n"/>
      <c r="H375" s="9" t="n"/>
      <c r="K375" s="9" t="n"/>
      <c r="L375" s="9" t="n"/>
      <c r="M375" s="9" t="n"/>
      <c r="N375" s="9" t="n"/>
      <c r="O375" s="9" t="n"/>
      <c r="Q375" s="9" t="n"/>
      <c r="R375" s="9" t="n"/>
      <c r="W375" s="9" t="n"/>
      <c r="X375" s="9" t="n"/>
      <c r="Z375">
        <f>IF(A375="","",IF(AND(N375&lt;&gt;"",O375&lt;&gt;"",Q375&lt;&gt;"",R375&lt;&gt;"",S375="Y"),"YES","no"))</f>
        <v/>
      </c>
      <c r="AA375" s="9">
        <f>IF(Z375="YES",MAX(N375,O375,Q375,R375),"")</f>
        <v/>
      </c>
      <c r="AB375">
        <f>IF(A375="","",IF(X375&lt;&gt;"","13 Repeat activity",IF(W375&lt;&gt;"","12 First enquiry/order/booking",IF(Z375="YES","11 ACTIVATED",IF(Q375&lt;&gt;"","10 First listing live",IF(O375&lt;&gt;"","9 Profile completed",IF(N375&lt;&gt;"","8 Approved",IF(M375&lt;&gt;"","7 KYC submitted",IF(L375&lt;&gt;"","6 Registration completed",IF(K375&lt;&gt;"","5b Registration started",IF(H375&lt;&gt;"","5a Information sent",IF(G375&lt;&gt;"","5 Interested","—"))))))))))))</f>
        <v/>
      </c>
      <c r="AC375" s="10">
        <f>IF(A375="","",(COUNT(G375,H375,K375,L375,M375,N375,O375,Q375,R375)+(I375="Y")+(P375="Y")+(S375="Y"))/12)</f>
        <v/>
      </c>
      <c r="AD375">
        <f>IF(OR(A375="",COUNT(G375:X375)=0),"",TODAY()-MAX(G375,H375,K375,L375,M375,N375,O375,Q375,R375,W375,X375))</f>
        <v/>
      </c>
      <c r="AE375">
        <f>IF(A375="","",IF(AND(Z375&lt;&gt;"YES",AD375&lt;&gt;"",AD375&gt;THRESHOLDS!$B$12),"STUCK — act today",""))</f>
        <v/>
      </c>
      <c r="AF375">
        <f>IF(A375="","",IF(J375="Active (verified)","",IF(J375="","Ask GST status (readiness R2)","Escalate to founder: orders need verified GSTIN in current code — no tax advice")))</f>
        <v/>
      </c>
      <c r="AG375">
        <f>IF(AND(G375&lt;&gt;"",L375&lt;&gt;""),L375-G375,"")</f>
        <v/>
      </c>
      <c r="AH375">
        <f>IF(AND(L375&lt;&gt;"",N375&lt;&gt;""),N375-L375,"")</f>
        <v/>
      </c>
      <c r="AI375">
        <f>IF(AND(N375&lt;&gt;"",AA375&lt;&gt;""),AA375-N375,"")</f>
        <v/>
      </c>
      <c r="AJ375">
        <f>IF(AND(L375&lt;&gt;"",N375&lt;&gt;"",Q375&lt;&gt;""),"Qualifies (if FP-QUAL adopted)","")</f>
        <v/>
      </c>
    </row>
    <row r="376">
      <c r="G376" s="9" t="n"/>
      <c r="H376" s="9" t="n"/>
      <c r="K376" s="9" t="n"/>
      <c r="L376" s="9" t="n"/>
      <c r="M376" s="9" t="n"/>
      <c r="N376" s="9" t="n"/>
      <c r="O376" s="9" t="n"/>
      <c r="Q376" s="9" t="n"/>
      <c r="R376" s="9" t="n"/>
      <c r="W376" s="9" t="n"/>
      <c r="X376" s="9" t="n"/>
      <c r="Z376">
        <f>IF(A376="","",IF(AND(N376&lt;&gt;"",O376&lt;&gt;"",Q376&lt;&gt;"",R376&lt;&gt;"",S376="Y"),"YES","no"))</f>
        <v/>
      </c>
      <c r="AA376" s="9">
        <f>IF(Z376="YES",MAX(N376,O376,Q376,R376),"")</f>
        <v/>
      </c>
      <c r="AB376">
        <f>IF(A376="","",IF(X376&lt;&gt;"","13 Repeat activity",IF(W376&lt;&gt;"","12 First enquiry/order/booking",IF(Z376="YES","11 ACTIVATED",IF(Q376&lt;&gt;"","10 First listing live",IF(O376&lt;&gt;"","9 Profile completed",IF(N376&lt;&gt;"","8 Approved",IF(M376&lt;&gt;"","7 KYC submitted",IF(L376&lt;&gt;"","6 Registration completed",IF(K376&lt;&gt;"","5b Registration started",IF(H376&lt;&gt;"","5a Information sent",IF(G376&lt;&gt;"","5 Interested","—"))))))))))))</f>
        <v/>
      </c>
      <c r="AC376" s="10">
        <f>IF(A376="","",(COUNT(G376,H376,K376,L376,M376,N376,O376,Q376,R376)+(I376="Y")+(P376="Y")+(S376="Y"))/12)</f>
        <v/>
      </c>
      <c r="AD376">
        <f>IF(OR(A376="",COUNT(G376:X376)=0),"",TODAY()-MAX(G376,H376,K376,L376,M376,N376,O376,Q376,R376,W376,X376))</f>
        <v/>
      </c>
      <c r="AE376">
        <f>IF(A376="","",IF(AND(Z376&lt;&gt;"YES",AD376&lt;&gt;"",AD376&gt;THRESHOLDS!$B$12),"STUCK — act today",""))</f>
        <v/>
      </c>
      <c r="AF376">
        <f>IF(A376="","",IF(J376="Active (verified)","",IF(J376="","Ask GST status (readiness R2)","Escalate to founder: orders need verified GSTIN in current code — no tax advice")))</f>
        <v/>
      </c>
      <c r="AG376">
        <f>IF(AND(G376&lt;&gt;"",L376&lt;&gt;""),L376-G376,"")</f>
        <v/>
      </c>
      <c r="AH376">
        <f>IF(AND(L376&lt;&gt;"",N376&lt;&gt;""),N376-L376,"")</f>
        <v/>
      </c>
      <c r="AI376">
        <f>IF(AND(N376&lt;&gt;"",AA376&lt;&gt;""),AA376-N376,"")</f>
        <v/>
      </c>
      <c r="AJ376">
        <f>IF(AND(L376&lt;&gt;"",N376&lt;&gt;"",Q376&lt;&gt;""),"Qualifies (if FP-QUAL adopted)","")</f>
        <v/>
      </c>
    </row>
    <row r="377">
      <c r="G377" s="9" t="n"/>
      <c r="H377" s="9" t="n"/>
      <c r="K377" s="9" t="n"/>
      <c r="L377" s="9" t="n"/>
      <c r="M377" s="9" t="n"/>
      <c r="N377" s="9" t="n"/>
      <c r="O377" s="9" t="n"/>
      <c r="Q377" s="9" t="n"/>
      <c r="R377" s="9" t="n"/>
      <c r="W377" s="9" t="n"/>
      <c r="X377" s="9" t="n"/>
      <c r="Z377">
        <f>IF(A377="","",IF(AND(N377&lt;&gt;"",O377&lt;&gt;"",Q377&lt;&gt;"",R377&lt;&gt;"",S377="Y"),"YES","no"))</f>
        <v/>
      </c>
      <c r="AA377" s="9">
        <f>IF(Z377="YES",MAX(N377,O377,Q377,R377),"")</f>
        <v/>
      </c>
      <c r="AB377">
        <f>IF(A377="","",IF(X377&lt;&gt;"","13 Repeat activity",IF(W377&lt;&gt;"","12 First enquiry/order/booking",IF(Z377="YES","11 ACTIVATED",IF(Q377&lt;&gt;"","10 First listing live",IF(O377&lt;&gt;"","9 Profile completed",IF(N377&lt;&gt;"","8 Approved",IF(M377&lt;&gt;"","7 KYC submitted",IF(L377&lt;&gt;"","6 Registration completed",IF(K377&lt;&gt;"","5b Registration started",IF(H377&lt;&gt;"","5a Information sent",IF(G377&lt;&gt;"","5 Interested","—"))))))))))))</f>
        <v/>
      </c>
      <c r="AC377" s="10">
        <f>IF(A377="","",(COUNT(G377,H377,K377,L377,M377,N377,O377,Q377,R377)+(I377="Y")+(P377="Y")+(S377="Y"))/12)</f>
        <v/>
      </c>
      <c r="AD377">
        <f>IF(OR(A377="",COUNT(G377:X377)=0),"",TODAY()-MAX(G377,H377,K377,L377,M377,N377,O377,Q377,R377,W377,X377))</f>
        <v/>
      </c>
      <c r="AE377">
        <f>IF(A377="","",IF(AND(Z377&lt;&gt;"YES",AD377&lt;&gt;"",AD377&gt;THRESHOLDS!$B$12),"STUCK — act today",""))</f>
        <v/>
      </c>
      <c r="AF377">
        <f>IF(A377="","",IF(J377="Active (verified)","",IF(J377="","Ask GST status (readiness R2)","Escalate to founder: orders need verified GSTIN in current code — no tax advice")))</f>
        <v/>
      </c>
      <c r="AG377">
        <f>IF(AND(G377&lt;&gt;"",L377&lt;&gt;""),L377-G377,"")</f>
        <v/>
      </c>
      <c r="AH377">
        <f>IF(AND(L377&lt;&gt;"",N377&lt;&gt;""),N377-L377,"")</f>
        <v/>
      </c>
      <c r="AI377">
        <f>IF(AND(N377&lt;&gt;"",AA377&lt;&gt;""),AA377-N377,"")</f>
        <v/>
      </c>
      <c r="AJ377">
        <f>IF(AND(L377&lt;&gt;"",N377&lt;&gt;"",Q377&lt;&gt;""),"Qualifies (if FP-QUAL adopted)","")</f>
        <v/>
      </c>
    </row>
    <row r="378">
      <c r="G378" s="9" t="n"/>
      <c r="H378" s="9" t="n"/>
      <c r="K378" s="9" t="n"/>
      <c r="L378" s="9" t="n"/>
      <c r="M378" s="9" t="n"/>
      <c r="N378" s="9" t="n"/>
      <c r="O378" s="9" t="n"/>
      <c r="Q378" s="9" t="n"/>
      <c r="R378" s="9" t="n"/>
      <c r="W378" s="9" t="n"/>
      <c r="X378" s="9" t="n"/>
      <c r="Z378">
        <f>IF(A378="","",IF(AND(N378&lt;&gt;"",O378&lt;&gt;"",Q378&lt;&gt;"",R378&lt;&gt;"",S378="Y"),"YES","no"))</f>
        <v/>
      </c>
      <c r="AA378" s="9">
        <f>IF(Z378="YES",MAX(N378,O378,Q378,R378),"")</f>
        <v/>
      </c>
      <c r="AB378">
        <f>IF(A378="","",IF(X378&lt;&gt;"","13 Repeat activity",IF(W378&lt;&gt;"","12 First enquiry/order/booking",IF(Z378="YES","11 ACTIVATED",IF(Q378&lt;&gt;"","10 First listing live",IF(O378&lt;&gt;"","9 Profile completed",IF(N378&lt;&gt;"","8 Approved",IF(M378&lt;&gt;"","7 KYC submitted",IF(L378&lt;&gt;"","6 Registration completed",IF(K378&lt;&gt;"","5b Registration started",IF(H378&lt;&gt;"","5a Information sent",IF(G378&lt;&gt;"","5 Interested","—"))))))))))))</f>
        <v/>
      </c>
      <c r="AC378" s="10">
        <f>IF(A378="","",(COUNT(G378,H378,K378,L378,M378,N378,O378,Q378,R378)+(I378="Y")+(P378="Y")+(S378="Y"))/12)</f>
        <v/>
      </c>
      <c r="AD378">
        <f>IF(OR(A378="",COUNT(G378:X378)=0),"",TODAY()-MAX(G378,H378,K378,L378,M378,N378,O378,Q378,R378,W378,X378))</f>
        <v/>
      </c>
      <c r="AE378">
        <f>IF(A378="","",IF(AND(Z378&lt;&gt;"YES",AD378&lt;&gt;"",AD378&gt;THRESHOLDS!$B$12),"STUCK — act today",""))</f>
        <v/>
      </c>
      <c r="AF378">
        <f>IF(A378="","",IF(J378="Active (verified)","",IF(J378="","Ask GST status (readiness R2)","Escalate to founder: orders need verified GSTIN in current code — no tax advice")))</f>
        <v/>
      </c>
      <c r="AG378">
        <f>IF(AND(G378&lt;&gt;"",L378&lt;&gt;""),L378-G378,"")</f>
        <v/>
      </c>
      <c r="AH378">
        <f>IF(AND(L378&lt;&gt;"",N378&lt;&gt;""),N378-L378,"")</f>
        <v/>
      </c>
      <c r="AI378">
        <f>IF(AND(N378&lt;&gt;"",AA378&lt;&gt;""),AA378-N378,"")</f>
        <v/>
      </c>
      <c r="AJ378">
        <f>IF(AND(L378&lt;&gt;"",N378&lt;&gt;"",Q378&lt;&gt;""),"Qualifies (if FP-QUAL adopted)","")</f>
        <v/>
      </c>
    </row>
    <row r="379">
      <c r="G379" s="9" t="n"/>
      <c r="H379" s="9" t="n"/>
      <c r="K379" s="9" t="n"/>
      <c r="L379" s="9" t="n"/>
      <c r="M379" s="9" t="n"/>
      <c r="N379" s="9" t="n"/>
      <c r="O379" s="9" t="n"/>
      <c r="Q379" s="9" t="n"/>
      <c r="R379" s="9" t="n"/>
      <c r="W379" s="9" t="n"/>
      <c r="X379" s="9" t="n"/>
      <c r="Z379">
        <f>IF(A379="","",IF(AND(N379&lt;&gt;"",O379&lt;&gt;"",Q379&lt;&gt;"",R379&lt;&gt;"",S379="Y"),"YES","no"))</f>
        <v/>
      </c>
      <c r="AA379" s="9">
        <f>IF(Z379="YES",MAX(N379,O379,Q379,R379),"")</f>
        <v/>
      </c>
      <c r="AB379">
        <f>IF(A379="","",IF(X379&lt;&gt;"","13 Repeat activity",IF(W379&lt;&gt;"","12 First enquiry/order/booking",IF(Z379="YES","11 ACTIVATED",IF(Q379&lt;&gt;"","10 First listing live",IF(O379&lt;&gt;"","9 Profile completed",IF(N379&lt;&gt;"","8 Approved",IF(M379&lt;&gt;"","7 KYC submitted",IF(L379&lt;&gt;"","6 Registration completed",IF(K379&lt;&gt;"","5b Registration started",IF(H379&lt;&gt;"","5a Information sent",IF(G379&lt;&gt;"","5 Interested","—"))))))))))))</f>
        <v/>
      </c>
      <c r="AC379" s="10">
        <f>IF(A379="","",(COUNT(G379,H379,K379,L379,M379,N379,O379,Q379,R379)+(I379="Y")+(P379="Y")+(S379="Y"))/12)</f>
        <v/>
      </c>
      <c r="AD379">
        <f>IF(OR(A379="",COUNT(G379:X379)=0),"",TODAY()-MAX(G379,H379,K379,L379,M379,N379,O379,Q379,R379,W379,X379))</f>
        <v/>
      </c>
      <c r="AE379">
        <f>IF(A379="","",IF(AND(Z379&lt;&gt;"YES",AD379&lt;&gt;"",AD379&gt;THRESHOLDS!$B$12),"STUCK — act today",""))</f>
        <v/>
      </c>
      <c r="AF379">
        <f>IF(A379="","",IF(J379="Active (verified)","",IF(J379="","Ask GST status (readiness R2)","Escalate to founder: orders need verified GSTIN in current code — no tax advice")))</f>
        <v/>
      </c>
      <c r="AG379">
        <f>IF(AND(G379&lt;&gt;"",L379&lt;&gt;""),L379-G379,"")</f>
        <v/>
      </c>
      <c r="AH379">
        <f>IF(AND(L379&lt;&gt;"",N379&lt;&gt;""),N379-L379,"")</f>
        <v/>
      </c>
      <c r="AI379">
        <f>IF(AND(N379&lt;&gt;"",AA379&lt;&gt;""),AA379-N379,"")</f>
        <v/>
      </c>
      <c r="AJ379">
        <f>IF(AND(L379&lt;&gt;"",N379&lt;&gt;"",Q379&lt;&gt;""),"Qualifies (if FP-QUAL adopted)","")</f>
        <v/>
      </c>
    </row>
    <row r="380">
      <c r="G380" s="9" t="n"/>
      <c r="H380" s="9" t="n"/>
      <c r="K380" s="9" t="n"/>
      <c r="L380" s="9" t="n"/>
      <c r="M380" s="9" t="n"/>
      <c r="N380" s="9" t="n"/>
      <c r="O380" s="9" t="n"/>
      <c r="Q380" s="9" t="n"/>
      <c r="R380" s="9" t="n"/>
      <c r="W380" s="9" t="n"/>
      <c r="X380" s="9" t="n"/>
      <c r="Z380">
        <f>IF(A380="","",IF(AND(N380&lt;&gt;"",O380&lt;&gt;"",Q380&lt;&gt;"",R380&lt;&gt;"",S380="Y"),"YES","no"))</f>
        <v/>
      </c>
      <c r="AA380" s="9">
        <f>IF(Z380="YES",MAX(N380,O380,Q380,R380),"")</f>
        <v/>
      </c>
      <c r="AB380">
        <f>IF(A380="","",IF(X380&lt;&gt;"","13 Repeat activity",IF(W380&lt;&gt;"","12 First enquiry/order/booking",IF(Z380="YES","11 ACTIVATED",IF(Q380&lt;&gt;"","10 First listing live",IF(O380&lt;&gt;"","9 Profile completed",IF(N380&lt;&gt;"","8 Approved",IF(M380&lt;&gt;"","7 KYC submitted",IF(L380&lt;&gt;"","6 Registration completed",IF(K380&lt;&gt;"","5b Registration started",IF(H380&lt;&gt;"","5a Information sent",IF(G380&lt;&gt;"","5 Interested","—"))))))))))))</f>
        <v/>
      </c>
      <c r="AC380" s="10">
        <f>IF(A380="","",(COUNT(G380,H380,K380,L380,M380,N380,O380,Q380,R380)+(I380="Y")+(P380="Y")+(S380="Y"))/12)</f>
        <v/>
      </c>
      <c r="AD380">
        <f>IF(OR(A380="",COUNT(G380:X380)=0),"",TODAY()-MAX(G380,H380,K380,L380,M380,N380,O380,Q380,R380,W380,X380))</f>
        <v/>
      </c>
      <c r="AE380">
        <f>IF(A380="","",IF(AND(Z380&lt;&gt;"YES",AD380&lt;&gt;"",AD380&gt;THRESHOLDS!$B$12),"STUCK — act today",""))</f>
        <v/>
      </c>
      <c r="AF380">
        <f>IF(A380="","",IF(J380="Active (verified)","",IF(J380="","Ask GST status (readiness R2)","Escalate to founder: orders need verified GSTIN in current code — no tax advice")))</f>
        <v/>
      </c>
      <c r="AG380">
        <f>IF(AND(G380&lt;&gt;"",L380&lt;&gt;""),L380-G380,"")</f>
        <v/>
      </c>
      <c r="AH380">
        <f>IF(AND(L380&lt;&gt;"",N380&lt;&gt;""),N380-L380,"")</f>
        <v/>
      </c>
      <c r="AI380">
        <f>IF(AND(N380&lt;&gt;"",AA380&lt;&gt;""),AA380-N380,"")</f>
        <v/>
      </c>
      <c r="AJ380">
        <f>IF(AND(L380&lt;&gt;"",N380&lt;&gt;"",Q380&lt;&gt;""),"Qualifies (if FP-QUAL adopted)","")</f>
        <v/>
      </c>
    </row>
    <row r="381">
      <c r="G381" s="9" t="n"/>
      <c r="H381" s="9" t="n"/>
      <c r="K381" s="9" t="n"/>
      <c r="L381" s="9" t="n"/>
      <c r="M381" s="9" t="n"/>
      <c r="N381" s="9" t="n"/>
      <c r="O381" s="9" t="n"/>
      <c r="Q381" s="9" t="n"/>
      <c r="R381" s="9" t="n"/>
      <c r="W381" s="9" t="n"/>
      <c r="X381" s="9" t="n"/>
      <c r="Z381">
        <f>IF(A381="","",IF(AND(N381&lt;&gt;"",O381&lt;&gt;"",Q381&lt;&gt;"",R381&lt;&gt;"",S381="Y"),"YES","no"))</f>
        <v/>
      </c>
      <c r="AA381" s="9">
        <f>IF(Z381="YES",MAX(N381,O381,Q381,R381),"")</f>
        <v/>
      </c>
      <c r="AB381">
        <f>IF(A381="","",IF(X381&lt;&gt;"","13 Repeat activity",IF(W381&lt;&gt;"","12 First enquiry/order/booking",IF(Z381="YES","11 ACTIVATED",IF(Q381&lt;&gt;"","10 First listing live",IF(O381&lt;&gt;"","9 Profile completed",IF(N381&lt;&gt;"","8 Approved",IF(M381&lt;&gt;"","7 KYC submitted",IF(L381&lt;&gt;"","6 Registration completed",IF(K381&lt;&gt;"","5b Registration started",IF(H381&lt;&gt;"","5a Information sent",IF(G381&lt;&gt;"","5 Interested","—"))))))))))))</f>
        <v/>
      </c>
      <c r="AC381" s="10">
        <f>IF(A381="","",(COUNT(G381,H381,K381,L381,M381,N381,O381,Q381,R381)+(I381="Y")+(P381="Y")+(S381="Y"))/12)</f>
        <v/>
      </c>
      <c r="AD381">
        <f>IF(OR(A381="",COUNT(G381:X381)=0),"",TODAY()-MAX(G381,H381,K381,L381,M381,N381,O381,Q381,R381,W381,X381))</f>
        <v/>
      </c>
      <c r="AE381">
        <f>IF(A381="","",IF(AND(Z381&lt;&gt;"YES",AD381&lt;&gt;"",AD381&gt;THRESHOLDS!$B$12),"STUCK — act today",""))</f>
        <v/>
      </c>
      <c r="AF381">
        <f>IF(A381="","",IF(J381="Active (verified)","",IF(J381="","Ask GST status (readiness R2)","Escalate to founder: orders need verified GSTIN in current code — no tax advice")))</f>
        <v/>
      </c>
      <c r="AG381">
        <f>IF(AND(G381&lt;&gt;"",L381&lt;&gt;""),L381-G381,"")</f>
        <v/>
      </c>
      <c r="AH381">
        <f>IF(AND(L381&lt;&gt;"",N381&lt;&gt;""),N381-L381,"")</f>
        <v/>
      </c>
      <c r="AI381">
        <f>IF(AND(N381&lt;&gt;"",AA381&lt;&gt;""),AA381-N381,"")</f>
        <v/>
      </c>
      <c r="AJ381">
        <f>IF(AND(L381&lt;&gt;"",N381&lt;&gt;"",Q381&lt;&gt;""),"Qualifies (if FP-QUAL adopted)","")</f>
        <v/>
      </c>
    </row>
    <row r="382">
      <c r="G382" s="9" t="n"/>
      <c r="H382" s="9" t="n"/>
      <c r="K382" s="9" t="n"/>
      <c r="L382" s="9" t="n"/>
      <c r="M382" s="9" t="n"/>
      <c r="N382" s="9" t="n"/>
      <c r="O382" s="9" t="n"/>
      <c r="Q382" s="9" t="n"/>
      <c r="R382" s="9" t="n"/>
      <c r="W382" s="9" t="n"/>
      <c r="X382" s="9" t="n"/>
      <c r="Z382">
        <f>IF(A382="","",IF(AND(N382&lt;&gt;"",O382&lt;&gt;"",Q382&lt;&gt;"",R382&lt;&gt;"",S382="Y"),"YES","no"))</f>
        <v/>
      </c>
      <c r="AA382" s="9">
        <f>IF(Z382="YES",MAX(N382,O382,Q382,R382),"")</f>
        <v/>
      </c>
      <c r="AB382">
        <f>IF(A382="","",IF(X382&lt;&gt;"","13 Repeat activity",IF(W382&lt;&gt;"","12 First enquiry/order/booking",IF(Z382="YES","11 ACTIVATED",IF(Q382&lt;&gt;"","10 First listing live",IF(O382&lt;&gt;"","9 Profile completed",IF(N382&lt;&gt;"","8 Approved",IF(M382&lt;&gt;"","7 KYC submitted",IF(L382&lt;&gt;"","6 Registration completed",IF(K382&lt;&gt;"","5b Registration started",IF(H382&lt;&gt;"","5a Information sent",IF(G382&lt;&gt;"","5 Interested","—"))))))))))))</f>
        <v/>
      </c>
      <c r="AC382" s="10">
        <f>IF(A382="","",(COUNT(G382,H382,K382,L382,M382,N382,O382,Q382,R382)+(I382="Y")+(P382="Y")+(S382="Y"))/12)</f>
        <v/>
      </c>
      <c r="AD382">
        <f>IF(OR(A382="",COUNT(G382:X382)=0),"",TODAY()-MAX(G382,H382,K382,L382,M382,N382,O382,Q382,R382,W382,X382))</f>
        <v/>
      </c>
      <c r="AE382">
        <f>IF(A382="","",IF(AND(Z382&lt;&gt;"YES",AD382&lt;&gt;"",AD382&gt;THRESHOLDS!$B$12),"STUCK — act today",""))</f>
        <v/>
      </c>
      <c r="AF382">
        <f>IF(A382="","",IF(J382="Active (verified)","",IF(J382="","Ask GST status (readiness R2)","Escalate to founder: orders need verified GSTIN in current code — no tax advice")))</f>
        <v/>
      </c>
      <c r="AG382">
        <f>IF(AND(G382&lt;&gt;"",L382&lt;&gt;""),L382-G382,"")</f>
        <v/>
      </c>
      <c r="AH382">
        <f>IF(AND(L382&lt;&gt;"",N382&lt;&gt;""),N382-L382,"")</f>
        <v/>
      </c>
      <c r="AI382">
        <f>IF(AND(N382&lt;&gt;"",AA382&lt;&gt;""),AA382-N382,"")</f>
        <v/>
      </c>
      <c r="AJ382">
        <f>IF(AND(L382&lt;&gt;"",N382&lt;&gt;"",Q382&lt;&gt;""),"Qualifies (if FP-QUAL adopted)","")</f>
        <v/>
      </c>
    </row>
    <row r="383">
      <c r="G383" s="9" t="n"/>
      <c r="H383" s="9" t="n"/>
      <c r="K383" s="9" t="n"/>
      <c r="L383" s="9" t="n"/>
      <c r="M383" s="9" t="n"/>
      <c r="N383" s="9" t="n"/>
      <c r="O383" s="9" t="n"/>
      <c r="Q383" s="9" t="n"/>
      <c r="R383" s="9" t="n"/>
      <c r="W383" s="9" t="n"/>
      <c r="X383" s="9" t="n"/>
      <c r="Z383">
        <f>IF(A383="","",IF(AND(N383&lt;&gt;"",O383&lt;&gt;"",Q383&lt;&gt;"",R383&lt;&gt;"",S383="Y"),"YES","no"))</f>
        <v/>
      </c>
      <c r="AA383" s="9">
        <f>IF(Z383="YES",MAX(N383,O383,Q383,R383),"")</f>
        <v/>
      </c>
      <c r="AB383">
        <f>IF(A383="","",IF(X383&lt;&gt;"","13 Repeat activity",IF(W383&lt;&gt;"","12 First enquiry/order/booking",IF(Z383="YES","11 ACTIVATED",IF(Q383&lt;&gt;"","10 First listing live",IF(O383&lt;&gt;"","9 Profile completed",IF(N383&lt;&gt;"","8 Approved",IF(M383&lt;&gt;"","7 KYC submitted",IF(L383&lt;&gt;"","6 Registration completed",IF(K383&lt;&gt;"","5b Registration started",IF(H383&lt;&gt;"","5a Information sent",IF(G383&lt;&gt;"","5 Interested","—"))))))))))))</f>
        <v/>
      </c>
      <c r="AC383" s="10">
        <f>IF(A383="","",(COUNT(G383,H383,K383,L383,M383,N383,O383,Q383,R383)+(I383="Y")+(P383="Y")+(S383="Y"))/12)</f>
        <v/>
      </c>
      <c r="AD383">
        <f>IF(OR(A383="",COUNT(G383:X383)=0),"",TODAY()-MAX(G383,H383,K383,L383,M383,N383,O383,Q383,R383,W383,X383))</f>
        <v/>
      </c>
      <c r="AE383">
        <f>IF(A383="","",IF(AND(Z383&lt;&gt;"YES",AD383&lt;&gt;"",AD383&gt;THRESHOLDS!$B$12),"STUCK — act today",""))</f>
        <v/>
      </c>
      <c r="AF383">
        <f>IF(A383="","",IF(J383="Active (verified)","",IF(J383="","Ask GST status (readiness R2)","Escalate to founder: orders need verified GSTIN in current code — no tax advice")))</f>
        <v/>
      </c>
      <c r="AG383">
        <f>IF(AND(G383&lt;&gt;"",L383&lt;&gt;""),L383-G383,"")</f>
        <v/>
      </c>
      <c r="AH383">
        <f>IF(AND(L383&lt;&gt;"",N383&lt;&gt;""),N383-L383,"")</f>
        <v/>
      </c>
      <c r="AI383">
        <f>IF(AND(N383&lt;&gt;"",AA383&lt;&gt;""),AA383-N383,"")</f>
        <v/>
      </c>
      <c r="AJ383">
        <f>IF(AND(L383&lt;&gt;"",N383&lt;&gt;"",Q383&lt;&gt;""),"Qualifies (if FP-QUAL adopted)","")</f>
        <v/>
      </c>
    </row>
    <row r="384">
      <c r="G384" s="9" t="n"/>
      <c r="H384" s="9" t="n"/>
      <c r="K384" s="9" t="n"/>
      <c r="L384" s="9" t="n"/>
      <c r="M384" s="9" t="n"/>
      <c r="N384" s="9" t="n"/>
      <c r="O384" s="9" t="n"/>
      <c r="Q384" s="9" t="n"/>
      <c r="R384" s="9" t="n"/>
      <c r="W384" s="9" t="n"/>
      <c r="X384" s="9" t="n"/>
      <c r="Z384">
        <f>IF(A384="","",IF(AND(N384&lt;&gt;"",O384&lt;&gt;"",Q384&lt;&gt;"",R384&lt;&gt;"",S384="Y"),"YES","no"))</f>
        <v/>
      </c>
      <c r="AA384" s="9">
        <f>IF(Z384="YES",MAX(N384,O384,Q384,R384),"")</f>
        <v/>
      </c>
      <c r="AB384">
        <f>IF(A384="","",IF(X384&lt;&gt;"","13 Repeat activity",IF(W384&lt;&gt;"","12 First enquiry/order/booking",IF(Z384="YES","11 ACTIVATED",IF(Q384&lt;&gt;"","10 First listing live",IF(O384&lt;&gt;"","9 Profile completed",IF(N384&lt;&gt;"","8 Approved",IF(M384&lt;&gt;"","7 KYC submitted",IF(L384&lt;&gt;"","6 Registration completed",IF(K384&lt;&gt;"","5b Registration started",IF(H384&lt;&gt;"","5a Information sent",IF(G384&lt;&gt;"","5 Interested","—"))))))))))))</f>
        <v/>
      </c>
      <c r="AC384" s="10">
        <f>IF(A384="","",(COUNT(G384,H384,K384,L384,M384,N384,O384,Q384,R384)+(I384="Y")+(P384="Y")+(S384="Y"))/12)</f>
        <v/>
      </c>
      <c r="AD384">
        <f>IF(OR(A384="",COUNT(G384:X384)=0),"",TODAY()-MAX(G384,H384,K384,L384,M384,N384,O384,Q384,R384,W384,X384))</f>
        <v/>
      </c>
      <c r="AE384">
        <f>IF(A384="","",IF(AND(Z384&lt;&gt;"YES",AD384&lt;&gt;"",AD384&gt;THRESHOLDS!$B$12),"STUCK — act today",""))</f>
        <v/>
      </c>
      <c r="AF384">
        <f>IF(A384="","",IF(J384="Active (verified)","",IF(J384="","Ask GST status (readiness R2)","Escalate to founder: orders need verified GSTIN in current code — no tax advice")))</f>
        <v/>
      </c>
      <c r="AG384">
        <f>IF(AND(G384&lt;&gt;"",L384&lt;&gt;""),L384-G384,"")</f>
        <v/>
      </c>
      <c r="AH384">
        <f>IF(AND(L384&lt;&gt;"",N384&lt;&gt;""),N384-L384,"")</f>
        <v/>
      </c>
      <c r="AI384">
        <f>IF(AND(N384&lt;&gt;"",AA384&lt;&gt;""),AA384-N384,"")</f>
        <v/>
      </c>
      <c r="AJ384">
        <f>IF(AND(L384&lt;&gt;"",N384&lt;&gt;"",Q384&lt;&gt;""),"Qualifies (if FP-QUAL adopted)","")</f>
        <v/>
      </c>
    </row>
    <row r="385">
      <c r="G385" s="9" t="n"/>
      <c r="H385" s="9" t="n"/>
      <c r="K385" s="9" t="n"/>
      <c r="L385" s="9" t="n"/>
      <c r="M385" s="9" t="n"/>
      <c r="N385" s="9" t="n"/>
      <c r="O385" s="9" t="n"/>
      <c r="Q385" s="9" t="n"/>
      <c r="R385" s="9" t="n"/>
      <c r="W385" s="9" t="n"/>
      <c r="X385" s="9" t="n"/>
      <c r="Z385">
        <f>IF(A385="","",IF(AND(N385&lt;&gt;"",O385&lt;&gt;"",Q385&lt;&gt;"",R385&lt;&gt;"",S385="Y"),"YES","no"))</f>
        <v/>
      </c>
      <c r="AA385" s="9">
        <f>IF(Z385="YES",MAX(N385,O385,Q385,R385),"")</f>
        <v/>
      </c>
      <c r="AB385">
        <f>IF(A385="","",IF(X385&lt;&gt;"","13 Repeat activity",IF(W385&lt;&gt;"","12 First enquiry/order/booking",IF(Z385="YES","11 ACTIVATED",IF(Q385&lt;&gt;"","10 First listing live",IF(O385&lt;&gt;"","9 Profile completed",IF(N385&lt;&gt;"","8 Approved",IF(M385&lt;&gt;"","7 KYC submitted",IF(L385&lt;&gt;"","6 Registration completed",IF(K385&lt;&gt;"","5b Registration started",IF(H385&lt;&gt;"","5a Information sent",IF(G385&lt;&gt;"","5 Interested","—"))))))))))))</f>
        <v/>
      </c>
      <c r="AC385" s="10">
        <f>IF(A385="","",(COUNT(G385,H385,K385,L385,M385,N385,O385,Q385,R385)+(I385="Y")+(P385="Y")+(S385="Y"))/12)</f>
        <v/>
      </c>
      <c r="AD385">
        <f>IF(OR(A385="",COUNT(G385:X385)=0),"",TODAY()-MAX(G385,H385,K385,L385,M385,N385,O385,Q385,R385,W385,X385))</f>
        <v/>
      </c>
      <c r="AE385">
        <f>IF(A385="","",IF(AND(Z385&lt;&gt;"YES",AD385&lt;&gt;"",AD385&gt;THRESHOLDS!$B$12),"STUCK — act today",""))</f>
        <v/>
      </c>
      <c r="AF385">
        <f>IF(A385="","",IF(J385="Active (verified)","",IF(J385="","Ask GST status (readiness R2)","Escalate to founder: orders need verified GSTIN in current code — no tax advice")))</f>
        <v/>
      </c>
      <c r="AG385">
        <f>IF(AND(G385&lt;&gt;"",L385&lt;&gt;""),L385-G385,"")</f>
        <v/>
      </c>
      <c r="AH385">
        <f>IF(AND(L385&lt;&gt;"",N385&lt;&gt;""),N385-L385,"")</f>
        <v/>
      </c>
      <c r="AI385">
        <f>IF(AND(N385&lt;&gt;"",AA385&lt;&gt;""),AA385-N385,"")</f>
        <v/>
      </c>
      <c r="AJ385">
        <f>IF(AND(L385&lt;&gt;"",N385&lt;&gt;"",Q385&lt;&gt;""),"Qualifies (if FP-QUAL adopted)","")</f>
        <v/>
      </c>
    </row>
    <row r="386">
      <c r="G386" s="9" t="n"/>
      <c r="H386" s="9" t="n"/>
      <c r="K386" s="9" t="n"/>
      <c r="L386" s="9" t="n"/>
      <c r="M386" s="9" t="n"/>
      <c r="N386" s="9" t="n"/>
      <c r="O386" s="9" t="n"/>
      <c r="Q386" s="9" t="n"/>
      <c r="R386" s="9" t="n"/>
      <c r="W386" s="9" t="n"/>
      <c r="X386" s="9" t="n"/>
      <c r="Z386">
        <f>IF(A386="","",IF(AND(N386&lt;&gt;"",O386&lt;&gt;"",Q386&lt;&gt;"",R386&lt;&gt;"",S386="Y"),"YES","no"))</f>
        <v/>
      </c>
      <c r="AA386" s="9">
        <f>IF(Z386="YES",MAX(N386,O386,Q386,R386),"")</f>
        <v/>
      </c>
      <c r="AB386">
        <f>IF(A386="","",IF(X386&lt;&gt;"","13 Repeat activity",IF(W386&lt;&gt;"","12 First enquiry/order/booking",IF(Z386="YES","11 ACTIVATED",IF(Q386&lt;&gt;"","10 First listing live",IF(O386&lt;&gt;"","9 Profile completed",IF(N386&lt;&gt;"","8 Approved",IF(M386&lt;&gt;"","7 KYC submitted",IF(L386&lt;&gt;"","6 Registration completed",IF(K386&lt;&gt;"","5b Registration started",IF(H386&lt;&gt;"","5a Information sent",IF(G386&lt;&gt;"","5 Interested","—"))))))))))))</f>
        <v/>
      </c>
      <c r="AC386" s="10">
        <f>IF(A386="","",(COUNT(G386,H386,K386,L386,M386,N386,O386,Q386,R386)+(I386="Y")+(P386="Y")+(S386="Y"))/12)</f>
        <v/>
      </c>
      <c r="AD386">
        <f>IF(OR(A386="",COUNT(G386:X386)=0),"",TODAY()-MAX(G386,H386,K386,L386,M386,N386,O386,Q386,R386,W386,X386))</f>
        <v/>
      </c>
      <c r="AE386">
        <f>IF(A386="","",IF(AND(Z386&lt;&gt;"YES",AD386&lt;&gt;"",AD386&gt;THRESHOLDS!$B$12),"STUCK — act today",""))</f>
        <v/>
      </c>
      <c r="AF386">
        <f>IF(A386="","",IF(J386="Active (verified)","",IF(J386="","Ask GST status (readiness R2)","Escalate to founder: orders need verified GSTIN in current code — no tax advice")))</f>
        <v/>
      </c>
      <c r="AG386">
        <f>IF(AND(G386&lt;&gt;"",L386&lt;&gt;""),L386-G386,"")</f>
        <v/>
      </c>
      <c r="AH386">
        <f>IF(AND(L386&lt;&gt;"",N386&lt;&gt;""),N386-L386,"")</f>
        <v/>
      </c>
      <c r="AI386">
        <f>IF(AND(N386&lt;&gt;"",AA386&lt;&gt;""),AA386-N386,"")</f>
        <v/>
      </c>
      <c r="AJ386">
        <f>IF(AND(L386&lt;&gt;"",N386&lt;&gt;"",Q386&lt;&gt;""),"Qualifies (if FP-QUAL adopted)","")</f>
        <v/>
      </c>
    </row>
    <row r="387">
      <c r="G387" s="9" t="n"/>
      <c r="H387" s="9" t="n"/>
      <c r="K387" s="9" t="n"/>
      <c r="L387" s="9" t="n"/>
      <c r="M387" s="9" t="n"/>
      <c r="N387" s="9" t="n"/>
      <c r="O387" s="9" t="n"/>
      <c r="Q387" s="9" t="n"/>
      <c r="R387" s="9" t="n"/>
      <c r="W387" s="9" t="n"/>
      <c r="X387" s="9" t="n"/>
      <c r="Z387">
        <f>IF(A387="","",IF(AND(N387&lt;&gt;"",O387&lt;&gt;"",Q387&lt;&gt;"",R387&lt;&gt;"",S387="Y"),"YES","no"))</f>
        <v/>
      </c>
      <c r="AA387" s="9">
        <f>IF(Z387="YES",MAX(N387,O387,Q387,R387),"")</f>
        <v/>
      </c>
      <c r="AB387">
        <f>IF(A387="","",IF(X387&lt;&gt;"","13 Repeat activity",IF(W387&lt;&gt;"","12 First enquiry/order/booking",IF(Z387="YES","11 ACTIVATED",IF(Q387&lt;&gt;"","10 First listing live",IF(O387&lt;&gt;"","9 Profile completed",IF(N387&lt;&gt;"","8 Approved",IF(M387&lt;&gt;"","7 KYC submitted",IF(L387&lt;&gt;"","6 Registration completed",IF(K387&lt;&gt;"","5b Registration started",IF(H387&lt;&gt;"","5a Information sent",IF(G387&lt;&gt;"","5 Interested","—"))))))))))))</f>
        <v/>
      </c>
      <c r="AC387" s="10">
        <f>IF(A387="","",(COUNT(G387,H387,K387,L387,M387,N387,O387,Q387,R387)+(I387="Y")+(P387="Y")+(S387="Y"))/12)</f>
        <v/>
      </c>
      <c r="AD387">
        <f>IF(OR(A387="",COUNT(G387:X387)=0),"",TODAY()-MAX(G387,H387,K387,L387,M387,N387,O387,Q387,R387,W387,X387))</f>
        <v/>
      </c>
      <c r="AE387">
        <f>IF(A387="","",IF(AND(Z387&lt;&gt;"YES",AD387&lt;&gt;"",AD387&gt;THRESHOLDS!$B$12),"STUCK — act today",""))</f>
        <v/>
      </c>
      <c r="AF387">
        <f>IF(A387="","",IF(J387="Active (verified)","",IF(J387="","Ask GST status (readiness R2)","Escalate to founder: orders need verified GSTIN in current code — no tax advice")))</f>
        <v/>
      </c>
      <c r="AG387">
        <f>IF(AND(G387&lt;&gt;"",L387&lt;&gt;""),L387-G387,"")</f>
        <v/>
      </c>
      <c r="AH387">
        <f>IF(AND(L387&lt;&gt;"",N387&lt;&gt;""),N387-L387,"")</f>
        <v/>
      </c>
      <c r="AI387">
        <f>IF(AND(N387&lt;&gt;"",AA387&lt;&gt;""),AA387-N387,"")</f>
        <v/>
      </c>
      <c r="AJ387">
        <f>IF(AND(L387&lt;&gt;"",N387&lt;&gt;"",Q387&lt;&gt;""),"Qualifies (if FP-QUAL adopted)","")</f>
        <v/>
      </c>
    </row>
    <row r="388">
      <c r="G388" s="9" t="n"/>
      <c r="H388" s="9" t="n"/>
      <c r="K388" s="9" t="n"/>
      <c r="L388" s="9" t="n"/>
      <c r="M388" s="9" t="n"/>
      <c r="N388" s="9" t="n"/>
      <c r="O388" s="9" t="n"/>
      <c r="Q388" s="9" t="n"/>
      <c r="R388" s="9" t="n"/>
      <c r="W388" s="9" t="n"/>
      <c r="X388" s="9" t="n"/>
      <c r="Z388">
        <f>IF(A388="","",IF(AND(N388&lt;&gt;"",O388&lt;&gt;"",Q388&lt;&gt;"",R388&lt;&gt;"",S388="Y"),"YES","no"))</f>
        <v/>
      </c>
      <c r="AA388" s="9">
        <f>IF(Z388="YES",MAX(N388,O388,Q388,R388),"")</f>
        <v/>
      </c>
      <c r="AB388">
        <f>IF(A388="","",IF(X388&lt;&gt;"","13 Repeat activity",IF(W388&lt;&gt;"","12 First enquiry/order/booking",IF(Z388="YES","11 ACTIVATED",IF(Q388&lt;&gt;"","10 First listing live",IF(O388&lt;&gt;"","9 Profile completed",IF(N388&lt;&gt;"","8 Approved",IF(M388&lt;&gt;"","7 KYC submitted",IF(L388&lt;&gt;"","6 Registration completed",IF(K388&lt;&gt;"","5b Registration started",IF(H388&lt;&gt;"","5a Information sent",IF(G388&lt;&gt;"","5 Interested","—"))))))))))))</f>
        <v/>
      </c>
      <c r="AC388" s="10">
        <f>IF(A388="","",(COUNT(G388,H388,K388,L388,M388,N388,O388,Q388,R388)+(I388="Y")+(P388="Y")+(S388="Y"))/12)</f>
        <v/>
      </c>
      <c r="AD388">
        <f>IF(OR(A388="",COUNT(G388:X388)=0),"",TODAY()-MAX(G388,H388,K388,L388,M388,N388,O388,Q388,R388,W388,X388))</f>
        <v/>
      </c>
      <c r="AE388">
        <f>IF(A388="","",IF(AND(Z388&lt;&gt;"YES",AD388&lt;&gt;"",AD388&gt;THRESHOLDS!$B$12),"STUCK — act today",""))</f>
        <v/>
      </c>
      <c r="AF388">
        <f>IF(A388="","",IF(J388="Active (verified)","",IF(J388="","Ask GST status (readiness R2)","Escalate to founder: orders need verified GSTIN in current code — no tax advice")))</f>
        <v/>
      </c>
      <c r="AG388">
        <f>IF(AND(G388&lt;&gt;"",L388&lt;&gt;""),L388-G388,"")</f>
        <v/>
      </c>
      <c r="AH388">
        <f>IF(AND(L388&lt;&gt;"",N388&lt;&gt;""),N388-L388,"")</f>
        <v/>
      </c>
      <c r="AI388">
        <f>IF(AND(N388&lt;&gt;"",AA388&lt;&gt;""),AA388-N388,"")</f>
        <v/>
      </c>
      <c r="AJ388">
        <f>IF(AND(L388&lt;&gt;"",N388&lt;&gt;"",Q388&lt;&gt;""),"Qualifies (if FP-QUAL adopted)","")</f>
        <v/>
      </c>
    </row>
    <row r="389">
      <c r="G389" s="9" t="n"/>
      <c r="H389" s="9" t="n"/>
      <c r="K389" s="9" t="n"/>
      <c r="L389" s="9" t="n"/>
      <c r="M389" s="9" t="n"/>
      <c r="N389" s="9" t="n"/>
      <c r="O389" s="9" t="n"/>
      <c r="Q389" s="9" t="n"/>
      <c r="R389" s="9" t="n"/>
      <c r="W389" s="9" t="n"/>
      <c r="X389" s="9" t="n"/>
      <c r="Z389">
        <f>IF(A389="","",IF(AND(N389&lt;&gt;"",O389&lt;&gt;"",Q389&lt;&gt;"",R389&lt;&gt;"",S389="Y"),"YES","no"))</f>
        <v/>
      </c>
      <c r="AA389" s="9">
        <f>IF(Z389="YES",MAX(N389,O389,Q389,R389),"")</f>
        <v/>
      </c>
      <c r="AB389">
        <f>IF(A389="","",IF(X389&lt;&gt;"","13 Repeat activity",IF(W389&lt;&gt;"","12 First enquiry/order/booking",IF(Z389="YES","11 ACTIVATED",IF(Q389&lt;&gt;"","10 First listing live",IF(O389&lt;&gt;"","9 Profile completed",IF(N389&lt;&gt;"","8 Approved",IF(M389&lt;&gt;"","7 KYC submitted",IF(L389&lt;&gt;"","6 Registration completed",IF(K389&lt;&gt;"","5b Registration started",IF(H389&lt;&gt;"","5a Information sent",IF(G389&lt;&gt;"","5 Interested","—"))))))))))))</f>
        <v/>
      </c>
      <c r="AC389" s="10">
        <f>IF(A389="","",(COUNT(G389,H389,K389,L389,M389,N389,O389,Q389,R389)+(I389="Y")+(P389="Y")+(S389="Y"))/12)</f>
        <v/>
      </c>
      <c r="AD389">
        <f>IF(OR(A389="",COUNT(G389:X389)=0),"",TODAY()-MAX(G389,H389,K389,L389,M389,N389,O389,Q389,R389,W389,X389))</f>
        <v/>
      </c>
      <c r="AE389">
        <f>IF(A389="","",IF(AND(Z389&lt;&gt;"YES",AD389&lt;&gt;"",AD389&gt;THRESHOLDS!$B$12),"STUCK — act today",""))</f>
        <v/>
      </c>
      <c r="AF389">
        <f>IF(A389="","",IF(J389="Active (verified)","",IF(J389="","Ask GST status (readiness R2)","Escalate to founder: orders need verified GSTIN in current code — no tax advice")))</f>
        <v/>
      </c>
      <c r="AG389">
        <f>IF(AND(G389&lt;&gt;"",L389&lt;&gt;""),L389-G389,"")</f>
        <v/>
      </c>
      <c r="AH389">
        <f>IF(AND(L389&lt;&gt;"",N389&lt;&gt;""),N389-L389,"")</f>
        <v/>
      </c>
      <c r="AI389">
        <f>IF(AND(N389&lt;&gt;"",AA389&lt;&gt;""),AA389-N389,"")</f>
        <v/>
      </c>
      <c r="AJ389">
        <f>IF(AND(L389&lt;&gt;"",N389&lt;&gt;"",Q389&lt;&gt;""),"Qualifies (if FP-QUAL adopted)","")</f>
        <v/>
      </c>
    </row>
    <row r="390">
      <c r="G390" s="9" t="n"/>
      <c r="H390" s="9" t="n"/>
      <c r="K390" s="9" t="n"/>
      <c r="L390" s="9" t="n"/>
      <c r="M390" s="9" t="n"/>
      <c r="N390" s="9" t="n"/>
      <c r="O390" s="9" t="n"/>
      <c r="Q390" s="9" t="n"/>
      <c r="R390" s="9" t="n"/>
      <c r="W390" s="9" t="n"/>
      <c r="X390" s="9" t="n"/>
      <c r="Z390">
        <f>IF(A390="","",IF(AND(N390&lt;&gt;"",O390&lt;&gt;"",Q390&lt;&gt;"",R390&lt;&gt;"",S390="Y"),"YES","no"))</f>
        <v/>
      </c>
      <c r="AA390" s="9">
        <f>IF(Z390="YES",MAX(N390,O390,Q390,R390),"")</f>
        <v/>
      </c>
      <c r="AB390">
        <f>IF(A390="","",IF(X390&lt;&gt;"","13 Repeat activity",IF(W390&lt;&gt;"","12 First enquiry/order/booking",IF(Z390="YES","11 ACTIVATED",IF(Q390&lt;&gt;"","10 First listing live",IF(O390&lt;&gt;"","9 Profile completed",IF(N390&lt;&gt;"","8 Approved",IF(M390&lt;&gt;"","7 KYC submitted",IF(L390&lt;&gt;"","6 Registration completed",IF(K390&lt;&gt;"","5b Registration started",IF(H390&lt;&gt;"","5a Information sent",IF(G390&lt;&gt;"","5 Interested","—"))))))))))))</f>
        <v/>
      </c>
      <c r="AC390" s="10">
        <f>IF(A390="","",(COUNT(G390,H390,K390,L390,M390,N390,O390,Q390,R390)+(I390="Y")+(P390="Y")+(S390="Y"))/12)</f>
        <v/>
      </c>
      <c r="AD390">
        <f>IF(OR(A390="",COUNT(G390:X390)=0),"",TODAY()-MAX(G390,H390,K390,L390,M390,N390,O390,Q390,R390,W390,X390))</f>
        <v/>
      </c>
      <c r="AE390">
        <f>IF(A390="","",IF(AND(Z390&lt;&gt;"YES",AD390&lt;&gt;"",AD390&gt;THRESHOLDS!$B$12),"STUCK — act today",""))</f>
        <v/>
      </c>
      <c r="AF390">
        <f>IF(A390="","",IF(J390="Active (verified)","",IF(J390="","Ask GST status (readiness R2)","Escalate to founder: orders need verified GSTIN in current code — no tax advice")))</f>
        <v/>
      </c>
      <c r="AG390">
        <f>IF(AND(G390&lt;&gt;"",L390&lt;&gt;""),L390-G390,"")</f>
        <v/>
      </c>
      <c r="AH390">
        <f>IF(AND(L390&lt;&gt;"",N390&lt;&gt;""),N390-L390,"")</f>
        <v/>
      </c>
      <c r="AI390">
        <f>IF(AND(N390&lt;&gt;"",AA390&lt;&gt;""),AA390-N390,"")</f>
        <v/>
      </c>
      <c r="AJ390">
        <f>IF(AND(L390&lt;&gt;"",N390&lt;&gt;"",Q390&lt;&gt;""),"Qualifies (if FP-QUAL adopted)","")</f>
        <v/>
      </c>
    </row>
    <row r="391">
      <c r="G391" s="9" t="n"/>
      <c r="H391" s="9" t="n"/>
      <c r="K391" s="9" t="n"/>
      <c r="L391" s="9" t="n"/>
      <c r="M391" s="9" t="n"/>
      <c r="N391" s="9" t="n"/>
      <c r="O391" s="9" t="n"/>
      <c r="Q391" s="9" t="n"/>
      <c r="R391" s="9" t="n"/>
      <c r="W391" s="9" t="n"/>
      <c r="X391" s="9" t="n"/>
      <c r="Z391">
        <f>IF(A391="","",IF(AND(N391&lt;&gt;"",O391&lt;&gt;"",Q391&lt;&gt;"",R391&lt;&gt;"",S391="Y"),"YES","no"))</f>
        <v/>
      </c>
      <c r="AA391" s="9">
        <f>IF(Z391="YES",MAX(N391,O391,Q391,R391),"")</f>
        <v/>
      </c>
      <c r="AB391">
        <f>IF(A391="","",IF(X391&lt;&gt;"","13 Repeat activity",IF(W391&lt;&gt;"","12 First enquiry/order/booking",IF(Z391="YES","11 ACTIVATED",IF(Q391&lt;&gt;"","10 First listing live",IF(O391&lt;&gt;"","9 Profile completed",IF(N391&lt;&gt;"","8 Approved",IF(M391&lt;&gt;"","7 KYC submitted",IF(L391&lt;&gt;"","6 Registration completed",IF(K391&lt;&gt;"","5b Registration started",IF(H391&lt;&gt;"","5a Information sent",IF(G391&lt;&gt;"","5 Interested","—"))))))))))))</f>
        <v/>
      </c>
      <c r="AC391" s="10">
        <f>IF(A391="","",(COUNT(G391,H391,K391,L391,M391,N391,O391,Q391,R391)+(I391="Y")+(P391="Y")+(S391="Y"))/12)</f>
        <v/>
      </c>
      <c r="AD391">
        <f>IF(OR(A391="",COUNT(G391:X391)=0),"",TODAY()-MAX(G391,H391,K391,L391,M391,N391,O391,Q391,R391,W391,X391))</f>
        <v/>
      </c>
      <c r="AE391">
        <f>IF(A391="","",IF(AND(Z391&lt;&gt;"YES",AD391&lt;&gt;"",AD391&gt;THRESHOLDS!$B$12),"STUCK — act today",""))</f>
        <v/>
      </c>
      <c r="AF391">
        <f>IF(A391="","",IF(J391="Active (verified)","",IF(J391="","Ask GST status (readiness R2)","Escalate to founder: orders need verified GSTIN in current code — no tax advice")))</f>
        <v/>
      </c>
      <c r="AG391">
        <f>IF(AND(G391&lt;&gt;"",L391&lt;&gt;""),L391-G391,"")</f>
        <v/>
      </c>
      <c r="AH391">
        <f>IF(AND(L391&lt;&gt;"",N391&lt;&gt;""),N391-L391,"")</f>
        <v/>
      </c>
      <c r="AI391">
        <f>IF(AND(N391&lt;&gt;"",AA391&lt;&gt;""),AA391-N391,"")</f>
        <v/>
      </c>
      <c r="AJ391">
        <f>IF(AND(L391&lt;&gt;"",N391&lt;&gt;"",Q391&lt;&gt;""),"Qualifies (if FP-QUAL adopted)","")</f>
        <v/>
      </c>
    </row>
    <row r="392">
      <c r="G392" s="9" t="n"/>
      <c r="H392" s="9" t="n"/>
      <c r="K392" s="9" t="n"/>
      <c r="L392" s="9" t="n"/>
      <c r="M392" s="9" t="n"/>
      <c r="N392" s="9" t="n"/>
      <c r="O392" s="9" t="n"/>
      <c r="Q392" s="9" t="n"/>
      <c r="R392" s="9" t="n"/>
      <c r="W392" s="9" t="n"/>
      <c r="X392" s="9" t="n"/>
      <c r="Z392">
        <f>IF(A392="","",IF(AND(N392&lt;&gt;"",O392&lt;&gt;"",Q392&lt;&gt;"",R392&lt;&gt;"",S392="Y"),"YES","no"))</f>
        <v/>
      </c>
      <c r="AA392" s="9">
        <f>IF(Z392="YES",MAX(N392,O392,Q392,R392),"")</f>
        <v/>
      </c>
      <c r="AB392">
        <f>IF(A392="","",IF(X392&lt;&gt;"","13 Repeat activity",IF(W392&lt;&gt;"","12 First enquiry/order/booking",IF(Z392="YES","11 ACTIVATED",IF(Q392&lt;&gt;"","10 First listing live",IF(O392&lt;&gt;"","9 Profile completed",IF(N392&lt;&gt;"","8 Approved",IF(M392&lt;&gt;"","7 KYC submitted",IF(L392&lt;&gt;"","6 Registration completed",IF(K392&lt;&gt;"","5b Registration started",IF(H392&lt;&gt;"","5a Information sent",IF(G392&lt;&gt;"","5 Interested","—"))))))))))))</f>
        <v/>
      </c>
      <c r="AC392" s="10">
        <f>IF(A392="","",(COUNT(G392,H392,K392,L392,M392,N392,O392,Q392,R392)+(I392="Y")+(P392="Y")+(S392="Y"))/12)</f>
        <v/>
      </c>
      <c r="AD392">
        <f>IF(OR(A392="",COUNT(G392:X392)=0),"",TODAY()-MAX(G392,H392,K392,L392,M392,N392,O392,Q392,R392,W392,X392))</f>
        <v/>
      </c>
      <c r="AE392">
        <f>IF(A392="","",IF(AND(Z392&lt;&gt;"YES",AD392&lt;&gt;"",AD392&gt;THRESHOLDS!$B$12),"STUCK — act today",""))</f>
        <v/>
      </c>
      <c r="AF392">
        <f>IF(A392="","",IF(J392="Active (verified)","",IF(J392="","Ask GST status (readiness R2)","Escalate to founder: orders need verified GSTIN in current code — no tax advice")))</f>
        <v/>
      </c>
      <c r="AG392">
        <f>IF(AND(G392&lt;&gt;"",L392&lt;&gt;""),L392-G392,"")</f>
        <v/>
      </c>
      <c r="AH392">
        <f>IF(AND(L392&lt;&gt;"",N392&lt;&gt;""),N392-L392,"")</f>
        <v/>
      </c>
      <c r="AI392">
        <f>IF(AND(N392&lt;&gt;"",AA392&lt;&gt;""),AA392-N392,"")</f>
        <v/>
      </c>
      <c r="AJ392">
        <f>IF(AND(L392&lt;&gt;"",N392&lt;&gt;"",Q392&lt;&gt;""),"Qualifies (if FP-QUAL adopted)","")</f>
        <v/>
      </c>
    </row>
    <row r="393">
      <c r="G393" s="9" t="n"/>
      <c r="H393" s="9" t="n"/>
      <c r="K393" s="9" t="n"/>
      <c r="L393" s="9" t="n"/>
      <c r="M393" s="9" t="n"/>
      <c r="N393" s="9" t="n"/>
      <c r="O393" s="9" t="n"/>
      <c r="Q393" s="9" t="n"/>
      <c r="R393" s="9" t="n"/>
      <c r="W393" s="9" t="n"/>
      <c r="X393" s="9" t="n"/>
      <c r="Z393">
        <f>IF(A393="","",IF(AND(N393&lt;&gt;"",O393&lt;&gt;"",Q393&lt;&gt;"",R393&lt;&gt;"",S393="Y"),"YES","no"))</f>
        <v/>
      </c>
      <c r="AA393" s="9">
        <f>IF(Z393="YES",MAX(N393,O393,Q393,R393),"")</f>
        <v/>
      </c>
      <c r="AB393">
        <f>IF(A393="","",IF(X393&lt;&gt;"","13 Repeat activity",IF(W393&lt;&gt;"","12 First enquiry/order/booking",IF(Z393="YES","11 ACTIVATED",IF(Q393&lt;&gt;"","10 First listing live",IF(O393&lt;&gt;"","9 Profile completed",IF(N393&lt;&gt;"","8 Approved",IF(M393&lt;&gt;"","7 KYC submitted",IF(L393&lt;&gt;"","6 Registration completed",IF(K393&lt;&gt;"","5b Registration started",IF(H393&lt;&gt;"","5a Information sent",IF(G393&lt;&gt;"","5 Interested","—"))))))))))))</f>
        <v/>
      </c>
      <c r="AC393" s="10">
        <f>IF(A393="","",(COUNT(G393,H393,K393,L393,M393,N393,O393,Q393,R393)+(I393="Y")+(P393="Y")+(S393="Y"))/12)</f>
        <v/>
      </c>
      <c r="AD393">
        <f>IF(OR(A393="",COUNT(G393:X393)=0),"",TODAY()-MAX(G393,H393,K393,L393,M393,N393,O393,Q393,R393,W393,X393))</f>
        <v/>
      </c>
      <c r="AE393">
        <f>IF(A393="","",IF(AND(Z393&lt;&gt;"YES",AD393&lt;&gt;"",AD393&gt;THRESHOLDS!$B$12),"STUCK — act today",""))</f>
        <v/>
      </c>
      <c r="AF393">
        <f>IF(A393="","",IF(J393="Active (verified)","",IF(J393="","Ask GST status (readiness R2)","Escalate to founder: orders need verified GSTIN in current code — no tax advice")))</f>
        <v/>
      </c>
      <c r="AG393">
        <f>IF(AND(G393&lt;&gt;"",L393&lt;&gt;""),L393-G393,"")</f>
        <v/>
      </c>
      <c r="AH393">
        <f>IF(AND(L393&lt;&gt;"",N393&lt;&gt;""),N393-L393,"")</f>
        <v/>
      </c>
      <c r="AI393">
        <f>IF(AND(N393&lt;&gt;"",AA393&lt;&gt;""),AA393-N393,"")</f>
        <v/>
      </c>
      <c r="AJ393">
        <f>IF(AND(L393&lt;&gt;"",N393&lt;&gt;"",Q393&lt;&gt;""),"Qualifies (if FP-QUAL adopted)","")</f>
        <v/>
      </c>
    </row>
    <row r="394">
      <c r="G394" s="9" t="n"/>
      <c r="H394" s="9" t="n"/>
      <c r="K394" s="9" t="n"/>
      <c r="L394" s="9" t="n"/>
      <c r="M394" s="9" t="n"/>
      <c r="N394" s="9" t="n"/>
      <c r="O394" s="9" t="n"/>
      <c r="Q394" s="9" t="n"/>
      <c r="R394" s="9" t="n"/>
      <c r="W394" s="9" t="n"/>
      <c r="X394" s="9" t="n"/>
      <c r="Z394">
        <f>IF(A394="","",IF(AND(N394&lt;&gt;"",O394&lt;&gt;"",Q394&lt;&gt;"",R394&lt;&gt;"",S394="Y"),"YES","no"))</f>
        <v/>
      </c>
      <c r="AA394" s="9">
        <f>IF(Z394="YES",MAX(N394,O394,Q394,R394),"")</f>
        <v/>
      </c>
      <c r="AB394">
        <f>IF(A394="","",IF(X394&lt;&gt;"","13 Repeat activity",IF(W394&lt;&gt;"","12 First enquiry/order/booking",IF(Z394="YES","11 ACTIVATED",IF(Q394&lt;&gt;"","10 First listing live",IF(O394&lt;&gt;"","9 Profile completed",IF(N394&lt;&gt;"","8 Approved",IF(M394&lt;&gt;"","7 KYC submitted",IF(L394&lt;&gt;"","6 Registration completed",IF(K394&lt;&gt;"","5b Registration started",IF(H394&lt;&gt;"","5a Information sent",IF(G394&lt;&gt;"","5 Interested","—"))))))))))))</f>
        <v/>
      </c>
      <c r="AC394" s="10">
        <f>IF(A394="","",(COUNT(G394,H394,K394,L394,M394,N394,O394,Q394,R394)+(I394="Y")+(P394="Y")+(S394="Y"))/12)</f>
        <v/>
      </c>
      <c r="AD394">
        <f>IF(OR(A394="",COUNT(G394:X394)=0),"",TODAY()-MAX(G394,H394,K394,L394,M394,N394,O394,Q394,R394,W394,X394))</f>
        <v/>
      </c>
      <c r="AE394">
        <f>IF(A394="","",IF(AND(Z394&lt;&gt;"YES",AD394&lt;&gt;"",AD394&gt;THRESHOLDS!$B$12),"STUCK — act today",""))</f>
        <v/>
      </c>
      <c r="AF394">
        <f>IF(A394="","",IF(J394="Active (verified)","",IF(J394="","Ask GST status (readiness R2)","Escalate to founder: orders need verified GSTIN in current code — no tax advice")))</f>
        <v/>
      </c>
      <c r="AG394">
        <f>IF(AND(G394&lt;&gt;"",L394&lt;&gt;""),L394-G394,"")</f>
        <v/>
      </c>
      <c r="AH394">
        <f>IF(AND(L394&lt;&gt;"",N394&lt;&gt;""),N394-L394,"")</f>
        <v/>
      </c>
      <c r="AI394">
        <f>IF(AND(N394&lt;&gt;"",AA394&lt;&gt;""),AA394-N394,"")</f>
        <v/>
      </c>
      <c r="AJ394">
        <f>IF(AND(L394&lt;&gt;"",N394&lt;&gt;"",Q394&lt;&gt;""),"Qualifies (if FP-QUAL adopted)","")</f>
        <v/>
      </c>
    </row>
    <row r="395">
      <c r="G395" s="9" t="n"/>
      <c r="H395" s="9" t="n"/>
      <c r="K395" s="9" t="n"/>
      <c r="L395" s="9" t="n"/>
      <c r="M395" s="9" t="n"/>
      <c r="N395" s="9" t="n"/>
      <c r="O395" s="9" t="n"/>
      <c r="Q395" s="9" t="n"/>
      <c r="R395" s="9" t="n"/>
      <c r="W395" s="9" t="n"/>
      <c r="X395" s="9" t="n"/>
      <c r="Z395">
        <f>IF(A395="","",IF(AND(N395&lt;&gt;"",O395&lt;&gt;"",Q395&lt;&gt;"",R395&lt;&gt;"",S395="Y"),"YES","no"))</f>
        <v/>
      </c>
      <c r="AA395" s="9">
        <f>IF(Z395="YES",MAX(N395,O395,Q395,R395),"")</f>
        <v/>
      </c>
      <c r="AB395">
        <f>IF(A395="","",IF(X395&lt;&gt;"","13 Repeat activity",IF(W395&lt;&gt;"","12 First enquiry/order/booking",IF(Z395="YES","11 ACTIVATED",IF(Q395&lt;&gt;"","10 First listing live",IF(O395&lt;&gt;"","9 Profile completed",IF(N395&lt;&gt;"","8 Approved",IF(M395&lt;&gt;"","7 KYC submitted",IF(L395&lt;&gt;"","6 Registration completed",IF(K395&lt;&gt;"","5b Registration started",IF(H395&lt;&gt;"","5a Information sent",IF(G395&lt;&gt;"","5 Interested","—"))))))))))))</f>
        <v/>
      </c>
      <c r="AC395" s="10">
        <f>IF(A395="","",(COUNT(G395,H395,K395,L395,M395,N395,O395,Q395,R395)+(I395="Y")+(P395="Y")+(S395="Y"))/12)</f>
        <v/>
      </c>
      <c r="AD395">
        <f>IF(OR(A395="",COUNT(G395:X395)=0),"",TODAY()-MAX(G395,H395,K395,L395,M395,N395,O395,Q395,R395,W395,X395))</f>
        <v/>
      </c>
      <c r="AE395">
        <f>IF(A395="","",IF(AND(Z395&lt;&gt;"YES",AD395&lt;&gt;"",AD395&gt;THRESHOLDS!$B$12),"STUCK — act today",""))</f>
        <v/>
      </c>
      <c r="AF395">
        <f>IF(A395="","",IF(J395="Active (verified)","",IF(J395="","Ask GST status (readiness R2)","Escalate to founder: orders need verified GSTIN in current code — no tax advice")))</f>
        <v/>
      </c>
      <c r="AG395">
        <f>IF(AND(G395&lt;&gt;"",L395&lt;&gt;""),L395-G395,"")</f>
        <v/>
      </c>
      <c r="AH395">
        <f>IF(AND(L395&lt;&gt;"",N395&lt;&gt;""),N395-L395,"")</f>
        <v/>
      </c>
      <c r="AI395">
        <f>IF(AND(N395&lt;&gt;"",AA395&lt;&gt;""),AA395-N395,"")</f>
        <v/>
      </c>
      <c r="AJ395">
        <f>IF(AND(L395&lt;&gt;"",N395&lt;&gt;"",Q395&lt;&gt;""),"Qualifies (if FP-QUAL adopted)","")</f>
        <v/>
      </c>
    </row>
    <row r="396">
      <c r="G396" s="9" t="n"/>
      <c r="H396" s="9" t="n"/>
      <c r="K396" s="9" t="n"/>
      <c r="L396" s="9" t="n"/>
      <c r="M396" s="9" t="n"/>
      <c r="N396" s="9" t="n"/>
      <c r="O396" s="9" t="n"/>
      <c r="Q396" s="9" t="n"/>
      <c r="R396" s="9" t="n"/>
      <c r="W396" s="9" t="n"/>
      <c r="X396" s="9" t="n"/>
      <c r="Z396">
        <f>IF(A396="","",IF(AND(N396&lt;&gt;"",O396&lt;&gt;"",Q396&lt;&gt;"",R396&lt;&gt;"",S396="Y"),"YES","no"))</f>
        <v/>
      </c>
      <c r="AA396" s="9">
        <f>IF(Z396="YES",MAX(N396,O396,Q396,R396),"")</f>
        <v/>
      </c>
      <c r="AB396">
        <f>IF(A396="","",IF(X396&lt;&gt;"","13 Repeat activity",IF(W396&lt;&gt;"","12 First enquiry/order/booking",IF(Z396="YES","11 ACTIVATED",IF(Q396&lt;&gt;"","10 First listing live",IF(O396&lt;&gt;"","9 Profile completed",IF(N396&lt;&gt;"","8 Approved",IF(M396&lt;&gt;"","7 KYC submitted",IF(L396&lt;&gt;"","6 Registration completed",IF(K396&lt;&gt;"","5b Registration started",IF(H396&lt;&gt;"","5a Information sent",IF(G396&lt;&gt;"","5 Interested","—"))))))))))))</f>
        <v/>
      </c>
      <c r="AC396" s="10">
        <f>IF(A396="","",(COUNT(G396,H396,K396,L396,M396,N396,O396,Q396,R396)+(I396="Y")+(P396="Y")+(S396="Y"))/12)</f>
        <v/>
      </c>
      <c r="AD396">
        <f>IF(OR(A396="",COUNT(G396:X396)=0),"",TODAY()-MAX(G396,H396,K396,L396,M396,N396,O396,Q396,R396,W396,X396))</f>
        <v/>
      </c>
      <c r="AE396">
        <f>IF(A396="","",IF(AND(Z396&lt;&gt;"YES",AD396&lt;&gt;"",AD396&gt;THRESHOLDS!$B$12),"STUCK — act today",""))</f>
        <v/>
      </c>
      <c r="AF396">
        <f>IF(A396="","",IF(J396="Active (verified)","",IF(J396="","Ask GST status (readiness R2)","Escalate to founder: orders need verified GSTIN in current code — no tax advice")))</f>
        <v/>
      </c>
      <c r="AG396">
        <f>IF(AND(G396&lt;&gt;"",L396&lt;&gt;""),L396-G396,"")</f>
        <v/>
      </c>
      <c r="AH396">
        <f>IF(AND(L396&lt;&gt;"",N396&lt;&gt;""),N396-L396,"")</f>
        <v/>
      </c>
      <c r="AI396">
        <f>IF(AND(N396&lt;&gt;"",AA396&lt;&gt;""),AA396-N396,"")</f>
        <v/>
      </c>
      <c r="AJ396">
        <f>IF(AND(L396&lt;&gt;"",N396&lt;&gt;"",Q396&lt;&gt;""),"Qualifies (if FP-QUAL adopted)","")</f>
        <v/>
      </c>
    </row>
    <row r="397">
      <c r="G397" s="9" t="n"/>
      <c r="H397" s="9" t="n"/>
      <c r="K397" s="9" t="n"/>
      <c r="L397" s="9" t="n"/>
      <c r="M397" s="9" t="n"/>
      <c r="N397" s="9" t="n"/>
      <c r="O397" s="9" t="n"/>
      <c r="Q397" s="9" t="n"/>
      <c r="R397" s="9" t="n"/>
      <c r="W397" s="9" t="n"/>
      <c r="X397" s="9" t="n"/>
      <c r="Z397">
        <f>IF(A397="","",IF(AND(N397&lt;&gt;"",O397&lt;&gt;"",Q397&lt;&gt;"",R397&lt;&gt;"",S397="Y"),"YES","no"))</f>
        <v/>
      </c>
      <c r="AA397" s="9">
        <f>IF(Z397="YES",MAX(N397,O397,Q397,R397),"")</f>
        <v/>
      </c>
      <c r="AB397">
        <f>IF(A397="","",IF(X397&lt;&gt;"","13 Repeat activity",IF(W397&lt;&gt;"","12 First enquiry/order/booking",IF(Z397="YES","11 ACTIVATED",IF(Q397&lt;&gt;"","10 First listing live",IF(O397&lt;&gt;"","9 Profile completed",IF(N397&lt;&gt;"","8 Approved",IF(M397&lt;&gt;"","7 KYC submitted",IF(L397&lt;&gt;"","6 Registration completed",IF(K397&lt;&gt;"","5b Registration started",IF(H397&lt;&gt;"","5a Information sent",IF(G397&lt;&gt;"","5 Interested","—"))))))))))))</f>
        <v/>
      </c>
      <c r="AC397" s="10">
        <f>IF(A397="","",(COUNT(G397,H397,K397,L397,M397,N397,O397,Q397,R397)+(I397="Y")+(P397="Y")+(S397="Y"))/12)</f>
        <v/>
      </c>
      <c r="AD397">
        <f>IF(OR(A397="",COUNT(G397:X397)=0),"",TODAY()-MAX(G397,H397,K397,L397,M397,N397,O397,Q397,R397,W397,X397))</f>
        <v/>
      </c>
      <c r="AE397">
        <f>IF(A397="","",IF(AND(Z397&lt;&gt;"YES",AD397&lt;&gt;"",AD397&gt;THRESHOLDS!$B$12),"STUCK — act today",""))</f>
        <v/>
      </c>
      <c r="AF397">
        <f>IF(A397="","",IF(J397="Active (verified)","",IF(J397="","Ask GST status (readiness R2)","Escalate to founder: orders need verified GSTIN in current code — no tax advice")))</f>
        <v/>
      </c>
      <c r="AG397">
        <f>IF(AND(G397&lt;&gt;"",L397&lt;&gt;""),L397-G397,"")</f>
        <v/>
      </c>
      <c r="AH397">
        <f>IF(AND(L397&lt;&gt;"",N397&lt;&gt;""),N397-L397,"")</f>
        <v/>
      </c>
      <c r="AI397">
        <f>IF(AND(N397&lt;&gt;"",AA397&lt;&gt;""),AA397-N397,"")</f>
        <v/>
      </c>
      <c r="AJ397">
        <f>IF(AND(L397&lt;&gt;"",N397&lt;&gt;"",Q397&lt;&gt;""),"Qualifies (if FP-QUAL adopted)","")</f>
        <v/>
      </c>
    </row>
    <row r="398">
      <c r="G398" s="9" t="n"/>
      <c r="H398" s="9" t="n"/>
      <c r="K398" s="9" t="n"/>
      <c r="L398" s="9" t="n"/>
      <c r="M398" s="9" t="n"/>
      <c r="N398" s="9" t="n"/>
      <c r="O398" s="9" t="n"/>
      <c r="Q398" s="9" t="n"/>
      <c r="R398" s="9" t="n"/>
      <c r="W398" s="9" t="n"/>
      <c r="X398" s="9" t="n"/>
      <c r="Z398">
        <f>IF(A398="","",IF(AND(N398&lt;&gt;"",O398&lt;&gt;"",Q398&lt;&gt;"",R398&lt;&gt;"",S398="Y"),"YES","no"))</f>
        <v/>
      </c>
      <c r="AA398" s="9">
        <f>IF(Z398="YES",MAX(N398,O398,Q398,R398),"")</f>
        <v/>
      </c>
      <c r="AB398">
        <f>IF(A398="","",IF(X398&lt;&gt;"","13 Repeat activity",IF(W398&lt;&gt;"","12 First enquiry/order/booking",IF(Z398="YES","11 ACTIVATED",IF(Q398&lt;&gt;"","10 First listing live",IF(O398&lt;&gt;"","9 Profile completed",IF(N398&lt;&gt;"","8 Approved",IF(M398&lt;&gt;"","7 KYC submitted",IF(L398&lt;&gt;"","6 Registration completed",IF(K398&lt;&gt;"","5b Registration started",IF(H398&lt;&gt;"","5a Information sent",IF(G398&lt;&gt;"","5 Interested","—"))))))))))))</f>
        <v/>
      </c>
      <c r="AC398" s="10">
        <f>IF(A398="","",(COUNT(G398,H398,K398,L398,M398,N398,O398,Q398,R398)+(I398="Y")+(P398="Y")+(S398="Y"))/12)</f>
        <v/>
      </c>
      <c r="AD398">
        <f>IF(OR(A398="",COUNT(G398:X398)=0),"",TODAY()-MAX(G398,H398,K398,L398,M398,N398,O398,Q398,R398,W398,X398))</f>
        <v/>
      </c>
      <c r="AE398">
        <f>IF(A398="","",IF(AND(Z398&lt;&gt;"YES",AD398&lt;&gt;"",AD398&gt;THRESHOLDS!$B$12),"STUCK — act today",""))</f>
        <v/>
      </c>
      <c r="AF398">
        <f>IF(A398="","",IF(J398="Active (verified)","",IF(J398="","Ask GST status (readiness R2)","Escalate to founder: orders need verified GSTIN in current code — no tax advice")))</f>
        <v/>
      </c>
      <c r="AG398">
        <f>IF(AND(G398&lt;&gt;"",L398&lt;&gt;""),L398-G398,"")</f>
        <v/>
      </c>
      <c r="AH398">
        <f>IF(AND(L398&lt;&gt;"",N398&lt;&gt;""),N398-L398,"")</f>
        <v/>
      </c>
      <c r="AI398">
        <f>IF(AND(N398&lt;&gt;"",AA398&lt;&gt;""),AA398-N398,"")</f>
        <v/>
      </c>
      <c r="AJ398">
        <f>IF(AND(L398&lt;&gt;"",N398&lt;&gt;"",Q398&lt;&gt;""),"Qualifies (if FP-QUAL adopted)","")</f>
        <v/>
      </c>
    </row>
    <row r="399">
      <c r="G399" s="9" t="n"/>
      <c r="H399" s="9" t="n"/>
      <c r="K399" s="9" t="n"/>
      <c r="L399" s="9" t="n"/>
      <c r="M399" s="9" t="n"/>
      <c r="N399" s="9" t="n"/>
      <c r="O399" s="9" t="n"/>
      <c r="Q399" s="9" t="n"/>
      <c r="R399" s="9" t="n"/>
      <c r="W399" s="9" t="n"/>
      <c r="X399" s="9" t="n"/>
      <c r="Z399">
        <f>IF(A399="","",IF(AND(N399&lt;&gt;"",O399&lt;&gt;"",Q399&lt;&gt;"",R399&lt;&gt;"",S399="Y"),"YES","no"))</f>
        <v/>
      </c>
      <c r="AA399" s="9">
        <f>IF(Z399="YES",MAX(N399,O399,Q399,R399),"")</f>
        <v/>
      </c>
      <c r="AB399">
        <f>IF(A399="","",IF(X399&lt;&gt;"","13 Repeat activity",IF(W399&lt;&gt;"","12 First enquiry/order/booking",IF(Z399="YES","11 ACTIVATED",IF(Q399&lt;&gt;"","10 First listing live",IF(O399&lt;&gt;"","9 Profile completed",IF(N399&lt;&gt;"","8 Approved",IF(M399&lt;&gt;"","7 KYC submitted",IF(L399&lt;&gt;"","6 Registration completed",IF(K399&lt;&gt;"","5b Registration started",IF(H399&lt;&gt;"","5a Information sent",IF(G399&lt;&gt;"","5 Interested","—"))))))))))))</f>
        <v/>
      </c>
      <c r="AC399" s="10">
        <f>IF(A399="","",(COUNT(G399,H399,K399,L399,M399,N399,O399,Q399,R399)+(I399="Y")+(P399="Y")+(S399="Y"))/12)</f>
        <v/>
      </c>
      <c r="AD399">
        <f>IF(OR(A399="",COUNT(G399:X399)=0),"",TODAY()-MAX(G399,H399,K399,L399,M399,N399,O399,Q399,R399,W399,X399))</f>
        <v/>
      </c>
      <c r="AE399">
        <f>IF(A399="","",IF(AND(Z399&lt;&gt;"YES",AD399&lt;&gt;"",AD399&gt;THRESHOLDS!$B$12),"STUCK — act today",""))</f>
        <v/>
      </c>
      <c r="AF399">
        <f>IF(A399="","",IF(J399="Active (verified)","",IF(J399="","Ask GST status (readiness R2)","Escalate to founder: orders need verified GSTIN in current code — no tax advice")))</f>
        <v/>
      </c>
      <c r="AG399">
        <f>IF(AND(G399&lt;&gt;"",L399&lt;&gt;""),L399-G399,"")</f>
        <v/>
      </c>
      <c r="AH399">
        <f>IF(AND(L399&lt;&gt;"",N399&lt;&gt;""),N399-L399,"")</f>
        <v/>
      </c>
      <c r="AI399">
        <f>IF(AND(N399&lt;&gt;"",AA399&lt;&gt;""),AA399-N399,"")</f>
        <v/>
      </c>
      <c r="AJ399">
        <f>IF(AND(L399&lt;&gt;"",N399&lt;&gt;"",Q399&lt;&gt;""),"Qualifies (if FP-QUAL adopted)","")</f>
        <v/>
      </c>
    </row>
    <row r="400">
      <c r="G400" s="9" t="n"/>
      <c r="H400" s="9" t="n"/>
      <c r="K400" s="9" t="n"/>
      <c r="L400" s="9" t="n"/>
      <c r="M400" s="9" t="n"/>
      <c r="N400" s="9" t="n"/>
      <c r="O400" s="9" t="n"/>
      <c r="Q400" s="9" t="n"/>
      <c r="R400" s="9" t="n"/>
      <c r="W400" s="9" t="n"/>
      <c r="X400" s="9" t="n"/>
      <c r="Z400">
        <f>IF(A400="","",IF(AND(N400&lt;&gt;"",O400&lt;&gt;"",Q400&lt;&gt;"",R400&lt;&gt;"",S400="Y"),"YES","no"))</f>
        <v/>
      </c>
      <c r="AA400" s="9">
        <f>IF(Z400="YES",MAX(N400,O400,Q400,R400),"")</f>
        <v/>
      </c>
      <c r="AB400">
        <f>IF(A400="","",IF(X400&lt;&gt;"","13 Repeat activity",IF(W400&lt;&gt;"","12 First enquiry/order/booking",IF(Z400="YES","11 ACTIVATED",IF(Q400&lt;&gt;"","10 First listing live",IF(O400&lt;&gt;"","9 Profile completed",IF(N400&lt;&gt;"","8 Approved",IF(M400&lt;&gt;"","7 KYC submitted",IF(L400&lt;&gt;"","6 Registration completed",IF(K400&lt;&gt;"","5b Registration started",IF(H400&lt;&gt;"","5a Information sent",IF(G400&lt;&gt;"","5 Interested","—"))))))))))))</f>
        <v/>
      </c>
      <c r="AC400" s="10">
        <f>IF(A400="","",(COUNT(G400,H400,K400,L400,M400,N400,O400,Q400,R400)+(I400="Y")+(P400="Y")+(S400="Y"))/12)</f>
        <v/>
      </c>
      <c r="AD400">
        <f>IF(OR(A400="",COUNT(G400:X400)=0),"",TODAY()-MAX(G400,H400,K400,L400,M400,N400,O400,Q400,R400,W400,X400))</f>
        <v/>
      </c>
      <c r="AE400">
        <f>IF(A400="","",IF(AND(Z400&lt;&gt;"YES",AD400&lt;&gt;"",AD400&gt;THRESHOLDS!$B$12),"STUCK — act today",""))</f>
        <v/>
      </c>
      <c r="AF400">
        <f>IF(A400="","",IF(J400="Active (verified)","",IF(J400="","Ask GST status (readiness R2)","Escalate to founder: orders need verified GSTIN in current code — no tax advice")))</f>
        <v/>
      </c>
      <c r="AG400">
        <f>IF(AND(G400&lt;&gt;"",L400&lt;&gt;""),L400-G400,"")</f>
        <v/>
      </c>
      <c r="AH400">
        <f>IF(AND(L400&lt;&gt;"",N400&lt;&gt;""),N400-L400,"")</f>
        <v/>
      </c>
      <c r="AI400">
        <f>IF(AND(N400&lt;&gt;"",AA400&lt;&gt;""),AA400-N400,"")</f>
        <v/>
      </c>
      <c r="AJ400">
        <f>IF(AND(L400&lt;&gt;"",N400&lt;&gt;"",Q400&lt;&gt;""),"Qualifies (if FP-QUAL adopted)","")</f>
        <v/>
      </c>
    </row>
    <row r="401">
      <c r="G401" s="9" t="n"/>
      <c r="H401" s="9" t="n"/>
      <c r="K401" s="9" t="n"/>
      <c r="L401" s="9" t="n"/>
      <c r="M401" s="9" t="n"/>
      <c r="N401" s="9" t="n"/>
      <c r="O401" s="9" t="n"/>
      <c r="Q401" s="9" t="n"/>
      <c r="R401" s="9" t="n"/>
      <c r="W401" s="9" t="n"/>
      <c r="X401" s="9" t="n"/>
      <c r="Z401">
        <f>IF(A401="","",IF(AND(N401&lt;&gt;"",O401&lt;&gt;"",Q401&lt;&gt;"",R401&lt;&gt;"",S401="Y"),"YES","no"))</f>
        <v/>
      </c>
      <c r="AA401" s="9">
        <f>IF(Z401="YES",MAX(N401,O401,Q401,R401),"")</f>
        <v/>
      </c>
      <c r="AB401">
        <f>IF(A401="","",IF(X401&lt;&gt;"","13 Repeat activity",IF(W401&lt;&gt;"","12 First enquiry/order/booking",IF(Z401="YES","11 ACTIVATED",IF(Q401&lt;&gt;"","10 First listing live",IF(O401&lt;&gt;"","9 Profile completed",IF(N401&lt;&gt;"","8 Approved",IF(M401&lt;&gt;"","7 KYC submitted",IF(L401&lt;&gt;"","6 Registration completed",IF(K401&lt;&gt;"","5b Registration started",IF(H401&lt;&gt;"","5a Information sent",IF(G401&lt;&gt;"","5 Interested","—"))))))))))))</f>
        <v/>
      </c>
      <c r="AC401" s="10">
        <f>IF(A401="","",(COUNT(G401,H401,K401,L401,M401,N401,O401,Q401,R401)+(I401="Y")+(P401="Y")+(S401="Y"))/12)</f>
        <v/>
      </c>
      <c r="AD401">
        <f>IF(OR(A401="",COUNT(G401:X401)=0),"",TODAY()-MAX(G401,H401,K401,L401,M401,N401,O401,Q401,R401,W401,X401))</f>
        <v/>
      </c>
      <c r="AE401">
        <f>IF(A401="","",IF(AND(Z401&lt;&gt;"YES",AD401&lt;&gt;"",AD401&gt;THRESHOLDS!$B$12),"STUCK — act today",""))</f>
        <v/>
      </c>
      <c r="AF401">
        <f>IF(A401="","",IF(J401="Active (verified)","",IF(J401="","Ask GST status (readiness R2)","Escalate to founder: orders need verified GSTIN in current code — no tax advice")))</f>
        <v/>
      </c>
      <c r="AG401">
        <f>IF(AND(G401&lt;&gt;"",L401&lt;&gt;""),L401-G401,"")</f>
        <v/>
      </c>
      <c r="AH401">
        <f>IF(AND(L401&lt;&gt;"",N401&lt;&gt;""),N401-L401,"")</f>
        <v/>
      </c>
      <c r="AI401">
        <f>IF(AND(N401&lt;&gt;"",AA401&lt;&gt;""),AA401-N401,"")</f>
        <v/>
      </c>
      <c r="AJ401">
        <f>IF(AND(L401&lt;&gt;"",N401&lt;&gt;"",Q401&lt;&gt;""),"Qualifies (if FP-QUAL adopted)","")</f>
        <v/>
      </c>
    </row>
    <row r="402">
      <c r="G402" s="9" t="n"/>
      <c r="H402" s="9" t="n"/>
      <c r="K402" s="9" t="n"/>
      <c r="L402" s="9" t="n"/>
      <c r="M402" s="9" t="n"/>
      <c r="N402" s="9" t="n"/>
      <c r="O402" s="9" t="n"/>
      <c r="Q402" s="9" t="n"/>
      <c r="R402" s="9" t="n"/>
      <c r="W402" s="9" t="n"/>
      <c r="X402" s="9" t="n"/>
      <c r="Z402">
        <f>IF(A402="","",IF(AND(N402&lt;&gt;"",O402&lt;&gt;"",Q402&lt;&gt;"",R402&lt;&gt;"",S402="Y"),"YES","no"))</f>
        <v/>
      </c>
      <c r="AA402" s="9">
        <f>IF(Z402="YES",MAX(N402,O402,Q402,R402),"")</f>
        <v/>
      </c>
      <c r="AB402">
        <f>IF(A402="","",IF(X402&lt;&gt;"","13 Repeat activity",IF(W402&lt;&gt;"","12 First enquiry/order/booking",IF(Z402="YES","11 ACTIVATED",IF(Q402&lt;&gt;"","10 First listing live",IF(O402&lt;&gt;"","9 Profile completed",IF(N402&lt;&gt;"","8 Approved",IF(M402&lt;&gt;"","7 KYC submitted",IF(L402&lt;&gt;"","6 Registration completed",IF(K402&lt;&gt;"","5b Registration started",IF(H402&lt;&gt;"","5a Information sent",IF(G402&lt;&gt;"","5 Interested","—"))))))))))))</f>
        <v/>
      </c>
      <c r="AC402" s="10">
        <f>IF(A402="","",(COUNT(G402,H402,K402,L402,M402,N402,O402,Q402,R402)+(I402="Y")+(P402="Y")+(S402="Y"))/12)</f>
        <v/>
      </c>
      <c r="AD402">
        <f>IF(OR(A402="",COUNT(G402:X402)=0),"",TODAY()-MAX(G402,H402,K402,L402,M402,N402,O402,Q402,R402,W402,X402))</f>
        <v/>
      </c>
      <c r="AE402">
        <f>IF(A402="","",IF(AND(Z402&lt;&gt;"YES",AD402&lt;&gt;"",AD402&gt;THRESHOLDS!$B$12),"STUCK — act today",""))</f>
        <v/>
      </c>
      <c r="AF402">
        <f>IF(A402="","",IF(J402="Active (verified)","",IF(J402="","Ask GST status (readiness R2)","Escalate to founder: orders need verified GSTIN in current code — no tax advice")))</f>
        <v/>
      </c>
      <c r="AG402">
        <f>IF(AND(G402&lt;&gt;"",L402&lt;&gt;""),L402-G402,"")</f>
        <v/>
      </c>
      <c r="AH402">
        <f>IF(AND(L402&lt;&gt;"",N402&lt;&gt;""),N402-L402,"")</f>
        <v/>
      </c>
      <c r="AI402">
        <f>IF(AND(N402&lt;&gt;"",AA402&lt;&gt;""),AA402-N402,"")</f>
        <v/>
      </c>
      <c r="AJ402">
        <f>IF(AND(L402&lt;&gt;"",N402&lt;&gt;"",Q402&lt;&gt;""),"Qualifies (if FP-QUAL adopted)","")</f>
        <v/>
      </c>
    </row>
    <row r="403">
      <c r="G403" s="9" t="n"/>
      <c r="H403" s="9" t="n"/>
      <c r="K403" s="9" t="n"/>
      <c r="L403" s="9" t="n"/>
      <c r="M403" s="9" t="n"/>
      <c r="N403" s="9" t="n"/>
      <c r="O403" s="9" t="n"/>
      <c r="Q403" s="9" t="n"/>
      <c r="R403" s="9" t="n"/>
      <c r="W403" s="9" t="n"/>
      <c r="X403" s="9" t="n"/>
      <c r="Z403">
        <f>IF(A403="","",IF(AND(N403&lt;&gt;"",O403&lt;&gt;"",Q403&lt;&gt;"",R403&lt;&gt;"",S403="Y"),"YES","no"))</f>
        <v/>
      </c>
      <c r="AA403" s="9">
        <f>IF(Z403="YES",MAX(N403,O403,Q403,R403),"")</f>
        <v/>
      </c>
      <c r="AB403">
        <f>IF(A403="","",IF(X403&lt;&gt;"","13 Repeat activity",IF(W403&lt;&gt;"","12 First enquiry/order/booking",IF(Z403="YES","11 ACTIVATED",IF(Q403&lt;&gt;"","10 First listing live",IF(O403&lt;&gt;"","9 Profile completed",IF(N403&lt;&gt;"","8 Approved",IF(M403&lt;&gt;"","7 KYC submitted",IF(L403&lt;&gt;"","6 Registration completed",IF(K403&lt;&gt;"","5b Registration started",IF(H403&lt;&gt;"","5a Information sent",IF(G403&lt;&gt;"","5 Interested","—"))))))))))))</f>
        <v/>
      </c>
      <c r="AC403" s="10">
        <f>IF(A403="","",(COUNT(G403,H403,K403,L403,M403,N403,O403,Q403,R403)+(I403="Y")+(P403="Y")+(S403="Y"))/12)</f>
        <v/>
      </c>
      <c r="AD403">
        <f>IF(OR(A403="",COUNT(G403:X403)=0),"",TODAY()-MAX(G403,H403,K403,L403,M403,N403,O403,Q403,R403,W403,X403))</f>
        <v/>
      </c>
      <c r="AE403">
        <f>IF(A403="","",IF(AND(Z403&lt;&gt;"YES",AD403&lt;&gt;"",AD403&gt;THRESHOLDS!$B$12),"STUCK — act today",""))</f>
        <v/>
      </c>
      <c r="AF403">
        <f>IF(A403="","",IF(J403="Active (verified)","",IF(J403="","Ask GST status (readiness R2)","Escalate to founder: orders need verified GSTIN in current code — no tax advice")))</f>
        <v/>
      </c>
      <c r="AG403">
        <f>IF(AND(G403&lt;&gt;"",L403&lt;&gt;""),L403-G403,"")</f>
        <v/>
      </c>
      <c r="AH403">
        <f>IF(AND(L403&lt;&gt;"",N403&lt;&gt;""),N403-L403,"")</f>
        <v/>
      </c>
      <c r="AI403">
        <f>IF(AND(N403&lt;&gt;"",AA403&lt;&gt;""),AA403-N403,"")</f>
        <v/>
      </c>
      <c r="AJ403">
        <f>IF(AND(L403&lt;&gt;"",N403&lt;&gt;"",Q403&lt;&gt;""),"Qualifies (if FP-QUAL adopted)","")</f>
        <v/>
      </c>
    </row>
    <row r="404">
      <c r="G404" s="9" t="n"/>
      <c r="H404" s="9" t="n"/>
      <c r="K404" s="9" t="n"/>
      <c r="L404" s="9" t="n"/>
      <c r="M404" s="9" t="n"/>
      <c r="N404" s="9" t="n"/>
      <c r="O404" s="9" t="n"/>
      <c r="Q404" s="9" t="n"/>
      <c r="R404" s="9" t="n"/>
      <c r="W404" s="9" t="n"/>
      <c r="X404" s="9" t="n"/>
      <c r="Z404">
        <f>IF(A404="","",IF(AND(N404&lt;&gt;"",O404&lt;&gt;"",Q404&lt;&gt;"",R404&lt;&gt;"",S404="Y"),"YES","no"))</f>
        <v/>
      </c>
      <c r="AA404" s="9">
        <f>IF(Z404="YES",MAX(N404,O404,Q404,R404),"")</f>
        <v/>
      </c>
      <c r="AB404">
        <f>IF(A404="","",IF(X404&lt;&gt;"","13 Repeat activity",IF(W404&lt;&gt;"","12 First enquiry/order/booking",IF(Z404="YES","11 ACTIVATED",IF(Q404&lt;&gt;"","10 First listing live",IF(O404&lt;&gt;"","9 Profile completed",IF(N404&lt;&gt;"","8 Approved",IF(M404&lt;&gt;"","7 KYC submitted",IF(L404&lt;&gt;"","6 Registration completed",IF(K404&lt;&gt;"","5b Registration started",IF(H404&lt;&gt;"","5a Information sent",IF(G404&lt;&gt;"","5 Interested","—"))))))))))))</f>
        <v/>
      </c>
      <c r="AC404" s="10">
        <f>IF(A404="","",(COUNT(G404,H404,K404,L404,M404,N404,O404,Q404,R404)+(I404="Y")+(P404="Y")+(S404="Y"))/12)</f>
        <v/>
      </c>
      <c r="AD404">
        <f>IF(OR(A404="",COUNT(G404:X404)=0),"",TODAY()-MAX(G404,H404,K404,L404,M404,N404,O404,Q404,R404,W404,X404))</f>
        <v/>
      </c>
      <c r="AE404">
        <f>IF(A404="","",IF(AND(Z404&lt;&gt;"YES",AD404&lt;&gt;"",AD404&gt;THRESHOLDS!$B$12),"STUCK — act today",""))</f>
        <v/>
      </c>
      <c r="AF404">
        <f>IF(A404="","",IF(J404="Active (verified)","",IF(J404="","Ask GST status (readiness R2)","Escalate to founder: orders need verified GSTIN in current code — no tax advice")))</f>
        <v/>
      </c>
      <c r="AG404">
        <f>IF(AND(G404&lt;&gt;"",L404&lt;&gt;""),L404-G404,"")</f>
        <v/>
      </c>
      <c r="AH404">
        <f>IF(AND(L404&lt;&gt;"",N404&lt;&gt;""),N404-L404,"")</f>
        <v/>
      </c>
      <c r="AI404">
        <f>IF(AND(N404&lt;&gt;"",AA404&lt;&gt;""),AA404-N404,"")</f>
        <v/>
      </c>
      <c r="AJ404">
        <f>IF(AND(L404&lt;&gt;"",N404&lt;&gt;"",Q404&lt;&gt;""),"Qualifies (if FP-QUAL adopted)","")</f>
        <v/>
      </c>
    </row>
    <row r="405">
      <c r="G405" s="9" t="n"/>
      <c r="H405" s="9" t="n"/>
      <c r="K405" s="9" t="n"/>
      <c r="L405" s="9" t="n"/>
      <c r="M405" s="9" t="n"/>
      <c r="N405" s="9" t="n"/>
      <c r="O405" s="9" t="n"/>
      <c r="Q405" s="9" t="n"/>
      <c r="R405" s="9" t="n"/>
      <c r="W405" s="9" t="n"/>
      <c r="X405" s="9" t="n"/>
      <c r="Z405">
        <f>IF(A405="","",IF(AND(N405&lt;&gt;"",O405&lt;&gt;"",Q405&lt;&gt;"",R405&lt;&gt;"",S405="Y"),"YES","no"))</f>
        <v/>
      </c>
      <c r="AA405" s="9">
        <f>IF(Z405="YES",MAX(N405,O405,Q405,R405),"")</f>
        <v/>
      </c>
      <c r="AB405">
        <f>IF(A405="","",IF(X405&lt;&gt;"","13 Repeat activity",IF(W405&lt;&gt;"","12 First enquiry/order/booking",IF(Z405="YES","11 ACTIVATED",IF(Q405&lt;&gt;"","10 First listing live",IF(O405&lt;&gt;"","9 Profile completed",IF(N405&lt;&gt;"","8 Approved",IF(M405&lt;&gt;"","7 KYC submitted",IF(L405&lt;&gt;"","6 Registration completed",IF(K405&lt;&gt;"","5b Registration started",IF(H405&lt;&gt;"","5a Information sent",IF(G405&lt;&gt;"","5 Interested","—"))))))))))))</f>
        <v/>
      </c>
      <c r="AC405" s="10">
        <f>IF(A405="","",(COUNT(G405,H405,K405,L405,M405,N405,O405,Q405,R405)+(I405="Y")+(P405="Y")+(S405="Y"))/12)</f>
        <v/>
      </c>
      <c r="AD405">
        <f>IF(OR(A405="",COUNT(G405:X405)=0),"",TODAY()-MAX(G405,H405,K405,L405,M405,N405,O405,Q405,R405,W405,X405))</f>
        <v/>
      </c>
      <c r="AE405">
        <f>IF(A405="","",IF(AND(Z405&lt;&gt;"YES",AD405&lt;&gt;"",AD405&gt;THRESHOLDS!$B$12),"STUCK — act today",""))</f>
        <v/>
      </c>
      <c r="AF405">
        <f>IF(A405="","",IF(J405="Active (verified)","",IF(J405="","Ask GST status (readiness R2)","Escalate to founder: orders need verified GSTIN in current code — no tax advice")))</f>
        <v/>
      </c>
      <c r="AG405">
        <f>IF(AND(G405&lt;&gt;"",L405&lt;&gt;""),L405-G405,"")</f>
        <v/>
      </c>
      <c r="AH405">
        <f>IF(AND(L405&lt;&gt;"",N405&lt;&gt;""),N405-L405,"")</f>
        <v/>
      </c>
      <c r="AI405">
        <f>IF(AND(N405&lt;&gt;"",AA405&lt;&gt;""),AA405-N405,"")</f>
        <v/>
      </c>
      <c r="AJ405">
        <f>IF(AND(L405&lt;&gt;"",N405&lt;&gt;"",Q405&lt;&gt;""),"Qualifies (if FP-QUAL adopted)","")</f>
        <v/>
      </c>
    </row>
    <row r="406">
      <c r="G406" s="9" t="n"/>
      <c r="H406" s="9" t="n"/>
      <c r="K406" s="9" t="n"/>
      <c r="L406" s="9" t="n"/>
      <c r="M406" s="9" t="n"/>
      <c r="N406" s="9" t="n"/>
      <c r="O406" s="9" t="n"/>
      <c r="Q406" s="9" t="n"/>
      <c r="R406" s="9" t="n"/>
      <c r="W406" s="9" t="n"/>
      <c r="X406" s="9" t="n"/>
      <c r="Z406">
        <f>IF(A406="","",IF(AND(N406&lt;&gt;"",O406&lt;&gt;"",Q406&lt;&gt;"",R406&lt;&gt;"",S406="Y"),"YES","no"))</f>
        <v/>
      </c>
      <c r="AA406" s="9">
        <f>IF(Z406="YES",MAX(N406,O406,Q406,R406),"")</f>
        <v/>
      </c>
      <c r="AB406">
        <f>IF(A406="","",IF(X406&lt;&gt;"","13 Repeat activity",IF(W406&lt;&gt;"","12 First enquiry/order/booking",IF(Z406="YES","11 ACTIVATED",IF(Q406&lt;&gt;"","10 First listing live",IF(O406&lt;&gt;"","9 Profile completed",IF(N406&lt;&gt;"","8 Approved",IF(M406&lt;&gt;"","7 KYC submitted",IF(L406&lt;&gt;"","6 Registration completed",IF(K406&lt;&gt;"","5b Registration started",IF(H406&lt;&gt;"","5a Information sent",IF(G406&lt;&gt;"","5 Interested","—"))))))))))))</f>
        <v/>
      </c>
      <c r="AC406" s="10">
        <f>IF(A406="","",(COUNT(G406,H406,K406,L406,M406,N406,O406,Q406,R406)+(I406="Y")+(P406="Y")+(S406="Y"))/12)</f>
        <v/>
      </c>
      <c r="AD406">
        <f>IF(OR(A406="",COUNT(G406:X406)=0),"",TODAY()-MAX(G406,H406,K406,L406,M406,N406,O406,Q406,R406,W406,X406))</f>
        <v/>
      </c>
      <c r="AE406">
        <f>IF(A406="","",IF(AND(Z406&lt;&gt;"YES",AD406&lt;&gt;"",AD406&gt;THRESHOLDS!$B$12),"STUCK — act today",""))</f>
        <v/>
      </c>
      <c r="AF406">
        <f>IF(A406="","",IF(J406="Active (verified)","",IF(J406="","Ask GST status (readiness R2)","Escalate to founder: orders need verified GSTIN in current code — no tax advice")))</f>
        <v/>
      </c>
      <c r="AG406">
        <f>IF(AND(G406&lt;&gt;"",L406&lt;&gt;""),L406-G406,"")</f>
        <v/>
      </c>
      <c r="AH406">
        <f>IF(AND(L406&lt;&gt;"",N406&lt;&gt;""),N406-L406,"")</f>
        <v/>
      </c>
      <c r="AI406">
        <f>IF(AND(N406&lt;&gt;"",AA406&lt;&gt;""),AA406-N406,"")</f>
        <v/>
      </c>
      <c r="AJ406">
        <f>IF(AND(L406&lt;&gt;"",N406&lt;&gt;"",Q406&lt;&gt;""),"Qualifies (if FP-QUAL adopted)","")</f>
        <v/>
      </c>
    </row>
    <row r="407">
      <c r="G407" s="9" t="n"/>
      <c r="H407" s="9" t="n"/>
      <c r="K407" s="9" t="n"/>
      <c r="L407" s="9" t="n"/>
      <c r="M407" s="9" t="n"/>
      <c r="N407" s="9" t="n"/>
      <c r="O407" s="9" t="n"/>
      <c r="Q407" s="9" t="n"/>
      <c r="R407" s="9" t="n"/>
      <c r="W407" s="9" t="n"/>
      <c r="X407" s="9" t="n"/>
      <c r="Z407">
        <f>IF(A407="","",IF(AND(N407&lt;&gt;"",O407&lt;&gt;"",Q407&lt;&gt;"",R407&lt;&gt;"",S407="Y"),"YES","no"))</f>
        <v/>
      </c>
      <c r="AA407" s="9">
        <f>IF(Z407="YES",MAX(N407,O407,Q407,R407),"")</f>
        <v/>
      </c>
      <c r="AB407">
        <f>IF(A407="","",IF(X407&lt;&gt;"","13 Repeat activity",IF(W407&lt;&gt;"","12 First enquiry/order/booking",IF(Z407="YES","11 ACTIVATED",IF(Q407&lt;&gt;"","10 First listing live",IF(O407&lt;&gt;"","9 Profile completed",IF(N407&lt;&gt;"","8 Approved",IF(M407&lt;&gt;"","7 KYC submitted",IF(L407&lt;&gt;"","6 Registration completed",IF(K407&lt;&gt;"","5b Registration started",IF(H407&lt;&gt;"","5a Information sent",IF(G407&lt;&gt;"","5 Interested","—"))))))))))))</f>
        <v/>
      </c>
      <c r="AC407" s="10">
        <f>IF(A407="","",(COUNT(G407,H407,K407,L407,M407,N407,O407,Q407,R407)+(I407="Y")+(P407="Y")+(S407="Y"))/12)</f>
        <v/>
      </c>
      <c r="AD407">
        <f>IF(OR(A407="",COUNT(G407:X407)=0),"",TODAY()-MAX(G407,H407,K407,L407,M407,N407,O407,Q407,R407,W407,X407))</f>
        <v/>
      </c>
      <c r="AE407">
        <f>IF(A407="","",IF(AND(Z407&lt;&gt;"YES",AD407&lt;&gt;"",AD407&gt;THRESHOLDS!$B$12),"STUCK — act today",""))</f>
        <v/>
      </c>
      <c r="AF407">
        <f>IF(A407="","",IF(J407="Active (verified)","",IF(J407="","Ask GST status (readiness R2)","Escalate to founder: orders need verified GSTIN in current code — no tax advice")))</f>
        <v/>
      </c>
      <c r="AG407">
        <f>IF(AND(G407&lt;&gt;"",L407&lt;&gt;""),L407-G407,"")</f>
        <v/>
      </c>
      <c r="AH407">
        <f>IF(AND(L407&lt;&gt;"",N407&lt;&gt;""),N407-L407,"")</f>
        <v/>
      </c>
      <c r="AI407">
        <f>IF(AND(N407&lt;&gt;"",AA407&lt;&gt;""),AA407-N407,"")</f>
        <v/>
      </c>
      <c r="AJ407">
        <f>IF(AND(L407&lt;&gt;"",N407&lt;&gt;"",Q407&lt;&gt;""),"Qualifies (if FP-QUAL adopted)","")</f>
        <v/>
      </c>
    </row>
    <row r="408">
      <c r="G408" s="9" t="n"/>
      <c r="H408" s="9" t="n"/>
      <c r="K408" s="9" t="n"/>
      <c r="L408" s="9" t="n"/>
      <c r="M408" s="9" t="n"/>
      <c r="N408" s="9" t="n"/>
      <c r="O408" s="9" t="n"/>
      <c r="Q408" s="9" t="n"/>
      <c r="R408" s="9" t="n"/>
      <c r="W408" s="9" t="n"/>
      <c r="X408" s="9" t="n"/>
      <c r="Z408">
        <f>IF(A408="","",IF(AND(N408&lt;&gt;"",O408&lt;&gt;"",Q408&lt;&gt;"",R408&lt;&gt;"",S408="Y"),"YES","no"))</f>
        <v/>
      </c>
      <c r="AA408" s="9">
        <f>IF(Z408="YES",MAX(N408,O408,Q408,R408),"")</f>
        <v/>
      </c>
      <c r="AB408">
        <f>IF(A408="","",IF(X408&lt;&gt;"","13 Repeat activity",IF(W408&lt;&gt;"","12 First enquiry/order/booking",IF(Z408="YES","11 ACTIVATED",IF(Q408&lt;&gt;"","10 First listing live",IF(O408&lt;&gt;"","9 Profile completed",IF(N408&lt;&gt;"","8 Approved",IF(M408&lt;&gt;"","7 KYC submitted",IF(L408&lt;&gt;"","6 Registration completed",IF(K408&lt;&gt;"","5b Registration started",IF(H408&lt;&gt;"","5a Information sent",IF(G408&lt;&gt;"","5 Interested","—"))))))))))))</f>
        <v/>
      </c>
      <c r="AC408" s="10">
        <f>IF(A408="","",(COUNT(G408,H408,K408,L408,M408,N408,O408,Q408,R408)+(I408="Y")+(P408="Y")+(S408="Y"))/12)</f>
        <v/>
      </c>
      <c r="AD408">
        <f>IF(OR(A408="",COUNT(G408:X408)=0),"",TODAY()-MAX(G408,H408,K408,L408,M408,N408,O408,Q408,R408,W408,X408))</f>
        <v/>
      </c>
      <c r="AE408">
        <f>IF(A408="","",IF(AND(Z408&lt;&gt;"YES",AD408&lt;&gt;"",AD408&gt;THRESHOLDS!$B$12),"STUCK — act today",""))</f>
        <v/>
      </c>
      <c r="AF408">
        <f>IF(A408="","",IF(J408="Active (verified)","",IF(J408="","Ask GST status (readiness R2)","Escalate to founder: orders need verified GSTIN in current code — no tax advice")))</f>
        <v/>
      </c>
      <c r="AG408">
        <f>IF(AND(G408&lt;&gt;"",L408&lt;&gt;""),L408-G408,"")</f>
        <v/>
      </c>
      <c r="AH408">
        <f>IF(AND(L408&lt;&gt;"",N408&lt;&gt;""),N408-L408,"")</f>
        <v/>
      </c>
      <c r="AI408">
        <f>IF(AND(N408&lt;&gt;"",AA408&lt;&gt;""),AA408-N408,"")</f>
        <v/>
      </c>
      <c r="AJ408">
        <f>IF(AND(L408&lt;&gt;"",N408&lt;&gt;"",Q408&lt;&gt;""),"Qualifies (if FP-QUAL adopted)","")</f>
        <v/>
      </c>
    </row>
    <row r="409">
      <c r="G409" s="9" t="n"/>
      <c r="H409" s="9" t="n"/>
      <c r="K409" s="9" t="n"/>
      <c r="L409" s="9" t="n"/>
      <c r="M409" s="9" t="n"/>
      <c r="N409" s="9" t="n"/>
      <c r="O409" s="9" t="n"/>
      <c r="Q409" s="9" t="n"/>
      <c r="R409" s="9" t="n"/>
      <c r="W409" s="9" t="n"/>
      <c r="X409" s="9" t="n"/>
      <c r="Z409">
        <f>IF(A409="","",IF(AND(N409&lt;&gt;"",O409&lt;&gt;"",Q409&lt;&gt;"",R409&lt;&gt;"",S409="Y"),"YES","no"))</f>
        <v/>
      </c>
      <c r="AA409" s="9">
        <f>IF(Z409="YES",MAX(N409,O409,Q409,R409),"")</f>
        <v/>
      </c>
      <c r="AB409">
        <f>IF(A409="","",IF(X409&lt;&gt;"","13 Repeat activity",IF(W409&lt;&gt;"","12 First enquiry/order/booking",IF(Z409="YES","11 ACTIVATED",IF(Q409&lt;&gt;"","10 First listing live",IF(O409&lt;&gt;"","9 Profile completed",IF(N409&lt;&gt;"","8 Approved",IF(M409&lt;&gt;"","7 KYC submitted",IF(L409&lt;&gt;"","6 Registration completed",IF(K409&lt;&gt;"","5b Registration started",IF(H409&lt;&gt;"","5a Information sent",IF(G409&lt;&gt;"","5 Interested","—"))))))))))))</f>
        <v/>
      </c>
      <c r="AC409" s="10">
        <f>IF(A409="","",(COUNT(G409,H409,K409,L409,M409,N409,O409,Q409,R409)+(I409="Y")+(P409="Y")+(S409="Y"))/12)</f>
        <v/>
      </c>
      <c r="AD409">
        <f>IF(OR(A409="",COUNT(G409:X409)=0),"",TODAY()-MAX(G409,H409,K409,L409,M409,N409,O409,Q409,R409,W409,X409))</f>
        <v/>
      </c>
      <c r="AE409">
        <f>IF(A409="","",IF(AND(Z409&lt;&gt;"YES",AD409&lt;&gt;"",AD409&gt;THRESHOLDS!$B$12),"STUCK — act today",""))</f>
        <v/>
      </c>
      <c r="AF409">
        <f>IF(A409="","",IF(J409="Active (verified)","",IF(J409="","Ask GST status (readiness R2)","Escalate to founder: orders need verified GSTIN in current code — no tax advice")))</f>
        <v/>
      </c>
      <c r="AG409">
        <f>IF(AND(G409&lt;&gt;"",L409&lt;&gt;""),L409-G409,"")</f>
        <v/>
      </c>
      <c r="AH409">
        <f>IF(AND(L409&lt;&gt;"",N409&lt;&gt;""),N409-L409,"")</f>
        <v/>
      </c>
      <c r="AI409">
        <f>IF(AND(N409&lt;&gt;"",AA409&lt;&gt;""),AA409-N409,"")</f>
        <v/>
      </c>
      <c r="AJ409">
        <f>IF(AND(L409&lt;&gt;"",N409&lt;&gt;"",Q409&lt;&gt;""),"Qualifies (if FP-QUAL adopted)","")</f>
        <v/>
      </c>
    </row>
    <row r="410">
      <c r="G410" s="9" t="n"/>
      <c r="H410" s="9" t="n"/>
      <c r="K410" s="9" t="n"/>
      <c r="L410" s="9" t="n"/>
      <c r="M410" s="9" t="n"/>
      <c r="N410" s="9" t="n"/>
      <c r="O410" s="9" t="n"/>
      <c r="Q410" s="9" t="n"/>
      <c r="R410" s="9" t="n"/>
      <c r="W410" s="9" t="n"/>
      <c r="X410" s="9" t="n"/>
      <c r="Z410">
        <f>IF(A410="","",IF(AND(N410&lt;&gt;"",O410&lt;&gt;"",Q410&lt;&gt;"",R410&lt;&gt;"",S410="Y"),"YES","no"))</f>
        <v/>
      </c>
      <c r="AA410" s="9">
        <f>IF(Z410="YES",MAX(N410,O410,Q410,R410),"")</f>
        <v/>
      </c>
      <c r="AB410">
        <f>IF(A410="","",IF(X410&lt;&gt;"","13 Repeat activity",IF(W410&lt;&gt;"","12 First enquiry/order/booking",IF(Z410="YES","11 ACTIVATED",IF(Q410&lt;&gt;"","10 First listing live",IF(O410&lt;&gt;"","9 Profile completed",IF(N410&lt;&gt;"","8 Approved",IF(M410&lt;&gt;"","7 KYC submitted",IF(L410&lt;&gt;"","6 Registration completed",IF(K410&lt;&gt;"","5b Registration started",IF(H410&lt;&gt;"","5a Information sent",IF(G410&lt;&gt;"","5 Interested","—"))))))))))))</f>
        <v/>
      </c>
      <c r="AC410" s="10">
        <f>IF(A410="","",(COUNT(G410,H410,K410,L410,M410,N410,O410,Q410,R410)+(I410="Y")+(P410="Y")+(S410="Y"))/12)</f>
        <v/>
      </c>
      <c r="AD410">
        <f>IF(OR(A410="",COUNT(G410:X410)=0),"",TODAY()-MAX(G410,H410,K410,L410,M410,N410,O410,Q410,R410,W410,X410))</f>
        <v/>
      </c>
      <c r="AE410">
        <f>IF(A410="","",IF(AND(Z410&lt;&gt;"YES",AD410&lt;&gt;"",AD410&gt;THRESHOLDS!$B$12),"STUCK — act today",""))</f>
        <v/>
      </c>
      <c r="AF410">
        <f>IF(A410="","",IF(J410="Active (verified)","",IF(J410="","Ask GST status (readiness R2)","Escalate to founder: orders need verified GSTIN in current code — no tax advice")))</f>
        <v/>
      </c>
      <c r="AG410">
        <f>IF(AND(G410&lt;&gt;"",L410&lt;&gt;""),L410-G410,"")</f>
        <v/>
      </c>
      <c r="AH410">
        <f>IF(AND(L410&lt;&gt;"",N410&lt;&gt;""),N410-L410,"")</f>
        <v/>
      </c>
      <c r="AI410">
        <f>IF(AND(N410&lt;&gt;"",AA410&lt;&gt;""),AA410-N410,"")</f>
        <v/>
      </c>
      <c r="AJ410">
        <f>IF(AND(L410&lt;&gt;"",N410&lt;&gt;"",Q410&lt;&gt;""),"Qualifies (if FP-QUAL adopted)","")</f>
        <v/>
      </c>
    </row>
    <row r="411">
      <c r="G411" s="9" t="n"/>
      <c r="H411" s="9" t="n"/>
      <c r="K411" s="9" t="n"/>
      <c r="L411" s="9" t="n"/>
      <c r="M411" s="9" t="n"/>
      <c r="N411" s="9" t="n"/>
      <c r="O411" s="9" t="n"/>
      <c r="Q411" s="9" t="n"/>
      <c r="R411" s="9" t="n"/>
      <c r="W411" s="9" t="n"/>
      <c r="X411" s="9" t="n"/>
      <c r="Z411">
        <f>IF(A411="","",IF(AND(N411&lt;&gt;"",O411&lt;&gt;"",Q411&lt;&gt;"",R411&lt;&gt;"",S411="Y"),"YES","no"))</f>
        <v/>
      </c>
      <c r="AA411" s="9">
        <f>IF(Z411="YES",MAX(N411,O411,Q411,R411),"")</f>
        <v/>
      </c>
      <c r="AB411">
        <f>IF(A411="","",IF(X411&lt;&gt;"","13 Repeat activity",IF(W411&lt;&gt;"","12 First enquiry/order/booking",IF(Z411="YES","11 ACTIVATED",IF(Q411&lt;&gt;"","10 First listing live",IF(O411&lt;&gt;"","9 Profile completed",IF(N411&lt;&gt;"","8 Approved",IF(M411&lt;&gt;"","7 KYC submitted",IF(L411&lt;&gt;"","6 Registration completed",IF(K411&lt;&gt;"","5b Registration started",IF(H411&lt;&gt;"","5a Information sent",IF(G411&lt;&gt;"","5 Interested","—"))))))))))))</f>
        <v/>
      </c>
      <c r="AC411" s="10">
        <f>IF(A411="","",(COUNT(G411,H411,K411,L411,M411,N411,O411,Q411,R411)+(I411="Y")+(P411="Y")+(S411="Y"))/12)</f>
        <v/>
      </c>
      <c r="AD411">
        <f>IF(OR(A411="",COUNT(G411:X411)=0),"",TODAY()-MAX(G411,H411,K411,L411,M411,N411,O411,Q411,R411,W411,X411))</f>
        <v/>
      </c>
      <c r="AE411">
        <f>IF(A411="","",IF(AND(Z411&lt;&gt;"YES",AD411&lt;&gt;"",AD411&gt;THRESHOLDS!$B$12),"STUCK — act today",""))</f>
        <v/>
      </c>
      <c r="AF411">
        <f>IF(A411="","",IF(J411="Active (verified)","",IF(J411="","Ask GST status (readiness R2)","Escalate to founder: orders need verified GSTIN in current code — no tax advice")))</f>
        <v/>
      </c>
      <c r="AG411">
        <f>IF(AND(G411&lt;&gt;"",L411&lt;&gt;""),L411-G411,"")</f>
        <v/>
      </c>
      <c r="AH411">
        <f>IF(AND(L411&lt;&gt;"",N411&lt;&gt;""),N411-L411,"")</f>
        <v/>
      </c>
      <c r="AI411">
        <f>IF(AND(N411&lt;&gt;"",AA411&lt;&gt;""),AA411-N411,"")</f>
        <v/>
      </c>
      <c r="AJ411">
        <f>IF(AND(L411&lt;&gt;"",N411&lt;&gt;"",Q411&lt;&gt;""),"Qualifies (if FP-QUAL adopted)","")</f>
        <v/>
      </c>
    </row>
    <row r="412">
      <c r="G412" s="9" t="n"/>
      <c r="H412" s="9" t="n"/>
      <c r="K412" s="9" t="n"/>
      <c r="L412" s="9" t="n"/>
      <c r="M412" s="9" t="n"/>
      <c r="N412" s="9" t="n"/>
      <c r="O412" s="9" t="n"/>
      <c r="Q412" s="9" t="n"/>
      <c r="R412" s="9" t="n"/>
      <c r="W412" s="9" t="n"/>
      <c r="X412" s="9" t="n"/>
      <c r="Z412">
        <f>IF(A412="","",IF(AND(N412&lt;&gt;"",O412&lt;&gt;"",Q412&lt;&gt;"",R412&lt;&gt;"",S412="Y"),"YES","no"))</f>
        <v/>
      </c>
      <c r="AA412" s="9">
        <f>IF(Z412="YES",MAX(N412,O412,Q412,R412),"")</f>
        <v/>
      </c>
      <c r="AB412">
        <f>IF(A412="","",IF(X412&lt;&gt;"","13 Repeat activity",IF(W412&lt;&gt;"","12 First enquiry/order/booking",IF(Z412="YES","11 ACTIVATED",IF(Q412&lt;&gt;"","10 First listing live",IF(O412&lt;&gt;"","9 Profile completed",IF(N412&lt;&gt;"","8 Approved",IF(M412&lt;&gt;"","7 KYC submitted",IF(L412&lt;&gt;"","6 Registration completed",IF(K412&lt;&gt;"","5b Registration started",IF(H412&lt;&gt;"","5a Information sent",IF(G412&lt;&gt;"","5 Interested","—"))))))))))))</f>
        <v/>
      </c>
      <c r="AC412" s="10">
        <f>IF(A412="","",(COUNT(G412,H412,K412,L412,M412,N412,O412,Q412,R412)+(I412="Y")+(P412="Y")+(S412="Y"))/12)</f>
        <v/>
      </c>
      <c r="AD412">
        <f>IF(OR(A412="",COUNT(G412:X412)=0),"",TODAY()-MAX(G412,H412,K412,L412,M412,N412,O412,Q412,R412,W412,X412))</f>
        <v/>
      </c>
      <c r="AE412">
        <f>IF(A412="","",IF(AND(Z412&lt;&gt;"YES",AD412&lt;&gt;"",AD412&gt;THRESHOLDS!$B$12),"STUCK — act today",""))</f>
        <v/>
      </c>
      <c r="AF412">
        <f>IF(A412="","",IF(J412="Active (verified)","",IF(J412="","Ask GST status (readiness R2)","Escalate to founder: orders need verified GSTIN in current code — no tax advice")))</f>
        <v/>
      </c>
      <c r="AG412">
        <f>IF(AND(G412&lt;&gt;"",L412&lt;&gt;""),L412-G412,"")</f>
        <v/>
      </c>
      <c r="AH412">
        <f>IF(AND(L412&lt;&gt;"",N412&lt;&gt;""),N412-L412,"")</f>
        <v/>
      </c>
      <c r="AI412">
        <f>IF(AND(N412&lt;&gt;"",AA412&lt;&gt;""),AA412-N412,"")</f>
        <v/>
      </c>
      <c r="AJ412">
        <f>IF(AND(L412&lt;&gt;"",N412&lt;&gt;"",Q412&lt;&gt;""),"Qualifies (if FP-QUAL adopted)","")</f>
        <v/>
      </c>
    </row>
    <row r="413">
      <c r="G413" s="9" t="n"/>
      <c r="H413" s="9" t="n"/>
      <c r="K413" s="9" t="n"/>
      <c r="L413" s="9" t="n"/>
      <c r="M413" s="9" t="n"/>
      <c r="N413" s="9" t="n"/>
      <c r="O413" s="9" t="n"/>
      <c r="Q413" s="9" t="n"/>
      <c r="R413" s="9" t="n"/>
      <c r="W413" s="9" t="n"/>
      <c r="X413" s="9" t="n"/>
      <c r="Z413">
        <f>IF(A413="","",IF(AND(N413&lt;&gt;"",O413&lt;&gt;"",Q413&lt;&gt;"",R413&lt;&gt;"",S413="Y"),"YES","no"))</f>
        <v/>
      </c>
      <c r="AA413" s="9">
        <f>IF(Z413="YES",MAX(N413,O413,Q413,R413),"")</f>
        <v/>
      </c>
      <c r="AB413">
        <f>IF(A413="","",IF(X413&lt;&gt;"","13 Repeat activity",IF(W413&lt;&gt;"","12 First enquiry/order/booking",IF(Z413="YES","11 ACTIVATED",IF(Q413&lt;&gt;"","10 First listing live",IF(O413&lt;&gt;"","9 Profile completed",IF(N413&lt;&gt;"","8 Approved",IF(M413&lt;&gt;"","7 KYC submitted",IF(L413&lt;&gt;"","6 Registration completed",IF(K413&lt;&gt;"","5b Registration started",IF(H413&lt;&gt;"","5a Information sent",IF(G413&lt;&gt;"","5 Interested","—"))))))))))))</f>
        <v/>
      </c>
      <c r="AC413" s="10">
        <f>IF(A413="","",(COUNT(G413,H413,K413,L413,M413,N413,O413,Q413,R413)+(I413="Y")+(P413="Y")+(S413="Y"))/12)</f>
        <v/>
      </c>
      <c r="AD413">
        <f>IF(OR(A413="",COUNT(G413:X413)=0),"",TODAY()-MAX(G413,H413,K413,L413,M413,N413,O413,Q413,R413,W413,X413))</f>
        <v/>
      </c>
      <c r="AE413">
        <f>IF(A413="","",IF(AND(Z413&lt;&gt;"YES",AD413&lt;&gt;"",AD413&gt;THRESHOLDS!$B$12),"STUCK — act today",""))</f>
        <v/>
      </c>
      <c r="AF413">
        <f>IF(A413="","",IF(J413="Active (verified)","",IF(J413="","Ask GST status (readiness R2)","Escalate to founder: orders need verified GSTIN in current code — no tax advice")))</f>
        <v/>
      </c>
      <c r="AG413">
        <f>IF(AND(G413&lt;&gt;"",L413&lt;&gt;""),L413-G413,"")</f>
        <v/>
      </c>
      <c r="AH413">
        <f>IF(AND(L413&lt;&gt;"",N413&lt;&gt;""),N413-L413,"")</f>
        <v/>
      </c>
      <c r="AI413">
        <f>IF(AND(N413&lt;&gt;"",AA413&lt;&gt;""),AA413-N413,"")</f>
        <v/>
      </c>
      <c r="AJ413">
        <f>IF(AND(L413&lt;&gt;"",N413&lt;&gt;"",Q413&lt;&gt;""),"Qualifies (if FP-QUAL adopted)","")</f>
        <v/>
      </c>
    </row>
    <row r="414">
      <c r="G414" s="9" t="n"/>
      <c r="H414" s="9" t="n"/>
      <c r="K414" s="9" t="n"/>
      <c r="L414" s="9" t="n"/>
      <c r="M414" s="9" t="n"/>
      <c r="N414" s="9" t="n"/>
      <c r="O414" s="9" t="n"/>
      <c r="Q414" s="9" t="n"/>
      <c r="R414" s="9" t="n"/>
      <c r="W414" s="9" t="n"/>
      <c r="X414" s="9" t="n"/>
      <c r="Z414">
        <f>IF(A414="","",IF(AND(N414&lt;&gt;"",O414&lt;&gt;"",Q414&lt;&gt;"",R414&lt;&gt;"",S414="Y"),"YES","no"))</f>
        <v/>
      </c>
      <c r="AA414" s="9">
        <f>IF(Z414="YES",MAX(N414,O414,Q414,R414),"")</f>
        <v/>
      </c>
      <c r="AB414">
        <f>IF(A414="","",IF(X414&lt;&gt;"","13 Repeat activity",IF(W414&lt;&gt;"","12 First enquiry/order/booking",IF(Z414="YES","11 ACTIVATED",IF(Q414&lt;&gt;"","10 First listing live",IF(O414&lt;&gt;"","9 Profile completed",IF(N414&lt;&gt;"","8 Approved",IF(M414&lt;&gt;"","7 KYC submitted",IF(L414&lt;&gt;"","6 Registration completed",IF(K414&lt;&gt;"","5b Registration started",IF(H414&lt;&gt;"","5a Information sent",IF(G414&lt;&gt;"","5 Interested","—"))))))))))))</f>
        <v/>
      </c>
      <c r="AC414" s="10">
        <f>IF(A414="","",(COUNT(G414,H414,K414,L414,M414,N414,O414,Q414,R414)+(I414="Y")+(P414="Y")+(S414="Y"))/12)</f>
        <v/>
      </c>
      <c r="AD414">
        <f>IF(OR(A414="",COUNT(G414:X414)=0),"",TODAY()-MAX(G414,H414,K414,L414,M414,N414,O414,Q414,R414,W414,X414))</f>
        <v/>
      </c>
      <c r="AE414">
        <f>IF(A414="","",IF(AND(Z414&lt;&gt;"YES",AD414&lt;&gt;"",AD414&gt;THRESHOLDS!$B$12),"STUCK — act today",""))</f>
        <v/>
      </c>
      <c r="AF414">
        <f>IF(A414="","",IF(J414="Active (verified)","",IF(J414="","Ask GST status (readiness R2)","Escalate to founder: orders need verified GSTIN in current code — no tax advice")))</f>
        <v/>
      </c>
      <c r="AG414">
        <f>IF(AND(G414&lt;&gt;"",L414&lt;&gt;""),L414-G414,"")</f>
        <v/>
      </c>
      <c r="AH414">
        <f>IF(AND(L414&lt;&gt;"",N414&lt;&gt;""),N414-L414,"")</f>
        <v/>
      </c>
      <c r="AI414">
        <f>IF(AND(N414&lt;&gt;"",AA414&lt;&gt;""),AA414-N414,"")</f>
        <v/>
      </c>
      <c r="AJ414">
        <f>IF(AND(L414&lt;&gt;"",N414&lt;&gt;"",Q414&lt;&gt;""),"Qualifies (if FP-QUAL adopted)","")</f>
        <v/>
      </c>
    </row>
    <row r="415">
      <c r="G415" s="9" t="n"/>
      <c r="H415" s="9" t="n"/>
      <c r="K415" s="9" t="n"/>
      <c r="L415" s="9" t="n"/>
      <c r="M415" s="9" t="n"/>
      <c r="N415" s="9" t="n"/>
      <c r="O415" s="9" t="n"/>
      <c r="Q415" s="9" t="n"/>
      <c r="R415" s="9" t="n"/>
      <c r="W415" s="9" t="n"/>
      <c r="X415" s="9" t="n"/>
      <c r="Z415">
        <f>IF(A415="","",IF(AND(N415&lt;&gt;"",O415&lt;&gt;"",Q415&lt;&gt;"",R415&lt;&gt;"",S415="Y"),"YES","no"))</f>
        <v/>
      </c>
      <c r="AA415" s="9">
        <f>IF(Z415="YES",MAX(N415,O415,Q415,R415),"")</f>
        <v/>
      </c>
      <c r="AB415">
        <f>IF(A415="","",IF(X415&lt;&gt;"","13 Repeat activity",IF(W415&lt;&gt;"","12 First enquiry/order/booking",IF(Z415="YES","11 ACTIVATED",IF(Q415&lt;&gt;"","10 First listing live",IF(O415&lt;&gt;"","9 Profile completed",IF(N415&lt;&gt;"","8 Approved",IF(M415&lt;&gt;"","7 KYC submitted",IF(L415&lt;&gt;"","6 Registration completed",IF(K415&lt;&gt;"","5b Registration started",IF(H415&lt;&gt;"","5a Information sent",IF(G415&lt;&gt;"","5 Interested","—"))))))))))))</f>
        <v/>
      </c>
      <c r="AC415" s="10">
        <f>IF(A415="","",(COUNT(G415,H415,K415,L415,M415,N415,O415,Q415,R415)+(I415="Y")+(P415="Y")+(S415="Y"))/12)</f>
        <v/>
      </c>
      <c r="AD415">
        <f>IF(OR(A415="",COUNT(G415:X415)=0),"",TODAY()-MAX(G415,H415,K415,L415,M415,N415,O415,Q415,R415,W415,X415))</f>
        <v/>
      </c>
      <c r="AE415">
        <f>IF(A415="","",IF(AND(Z415&lt;&gt;"YES",AD415&lt;&gt;"",AD415&gt;THRESHOLDS!$B$12),"STUCK — act today",""))</f>
        <v/>
      </c>
      <c r="AF415">
        <f>IF(A415="","",IF(J415="Active (verified)","",IF(J415="","Ask GST status (readiness R2)","Escalate to founder: orders need verified GSTIN in current code — no tax advice")))</f>
        <v/>
      </c>
      <c r="AG415">
        <f>IF(AND(G415&lt;&gt;"",L415&lt;&gt;""),L415-G415,"")</f>
        <v/>
      </c>
      <c r="AH415">
        <f>IF(AND(L415&lt;&gt;"",N415&lt;&gt;""),N415-L415,"")</f>
        <v/>
      </c>
      <c r="AI415">
        <f>IF(AND(N415&lt;&gt;"",AA415&lt;&gt;""),AA415-N415,"")</f>
        <v/>
      </c>
      <c r="AJ415">
        <f>IF(AND(L415&lt;&gt;"",N415&lt;&gt;"",Q415&lt;&gt;""),"Qualifies (if FP-QUAL adopted)","")</f>
        <v/>
      </c>
    </row>
    <row r="416">
      <c r="G416" s="9" t="n"/>
      <c r="H416" s="9" t="n"/>
      <c r="K416" s="9" t="n"/>
      <c r="L416" s="9" t="n"/>
      <c r="M416" s="9" t="n"/>
      <c r="N416" s="9" t="n"/>
      <c r="O416" s="9" t="n"/>
      <c r="Q416" s="9" t="n"/>
      <c r="R416" s="9" t="n"/>
      <c r="W416" s="9" t="n"/>
      <c r="X416" s="9" t="n"/>
      <c r="Z416">
        <f>IF(A416="","",IF(AND(N416&lt;&gt;"",O416&lt;&gt;"",Q416&lt;&gt;"",R416&lt;&gt;"",S416="Y"),"YES","no"))</f>
        <v/>
      </c>
      <c r="AA416" s="9">
        <f>IF(Z416="YES",MAX(N416,O416,Q416,R416),"")</f>
        <v/>
      </c>
      <c r="AB416">
        <f>IF(A416="","",IF(X416&lt;&gt;"","13 Repeat activity",IF(W416&lt;&gt;"","12 First enquiry/order/booking",IF(Z416="YES","11 ACTIVATED",IF(Q416&lt;&gt;"","10 First listing live",IF(O416&lt;&gt;"","9 Profile completed",IF(N416&lt;&gt;"","8 Approved",IF(M416&lt;&gt;"","7 KYC submitted",IF(L416&lt;&gt;"","6 Registration completed",IF(K416&lt;&gt;"","5b Registration started",IF(H416&lt;&gt;"","5a Information sent",IF(G416&lt;&gt;"","5 Interested","—"))))))))))))</f>
        <v/>
      </c>
      <c r="AC416" s="10">
        <f>IF(A416="","",(COUNT(G416,H416,K416,L416,M416,N416,O416,Q416,R416)+(I416="Y")+(P416="Y")+(S416="Y"))/12)</f>
        <v/>
      </c>
      <c r="AD416">
        <f>IF(OR(A416="",COUNT(G416:X416)=0),"",TODAY()-MAX(G416,H416,K416,L416,M416,N416,O416,Q416,R416,W416,X416))</f>
        <v/>
      </c>
      <c r="AE416">
        <f>IF(A416="","",IF(AND(Z416&lt;&gt;"YES",AD416&lt;&gt;"",AD416&gt;THRESHOLDS!$B$12),"STUCK — act today",""))</f>
        <v/>
      </c>
      <c r="AF416">
        <f>IF(A416="","",IF(J416="Active (verified)","",IF(J416="","Ask GST status (readiness R2)","Escalate to founder: orders need verified GSTIN in current code — no tax advice")))</f>
        <v/>
      </c>
      <c r="AG416">
        <f>IF(AND(G416&lt;&gt;"",L416&lt;&gt;""),L416-G416,"")</f>
        <v/>
      </c>
      <c r="AH416">
        <f>IF(AND(L416&lt;&gt;"",N416&lt;&gt;""),N416-L416,"")</f>
        <v/>
      </c>
      <c r="AI416">
        <f>IF(AND(N416&lt;&gt;"",AA416&lt;&gt;""),AA416-N416,"")</f>
        <v/>
      </c>
      <c r="AJ416">
        <f>IF(AND(L416&lt;&gt;"",N416&lt;&gt;"",Q416&lt;&gt;""),"Qualifies (if FP-QUAL adopted)","")</f>
        <v/>
      </c>
    </row>
    <row r="417">
      <c r="G417" s="9" t="n"/>
      <c r="H417" s="9" t="n"/>
      <c r="K417" s="9" t="n"/>
      <c r="L417" s="9" t="n"/>
      <c r="M417" s="9" t="n"/>
      <c r="N417" s="9" t="n"/>
      <c r="O417" s="9" t="n"/>
      <c r="Q417" s="9" t="n"/>
      <c r="R417" s="9" t="n"/>
      <c r="W417" s="9" t="n"/>
      <c r="X417" s="9" t="n"/>
      <c r="Z417">
        <f>IF(A417="","",IF(AND(N417&lt;&gt;"",O417&lt;&gt;"",Q417&lt;&gt;"",R417&lt;&gt;"",S417="Y"),"YES","no"))</f>
        <v/>
      </c>
      <c r="AA417" s="9">
        <f>IF(Z417="YES",MAX(N417,O417,Q417,R417),"")</f>
        <v/>
      </c>
      <c r="AB417">
        <f>IF(A417="","",IF(X417&lt;&gt;"","13 Repeat activity",IF(W417&lt;&gt;"","12 First enquiry/order/booking",IF(Z417="YES","11 ACTIVATED",IF(Q417&lt;&gt;"","10 First listing live",IF(O417&lt;&gt;"","9 Profile completed",IF(N417&lt;&gt;"","8 Approved",IF(M417&lt;&gt;"","7 KYC submitted",IF(L417&lt;&gt;"","6 Registration completed",IF(K417&lt;&gt;"","5b Registration started",IF(H417&lt;&gt;"","5a Information sent",IF(G417&lt;&gt;"","5 Interested","—"))))))))))))</f>
        <v/>
      </c>
      <c r="AC417" s="10">
        <f>IF(A417="","",(COUNT(G417,H417,K417,L417,M417,N417,O417,Q417,R417)+(I417="Y")+(P417="Y")+(S417="Y"))/12)</f>
        <v/>
      </c>
      <c r="AD417">
        <f>IF(OR(A417="",COUNT(G417:X417)=0),"",TODAY()-MAX(G417,H417,K417,L417,M417,N417,O417,Q417,R417,W417,X417))</f>
        <v/>
      </c>
      <c r="AE417">
        <f>IF(A417="","",IF(AND(Z417&lt;&gt;"YES",AD417&lt;&gt;"",AD417&gt;THRESHOLDS!$B$12),"STUCK — act today",""))</f>
        <v/>
      </c>
      <c r="AF417">
        <f>IF(A417="","",IF(J417="Active (verified)","",IF(J417="","Ask GST status (readiness R2)","Escalate to founder: orders need verified GSTIN in current code — no tax advice")))</f>
        <v/>
      </c>
      <c r="AG417">
        <f>IF(AND(G417&lt;&gt;"",L417&lt;&gt;""),L417-G417,"")</f>
        <v/>
      </c>
      <c r="AH417">
        <f>IF(AND(L417&lt;&gt;"",N417&lt;&gt;""),N417-L417,"")</f>
        <v/>
      </c>
      <c r="AI417">
        <f>IF(AND(N417&lt;&gt;"",AA417&lt;&gt;""),AA417-N417,"")</f>
        <v/>
      </c>
      <c r="AJ417">
        <f>IF(AND(L417&lt;&gt;"",N417&lt;&gt;"",Q417&lt;&gt;""),"Qualifies (if FP-QUAL adopted)","")</f>
        <v/>
      </c>
    </row>
    <row r="418">
      <c r="G418" s="9" t="n"/>
      <c r="H418" s="9" t="n"/>
      <c r="K418" s="9" t="n"/>
      <c r="L418" s="9" t="n"/>
      <c r="M418" s="9" t="n"/>
      <c r="N418" s="9" t="n"/>
      <c r="O418" s="9" t="n"/>
      <c r="Q418" s="9" t="n"/>
      <c r="R418" s="9" t="n"/>
      <c r="W418" s="9" t="n"/>
      <c r="X418" s="9" t="n"/>
      <c r="Z418">
        <f>IF(A418="","",IF(AND(N418&lt;&gt;"",O418&lt;&gt;"",Q418&lt;&gt;"",R418&lt;&gt;"",S418="Y"),"YES","no"))</f>
        <v/>
      </c>
      <c r="AA418" s="9">
        <f>IF(Z418="YES",MAX(N418,O418,Q418,R418),"")</f>
        <v/>
      </c>
      <c r="AB418">
        <f>IF(A418="","",IF(X418&lt;&gt;"","13 Repeat activity",IF(W418&lt;&gt;"","12 First enquiry/order/booking",IF(Z418="YES","11 ACTIVATED",IF(Q418&lt;&gt;"","10 First listing live",IF(O418&lt;&gt;"","9 Profile completed",IF(N418&lt;&gt;"","8 Approved",IF(M418&lt;&gt;"","7 KYC submitted",IF(L418&lt;&gt;"","6 Registration completed",IF(K418&lt;&gt;"","5b Registration started",IF(H418&lt;&gt;"","5a Information sent",IF(G418&lt;&gt;"","5 Interested","—"))))))))))))</f>
        <v/>
      </c>
      <c r="AC418" s="10">
        <f>IF(A418="","",(COUNT(G418,H418,K418,L418,M418,N418,O418,Q418,R418)+(I418="Y")+(P418="Y")+(S418="Y"))/12)</f>
        <v/>
      </c>
      <c r="AD418">
        <f>IF(OR(A418="",COUNT(G418:X418)=0),"",TODAY()-MAX(G418,H418,K418,L418,M418,N418,O418,Q418,R418,W418,X418))</f>
        <v/>
      </c>
      <c r="AE418">
        <f>IF(A418="","",IF(AND(Z418&lt;&gt;"YES",AD418&lt;&gt;"",AD418&gt;THRESHOLDS!$B$12),"STUCK — act today",""))</f>
        <v/>
      </c>
      <c r="AF418">
        <f>IF(A418="","",IF(J418="Active (verified)","",IF(J418="","Ask GST status (readiness R2)","Escalate to founder: orders need verified GSTIN in current code — no tax advice")))</f>
        <v/>
      </c>
      <c r="AG418">
        <f>IF(AND(G418&lt;&gt;"",L418&lt;&gt;""),L418-G418,"")</f>
        <v/>
      </c>
      <c r="AH418">
        <f>IF(AND(L418&lt;&gt;"",N418&lt;&gt;""),N418-L418,"")</f>
        <v/>
      </c>
      <c r="AI418">
        <f>IF(AND(N418&lt;&gt;"",AA418&lt;&gt;""),AA418-N418,"")</f>
        <v/>
      </c>
      <c r="AJ418">
        <f>IF(AND(L418&lt;&gt;"",N418&lt;&gt;"",Q418&lt;&gt;""),"Qualifies (if FP-QUAL adopted)","")</f>
        <v/>
      </c>
    </row>
    <row r="419">
      <c r="G419" s="9" t="n"/>
      <c r="H419" s="9" t="n"/>
      <c r="K419" s="9" t="n"/>
      <c r="L419" s="9" t="n"/>
      <c r="M419" s="9" t="n"/>
      <c r="N419" s="9" t="n"/>
      <c r="O419" s="9" t="n"/>
      <c r="Q419" s="9" t="n"/>
      <c r="R419" s="9" t="n"/>
      <c r="W419" s="9" t="n"/>
      <c r="X419" s="9" t="n"/>
      <c r="Z419">
        <f>IF(A419="","",IF(AND(N419&lt;&gt;"",O419&lt;&gt;"",Q419&lt;&gt;"",R419&lt;&gt;"",S419="Y"),"YES","no"))</f>
        <v/>
      </c>
      <c r="AA419" s="9">
        <f>IF(Z419="YES",MAX(N419,O419,Q419,R419),"")</f>
        <v/>
      </c>
      <c r="AB419">
        <f>IF(A419="","",IF(X419&lt;&gt;"","13 Repeat activity",IF(W419&lt;&gt;"","12 First enquiry/order/booking",IF(Z419="YES","11 ACTIVATED",IF(Q419&lt;&gt;"","10 First listing live",IF(O419&lt;&gt;"","9 Profile completed",IF(N419&lt;&gt;"","8 Approved",IF(M419&lt;&gt;"","7 KYC submitted",IF(L419&lt;&gt;"","6 Registration completed",IF(K419&lt;&gt;"","5b Registration started",IF(H419&lt;&gt;"","5a Information sent",IF(G419&lt;&gt;"","5 Interested","—"))))))))))))</f>
        <v/>
      </c>
      <c r="AC419" s="10">
        <f>IF(A419="","",(COUNT(G419,H419,K419,L419,M419,N419,O419,Q419,R419)+(I419="Y")+(P419="Y")+(S419="Y"))/12)</f>
        <v/>
      </c>
      <c r="AD419">
        <f>IF(OR(A419="",COUNT(G419:X419)=0),"",TODAY()-MAX(G419,H419,K419,L419,M419,N419,O419,Q419,R419,W419,X419))</f>
        <v/>
      </c>
      <c r="AE419">
        <f>IF(A419="","",IF(AND(Z419&lt;&gt;"YES",AD419&lt;&gt;"",AD419&gt;THRESHOLDS!$B$12),"STUCK — act today",""))</f>
        <v/>
      </c>
      <c r="AF419">
        <f>IF(A419="","",IF(J419="Active (verified)","",IF(J419="","Ask GST status (readiness R2)","Escalate to founder: orders need verified GSTIN in current code — no tax advice")))</f>
        <v/>
      </c>
      <c r="AG419">
        <f>IF(AND(G419&lt;&gt;"",L419&lt;&gt;""),L419-G419,"")</f>
        <v/>
      </c>
      <c r="AH419">
        <f>IF(AND(L419&lt;&gt;"",N419&lt;&gt;""),N419-L419,"")</f>
        <v/>
      </c>
      <c r="AI419">
        <f>IF(AND(N419&lt;&gt;"",AA419&lt;&gt;""),AA419-N419,"")</f>
        <v/>
      </c>
      <c r="AJ419">
        <f>IF(AND(L419&lt;&gt;"",N419&lt;&gt;"",Q419&lt;&gt;""),"Qualifies (if FP-QUAL adopted)","")</f>
        <v/>
      </c>
    </row>
    <row r="420">
      <c r="G420" s="9" t="n"/>
      <c r="H420" s="9" t="n"/>
      <c r="K420" s="9" t="n"/>
      <c r="L420" s="9" t="n"/>
      <c r="M420" s="9" t="n"/>
      <c r="N420" s="9" t="n"/>
      <c r="O420" s="9" t="n"/>
      <c r="Q420" s="9" t="n"/>
      <c r="R420" s="9" t="n"/>
      <c r="W420" s="9" t="n"/>
      <c r="X420" s="9" t="n"/>
      <c r="Z420">
        <f>IF(A420="","",IF(AND(N420&lt;&gt;"",O420&lt;&gt;"",Q420&lt;&gt;"",R420&lt;&gt;"",S420="Y"),"YES","no"))</f>
        <v/>
      </c>
      <c r="AA420" s="9">
        <f>IF(Z420="YES",MAX(N420,O420,Q420,R420),"")</f>
        <v/>
      </c>
      <c r="AB420">
        <f>IF(A420="","",IF(X420&lt;&gt;"","13 Repeat activity",IF(W420&lt;&gt;"","12 First enquiry/order/booking",IF(Z420="YES","11 ACTIVATED",IF(Q420&lt;&gt;"","10 First listing live",IF(O420&lt;&gt;"","9 Profile completed",IF(N420&lt;&gt;"","8 Approved",IF(M420&lt;&gt;"","7 KYC submitted",IF(L420&lt;&gt;"","6 Registration completed",IF(K420&lt;&gt;"","5b Registration started",IF(H420&lt;&gt;"","5a Information sent",IF(G420&lt;&gt;"","5 Interested","—"))))))))))))</f>
        <v/>
      </c>
      <c r="AC420" s="10">
        <f>IF(A420="","",(COUNT(G420,H420,K420,L420,M420,N420,O420,Q420,R420)+(I420="Y")+(P420="Y")+(S420="Y"))/12)</f>
        <v/>
      </c>
      <c r="AD420">
        <f>IF(OR(A420="",COUNT(G420:X420)=0),"",TODAY()-MAX(G420,H420,K420,L420,M420,N420,O420,Q420,R420,W420,X420))</f>
        <v/>
      </c>
      <c r="AE420">
        <f>IF(A420="","",IF(AND(Z420&lt;&gt;"YES",AD420&lt;&gt;"",AD420&gt;THRESHOLDS!$B$12),"STUCK — act today",""))</f>
        <v/>
      </c>
      <c r="AF420">
        <f>IF(A420="","",IF(J420="Active (verified)","",IF(J420="","Ask GST status (readiness R2)","Escalate to founder: orders need verified GSTIN in current code — no tax advice")))</f>
        <v/>
      </c>
      <c r="AG420">
        <f>IF(AND(G420&lt;&gt;"",L420&lt;&gt;""),L420-G420,"")</f>
        <v/>
      </c>
      <c r="AH420">
        <f>IF(AND(L420&lt;&gt;"",N420&lt;&gt;""),N420-L420,"")</f>
        <v/>
      </c>
      <c r="AI420">
        <f>IF(AND(N420&lt;&gt;"",AA420&lt;&gt;""),AA420-N420,"")</f>
        <v/>
      </c>
      <c r="AJ420">
        <f>IF(AND(L420&lt;&gt;"",N420&lt;&gt;"",Q420&lt;&gt;""),"Qualifies (if FP-QUAL adopted)","")</f>
        <v/>
      </c>
    </row>
    <row r="421">
      <c r="G421" s="9" t="n"/>
      <c r="H421" s="9" t="n"/>
      <c r="K421" s="9" t="n"/>
      <c r="L421" s="9" t="n"/>
      <c r="M421" s="9" t="n"/>
      <c r="N421" s="9" t="n"/>
      <c r="O421" s="9" t="n"/>
      <c r="Q421" s="9" t="n"/>
      <c r="R421" s="9" t="n"/>
      <c r="W421" s="9" t="n"/>
      <c r="X421" s="9" t="n"/>
      <c r="Z421">
        <f>IF(A421="","",IF(AND(N421&lt;&gt;"",O421&lt;&gt;"",Q421&lt;&gt;"",R421&lt;&gt;"",S421="Y"),"YES","no"))</f>
        <v/>
      </c>
      <c r="AA421" s="9">
        <f>IF(Z421="YES",MAX(N421,O421,Q421,R421),"")</f>
        <v/>
      </c>
      <c r="AB421">
        <f>IF(A421="","",IF(X421&lt;&gt;"","13 Repeat activity",IF(W421&lt;&gt;"","12 First enquiry/order/booking",IF(Z421="YES","11 ACTIVATED",IF(Q421&lt;&gt;"","10 First listing live",IF(O421&lt;&gt;"","9 Profile completed",IF(N421&lt;&gt;"","8 Approved",IF(M421&lt;&gt;"","7 KYC submitted",IF(L421&lt;&gt;"","6 Registration completed",IF(K421&lt;&gt;"","5b Registration started",IF(H421&lt;&gt;"","5a Information sent",IF(G421&lt;&gt;"","5 Interested","—"))))))))))))</f>
        <v/>
      </c>
      <c r="AC421" s="10">
        <f>IF(A421="","",(COUNT(G421,H421,K421,L421,M421,N421,O421,Q421,R421)+(I421="Y")+(P421="Y")+(S421="Y"))/12)</f>
        <v/>
      </c>
      <c r="AD421">
        <f>IF(OR(A421="",COUNT(G421:X421)=0),"",TODAY()-MAX(G421,H421,K421,L421,M421,N421,O421,Q421,R421,W421,X421))</f>
        <v/>
      </c>
      <c r="AE421">
        <f>IF(A421="","",IF(AND(Z421&lt;&gt;"YES",AD421&lt;&gt;"",AD421&gt;THRESHOLDS!$B$12),"STUCK — act today",""))</f>
        <v/>
      </c>
      <c r="AF421">
        <f>IF(A421="","",IF(J421="Active (verified)","",IF(J421="","Ask GST status (readiness R2)","Escalate to founder: orders need verified GSTIN in current code — no tax advice")))</f>
        <v/>
      </c>
      <c r="AG421">
        <f>IF(AND(G421&lt;&gt;"",L421&lt;&gt;""),L421-G421,"")</f>
        <v/>
      </c>
      <c r="AH421">
        <f>IF(AND(L421&lt;&gt;"",N421&lt;&gt;""),N421-L421,"")</f>
        <v/>
      </c>
      <c r="AI421">
        <f>IF(AND(N421&lt;&gt;"",AA421&lt;&gt;""),AA421-N421,"")</f>
        <v/>
      </c>
      <c r="AJ421">
        <f>IF(AND(L421&lt;&gt;"",N421&lt;&gt;"",Q421&lt;&gt;""),"Qualifies (if FP-QUAL adopted)","")</f>
        <v/>
      </c>
    </row>
    <row r="422">
      <c r="G422" s="9" t="n"/>
      <c r="H422" s="9" t="n"/>
      <c r="K422" s="9" t="n"/>
      <c r="L422" s="9" t="n"/>
      <c r="M422" s="9" t="n"/>
      <c r="N422" s="9" t="n"/>
      <c r="O422" s="9" t="n"/>
      <c r="Q422" s="9" t="n"/>
      <c r="R422" s="9" t="n"/>
      <c r="W422" s="9" t="n"/>
      <c r="X422" s="9" t="n"/>
      <c r="Z422">
        <f>IF(A422="","",IF(AND(N422&lt;&gt;"",O422&lt;&gt;"",Q422&lt;&gt;"",R422&lt;&gt;"",S422="Y"),"YES","no"))</f>
        <v/>
      </c>
      <c r="AA422" s="9">
        <f>IF(Z422="YES",MAX(N422,O422,Q422,R422),"")</f>
        <v/>
      </c>
      <c r="AB422">
        <f>IF(A422="","",IF(X422&lt;&gt;"","13 Repeat activity",IF(W422&lt;&gt;"","12 First enquiry/order/booking",IF(Z422="YES","11 ACTIVATED",IF(Q422&lt;&gt;"","10 First listing live",IF(O422&lt;&gt;"","9 Profile completed",IF(N422&lt;&gt;"","8 Approved",IF(M422&lt;&gt;"","7 KYC submitted",IF(L422&lt;&gt;"","6 Registration completed",IF(K422&lt;&gt;"","5b Registration started",IF(H422&lt;&gt;"","5a Information sent",IF(G422&lt;&gt;"","5 Interested","—"))))))))))))</f>
        <v/>
      </c>
      <c r="AC422" s="10">
        <f>IF(A422="","",(COUNT(G422,H422,K422,L422,M422,N422,O422,Q422,R422)+(I422="Y")+(P422="Y")+(S422="Y"))/12)</f>
        <v/>
      </c>
      <c r="AD422">
        <f>IF(OR(A422="",COUNT(G422:X422)=0),"",TODAY()-MAX(G422,H422,K422,L422,M422,N422,O422,Q422,R422,W422,X422))</f>
        <v/>
      </c>
      <c r="AE422">
        <f>IF(A422="","",IF(AND(Z422&lt;&gt;"YES",AD422&lt;&gt;"",AD422&gt;THRESHOLDS!$B$12),"STUCK — act today",""))</f>
        <v/>
      </c>
      <c r="AF422">
        <f>IF(A422="","",IF(J422="Active (verified)","",IF(J422="","Ask GST status (readiness R2)","Escalate to founder: orders need verified GSTIN in current code — no tax advice")))</f>
        <v/>
      </c>
      <c r="AG422">
        <f>IF(AND(G422&lt;&gt;"",L422&lt;&gt;""),L422-G422,"")</f>
        <v/>
      </c>
      <c r="AH422">
        <f>IF(AND(L422&lt;&gt;"",N422&lt;&gt;""),N422-L422,"")</f>
        <v/>
      </c>
      <c r="AI422">
        <f>IF(AND(N422&lt;&gt;"",AA422&lt;&gt;""),AA422-N422,"")</f>
        <v/>
      </c>
      <c r="AJ422">
        <f>IF(AND(L422&lt;&gt;"",N422&lt;&gt;"",Q422&lt;&gt;""),"Qualifies (if FP-QUAL adopted)","")</f>
        <v/>
      </c>
    </row>
    <row r="423">
      <c r="G423" s="9" t="n"/>
      <c r="H423" s="9" t="n"/>
      <c r="K423" s="9" t="n"/>
      <c r="L423" s="9" t="n"/>
      <c r="M423" s="9" t="n"/>
      <c r="N423" s="9" t="n"/>
      <c r="O423" s="9" t="n"/>
      <c r="Q423" s="9" t="n"/>
      <c r="R423" s="9" t="n"/>
      <c r="W423" s="9" t="n"/>
      <c r="X423" s="9" t="n"/>
      <c r="Z423">
        <f>IF(A423="","",IF(AND(N423&lt;&gt;"",O423&lt;&gt;"",Q423&lt;&gt;"",R423&lt;&gt;"",S423="Y"),"YES","no"))</f>
        <v/>
      </c>
      <c r="AA423" s="9">
        <f>IF(Z423="YES",MAX(N423,O423,Q423,R423),"")</f>
        <v/>
      </c>
      <c r="AB423">
        <f>IF(A423="","",IF(X423&lt;&gt;"","13 Repeat activity",IF(W423&lt;&gt;"","12 First enquiry/order/booking",IF(Z423="YES","11 ACTIVATED",IF(Q423&lt;&gt;"","10 First listing live",IF(O423&lt;&gt;"","9 Profile completed",IF(N423&lt;&gt;"","8 Approved",IF(M423&lt;&gt;"","7 KYC submitted",IF(L423&lt;&gt;"","6 Registration completed",IF(K423&lt;&gt;"","5b Registration started",IF(H423&lt;&gt;"","5a Information sent",IF(G423&lt;&gt;"","5 Interested","—"))))))))))))</f>
        <v/>
      </c>
      <c r="AC423" s="10">
        <f>IF(A423="","",(COUNT(G423,H423,K423,L423,M423,N423,O423,Q423,R423)+(I423="Y")+(P423="Y")+(S423="Y"))/12)</f>
        <v/>
      </c>
      <c r="AD423">
        <f>IF(OR(A423="",COUNT(G423:X423)=0),"",TODAY()-MAX(G423,H423,K423,L423,M423,N423,O423,Q423,R423,W423,X423))</f>
        <v/>
      </c>
      <c r="AE423">
        <f>IF(A423="","",IF(AND(Z423&lt;&gt;"YES",AD423&lt;&gt;"",AD423&gt;THRESHOLDS!$B$12),"STUCK — act today",""))</f>
        <v/>
      </c>
      <c r="AF423">
        <f>IF(A423="","",IF(J423="Active (verified)","",IF(J423="","Ask GST status (readiness R2)","Escalate to founder: orders need verified GSTIN in current code — no tax advice")))</f>
        <v/>
      </c>
      <c r="AG423">
        <f>IF(AND(G423&lt;&gt;"",L423&lt;&gt;""),L423-G423,"")</f>
        <v/>
      </c>
      <c r="AH423">
        <f>IF(AND(L423&lt;&gt;"",N423&lt;&gt;""),N423-L423,"")</f>
        <v/>
      </c>
      <c r="AI423">
        <f>IF(AND(N423&lt;&gt;"",AA423&lt;&gt;""),AA423-N423,"")</f>
        <v/>
      </c>
      <c r="AJ423">
        <f>IF(AND(L423&lt;&gt;"",N423&lt;&gt;"",Q423&lt;&gt;""),"Qualifies (if FP-QUAL adopted)","")</f>
        <v/>
      </c>
    </row>
    <row r="424">
      <c r="G424" s="9" t="n"/>
      <c r="H424" s="9" t="n"/>
      <c r="K424" s="9" t="n"/>
      <c r="L424" s="9" t="n"/>
      <c r="M424" s="9" t="n"/>
      <c r="N424" s="9" t="n"/>
      <c r="O424" s="9" t="n"/>
      <c r="Q424" s="9" t="n"/>
      <c r="R424" s="9" t="n"/>
      <c r="W424" s="9" t="n"/>
      <c r="X424" s="9" t="n"/>
      <c r="Z424">
        <f>IF(A424="","",IF(AND(N424&lt;&gt;"",O424&lt;&gt;"",Q424&lt;&gt;"",R424&lt;&gt;"",S424="Y"),"YES","no"))</f>
        <v/>
      </c>
      <c r="AA424" s="9">
        <f>IF(Z424="YES",MAX(N424,O424,Q424,R424),"")</f>
        <v/>
      </c>
      <c r="AB424">
        <f>IF(A424="","",IF(X424&lt;&gt;"","13 Repeat activity",IF(W424&lt;&gt;"","12 First enquiry/order/booking",IF(Z424="YES","11 ACTIVATED",IF(Q424&lt;&gt;"","10 First listing live",IF(O424&lt;&gt;"","9 Profile completed",IF(N424&lt;&gt;"","8 Approved",IF(M424&lt;&gt;"","7 KYC submitted",IF(L424&lt;&gt;"","6 Registration completed",IF(K424&lt;&gt;"","5b Registration started",IF(H424&lt;&gt;"","5a Information sent",IF(G424&lt;&gt;"","5 Interested","—"))))))))))))</f>
        <v/>
      </c>
      <c r="AC424" s="10">
        <f>IF(A424="","",(COUNT(G424,H424,K424,L424,M424,N424,O424,Q424,R424)+(I424="Y")+(P424="Y")+(S424="Y"))/12)</f>
        <v/>
      </c>
      <c r="AD424">
        <f>IF(OR(A424="",COUNT(G424:X424)=0),"",TODAY()-MAX(G424,H424,K424,L424,M424,N424,O424,Q424,R424,W424,X424))</f>
        <v/>
      </c>
      <c r="AE424">
        <f>IF(A424="","",IF(AND(Z424&lt;&gt;"YES",AD424&lt;&gt;"",AD424&gt;THRESHOLDS!$B$12),"STUCK — act today",""))</f>
        <v/>
      </c>
      <c r="AF424">
        <f>IF(A424="","",IF(J424="Active (verified)","",IF(J424="","Ask GST status (readiness R2)","Escalate to founder: orders need verified GSTIN in current code — no tax advice")))</f>
        <v/>
      </c>
      <c r="AG424">
        <f>IF(AND(G424&lt;&gt;"",L424&lt;&gt;""),L424-G424,"")</f>
        <v/>
      </c>
      <c r="AH424">
        <f>IF(AND(L424&lt;&gt;"",N424&lt;&gt;""),N424-L424,"")</f>
        <v/>
      </c>
      <c r="AI424">
        <f>IF(AND(N424&lt;&gt;"",AA424&lt;&gt;""),AA424-N424,"")</f>
        <v/>
      </c>
      <c r="AJ424">
        <f>IF(AND(L424&lt;&gt;"",N424&lt;&gt;"",Q424&lt;&gt;""),"Qualifies (if FP-QUAL adopted)","")</f>
        <v/>
      </c>
    </row>
    <row r="425">
      <c r="G425" s="9" t="n"/>
      <c r="H425" s="9" t="n"/>
      <c r="K425" s="9" t="n"/>
      <c r="L425" s="9" t="n"/>
      <c r="M425" s="9" t="n"/>
      <c r="N425" s="9" t="n"/>
      <c r="O425" s="9" t="n"/>
      <c r="Q425" s="9" t="n"/>
      <c r="R425" s="9" t="n"/>
      <c r="W425" s="9" t="n"/>
      <c r="X425" s="9" t="n"/>
      <c r="Z425">
        <f>IF(A425="","",IF(AND(N425&lt;&gt;"",O425&lt;&gt;"",Q425&lt;&gt;"",R425&lt;&gt;"",S425="Y"),"YES","no"))</f>
        <v/>
      </c>
      <c r="AA425" s="9">
        <f>IF(Z425="YES",MAX(N425,O425,Q425,R425),"")</f>
        <v/>
      </c>
      <c r="AB425">
        <f>IF(A425="","",IF(X425&lt;&gt;"","13 Repeat activity",IF(W425&lt;&gt;"","12 First enquiry/order/booking",IF(Z425="YES","11 ACTIVATED",IF(Q425&lt;&gt;"","10 First listing live",IF(O425&lt;&gt;"","9 Profile completed",IF(N425&lt;&gt;"","8 Approved",IF(M425&lt;&gt;"","7 KYC submitted",IF(L425&lt;&gt;"","6 Registration completed",IF(K425&lt;&gt;"","5b Registration started",IF(H425&lt;&gt;"","5a Information sent",IF(G425&lt;&gt;"","5 Interested","—"))))))))))))</f>
        <v/>
      </c>
      <c r="AC425" s="10">
        <f>IF(A425="","",(COUNT(G425,H425,K425,L425,M425,N425,O425,Q425,R425)+(I425="Y")+(P425="Y")+(S425="Y"))/12)</f>
        <v/>
      </c>
      <c r="AD425">
        <f>IF(OR(A425="",COUNT(G425:X425)=0),"",TODAY()-MAX(G425,H425,K425,L425,M425,N425,O425,Q425,R425,W425,X425))</f>
        <v/>
      </c>
      <c r="AE425">
        <f>IF(A425="","",IF(AND(Z425&lt;&gt;"YES",AD425&lt;&gt;"",AD425&gt;THRESHOLDS!$B$12),"STUCK — act today",""))</f>
        <v/>
      </c>
      <c r="AF425">
        <f>IF(A425="","",IF(J425="Active (verified)","",IF(J425="","Ask GST status (readiness R2)","Escalate to founder: orders need verified GSTIN in current code — no tax advice")))</f>
        <v/>
      </c>
      <c r="AG425">
        <f>IF(AND(G425&lt;&gt;"",L425&lt;&gt;""),L425-G425,"")</f>
        <v/>
      </c>
      <c r="AH425">
        <f>IF(AND(L425&lt;&gt;"",N425&lt;&gt;""),N425-L425,"")</f>
        <v/>
      </c>
      <c r="AI425">
        <f>IF(AND(N425&lt;&gt;"",AA425&lt;&gt;""),AA425-N425,"")</f>
        <v/>
      </c>
      <c r="AJ425">
        <f>IF(AND(L425&lt;&gt;"",N425&lt;&gt;"",Q425&lt;&gt;""),"Qualifies (if FP-QUAL adopted)","")</f>
        <v/>
      </c>
    </row>
    <row r="426">
      <c r="G426" s="9" t="n"/>
      <c r="H426" s="9" t="n"/>
      <c r="K426" s="9" t="n"/>
      <c r="L426" s="9" t="n"/>
      <c r="M426" s="9" t="n"/>
      <c r="N426" s="9" t="n"/>
      <c r="O426" s="9" t="n"/>
      <c r="Q426" s="9" t="n"/>
      <c r="R426" s="9" t="n"/>
      <c r="W426" s="9" t="n"/>
      <c r="X426" s="9" t="n"/>
      <c r="Z426">
        <f>IF(A426="","",IF(AND(N426&lt;&gt;"",O426&lt;&gt;"",Q426&lt;&gt;"",R426&lt;&gt;"",S426="Y"),"YES","no"))</f>
        <v/>
      </c>
      <c r="AA426" s="9">
        <f>IF(Z426="YES",MAX(N426,O426,Q426,R426),"")</f>
        <v/>
      </c>
      <c r="AB426">
        <f>IF(A426="","",IF(X426&lt;&gt;"","13 Repeat activity",IF(W426&lt;&gt;"","12 First enquiry/order/booking",IF(Z426="YES","11 ACTIVATED",IF(Q426&lt;&gt;"","10 First listing live",IF(O426&lt;&gt;"","9 Profile completed",IF(N426&lt;&gt;"","8 Approved",IF(M426&lt;&gt;"","7 KYC submitted",IF(L426&lt;&gt;"","6 Registration completed",IF(K426&lt;&gt;"","5b Registration started",IF(H426&lt;&gt;"","5a Information sent",IF(G426&lt;&gt;"","5 Interested","—"))))))))))))</f>
        <v/>
      </c>
      <c r="AC426" s="10">
        <f>IF(A426="","",(COUNT(G426,H426,K426,L426,M426,N426,O426,Q426,R426)+(I426="Y")+(P426="Y")+(S426="Y"))/12)</f>
        <v/>
      </c>
      <c r="AD426">
        <f>IF(OR(A426="",COUNT(G426:X426)=0),"",TODAY()-MAX(G426,H426,K426,L426,M426,N426,O426,Q426,R426,W426,X426))</f>
        <v/>
      </c>
      <c r="AE426">
        <f>IF(A426="","",IF(AND(Z426&lt;&gt;"YES",AD426&lt;&gt;"",AD426&gt;THRESHOLDS!$B$12),"STUCK — act today",""))</f>
        <v/>
      </c>
      <c r="AF426">
        <f>IF(A426="","",IF(J426="Active (verified)","",IF(J426="","Ask GST status (readiness R2)","Escalate to founder: orders need verified GSTIN in current code — no tax advice")))</f>
        <v/>
      </c>
      <c r="AG426">
        <f>IF(AND(G426&lt;&gt;"",L426&lt;&gt;""),L426-G426,"")</f>
        <v/>
      </c>
      <c r="AH426">
        <f>IF(AND(L426&lt;&gt;"",N426&lt;&gt;""),N426-L426,"")</f>
        <v/>
      </c>
      <c r="AI426">
        <f>IF(AND(N426&lt;&gt;"",AA426&lt;&gt;""),AA426-N426,"")</f>
        <v/>
      </c>
      <c r="AJ426">
        <f>IF(AND(L426&lt;&gt;"",N426&lt;&gt;"",Q426&lt;&gt;""),"Qualifies (if FP-QUAL adopted)","")</f>
        <v/>
      </c>
    </row>
    <row r="427">
      <c r="G427" s="9" t="n"/>
      <c r="H427" s="9" t="n"/>
      <c r="K427" s="9" t="n"/>
      <c r="L427" s="9" t="n"/>
      <c r="M427" s="9" t="n"/>
      <c r="N427" s="9" t="n"/>
      <c r="O427" s="9" t="n"/>
      <c r="Q427" s="9" t="n"/>
      <c r="R427" s="9" t="n"/>
      <c r="W427" s="9" t="n"/>
      <c r="X427" s="9" t="n"/>
      <c r="Z427">
        <f>IF(A427="","",IF(AND(N427&lt;&gt;"",O427&lt;&gt;"",Q427&lt;&gt;"",R427&lt;&gt;"",S427="Y"),"YES","no"))</f>
        <v/>
      </c>
      <c r="AA427" s="9">
        <f>IF(Z427="YES",MAX(N427,O427,Q427,R427),"")</f>
        <v/>
      </c>
      <c r="AB427">
        <f>IF(A427="","",IF(X427&lt;&gt;"","13 Repeat activity",IF(W427&lt;&gt;"","12 First enquiry/order/booking",IF(Z427="YES","11 ACTIVATED",IF(Q427&lt;&gt;"","10 First listing live",IF(O427&lt;&gt;"","9 Profile completed",IF(N427&lt;&gt;"","8 Approved",IF(M427&lt;&gt;"","7 KYC submitted",IF(L427&lt;&gt;"","6 Registration completed",IF(K427&lt;&gt;"","5b Registration started",IF(H427&lt;&gt;"","5a Information sent",IF(G427&lt;&gt;"","5 Interested","—"))))))))))))</f>
        <v/>
      </c>
      <c r="AC427" s="10">
        <f>IF(A427="","",(COUNT(G427,H427,K427,L427,M427,N427,O427,Q427,R427)+(I427="Y")+(P427="Y")+(S427="Y"))/12)</f>
        <v/>
      </c>
      <c r="AD427">
        <f>IF(OR(A427="",COUNT(G427:X427)=0),"",TODAY()-MAX(G427,H427,K427,L427,M427,N427,O427,Q427,R427,W427,X427))</f>
        <v/>
      </c>
      <c r="AE427">
        <f>IF(A427="","",IF(AND(Z427&lt;&gt;"YES",AD427&lt;&gt;"",AD427&gt;THRESHOLDS!$B$12),"STUCK — act today",""))</f>
        <v/>
      </c>
      <c r="AF427">
        <f>IF(A427="","",IF(J427="Active (verified)","",IF(J427="","Ask GST status (readiness R2)","Escalate to founder: orders need verified GSTIN in current code — no tax advice")))</f>
        <v/>
      </c>
      <c r="AG427">
        <f>IF(AND(G427&lt;&gt;"",L427&lt;&gt;""),L427-G427,"")</f>
        <v/>
      </c>
      <c r="AH427">
        <f>IF(AND(L427&lt;&gt;"",N427&lt;&gt;""),N427-L427,"")</f>
        <v/>
      </c>
      <c r="AI427">
        <f>IF(AND(N427&lt;&gt;"",AA427&lt;&gt;""),AA427-N427,"")</f>
        <v/>
      </c>
      <c r="AJ427">
        <f>IF(AND(L427&lt;&gt;"",N427&lt;&gt;"",Q427&lt;&gt;""),"Qualifies (if FP-QUAL adopted)","")</f>
        <v/>
      </c>
    </row>
    <row r="428">
      <c r="G428" s="9" t="n"/>
      <c r="H428" s="9" t="n"/>
      <c r="K428" s="9" t="n"/>
      <c r="L428" s="9" t="n"/>
      <c r="M428" s="9" t="n"/>
      <c r="N428" s="9" t="n"/>
      <c r="O428" s="9" t="n"/>
      <c r="Q428" s="9" t="n"/>
      <c r="R428" s="9" t="n"/>
      <c r="W428" s="9" t="n"/>
      <c r="X428" s="9" t="n"/>
      <c r="Z428">
        <f>IF(A428="","",IF(AND(N428&lt;&gt;"",O428&lt;&gt;"",Q428&lt;&gt;"",R428&lt;&gt;"",S428="Y"),"YES","no"))</f>
        <v/>
      </c>
      <c r="AA428" s="9">
        <f>IF(Z428="YES",MAX(N428,O428,Q428,R428),"")</f>
        <v/>
      </c>
      <c r="AB428">
        <f>IF(A428="","",IF(X428&lt;&gt;"","13 Repeat activity",IF(W428&lt;&gt;"","12 First enquiry/order/booking",IF(Z428="YES","11 ACTIVATED",IF(Q428&lt;&gt;"","10 First listing live",IF(O428&lt;&gt;"","9 Profile completed",IF(N428&lt;&gt;"","8 Approved",IF(M428&lt;&gt;"","7 KYC submitted",IF(L428&lt;&gt;"","6 Registration completed",IF(K428&lt;&gt;"","5b Registration started",IF(H428&lt;&gt;"","5a Information sent",IF(G428&lt;&gt;"","5 Interested","—"))))))))))))</f>
        <v/>
      </c>
      <c r="AC428" s="10">
        <f>IF(A428="","",(COUNT(G428,H428,K428,L428,M428,N428,O428,Q428,R428)+(I428="Y")+(P428="Y")+(S428="Y"))/12)</f>
        <v/>
      </c>
      <c r="AD428">
        <f>IF(OR(A428="",COUNT(G428:X428)=0),"",TODAY()-MAX(G428,H428,K428,L428,M428,N428,O428,Q428,R428,W428,X428))</f>
        <v/>
      </c>
      <c r="AE428">
        <f>IF(A428="","",IF(AND(Z428&lt;&gt;"YES",AD428&lt;&gt;"",AD428&gt;THRESHOLDS!$B$12),"STUCK — act today",""))</f>
        <v/>
      </c>
      <c r="AF428">
        <f>IF(A428="","",IF(J428="Active (verified)","",IF(J428="","Ask GST status (readiness R2)","Escalate to founder: orders need verified GSTIN in current code — no tax advice")))</f>
        <v/>
      </c>
      <c r="AG428">
        <f>IF(AND(G428&lt;&gt;"",L428&lt;&gt;""),L428-G428,"")</f>
        <v/>
      </c>
      <c r="AH428">
        <f>IF(AND(L428&lt;&gt;"",N428&lt;&gt;""),N428-L428,"")</f>
        <v/>
      </c>
      <c r="AI428">
        <f>IF(AND(N428&lt;&gt;"",AA428&lt;&gt;""),AA428-N428,"")</f>
        <v/>
      </c>
      <c r="AJ428">
        <f>IF(AND(L428&lt;&gt;"",N428&lt;&gt;"",Q428&lt;&gt;""),"Qualifies (if FP-QUAL adopted)","")</f>
        <v/>
      </c>
    </row>
    <row r="429">
      <c r="G429" s="9" t="n"/>
      <c r="H429" s="9" t="n"/>
      <c r="K429" s="9" t="n"/>
      <c r="L429" s="9" t="n"/>
      <c r="M429" s="9" t="n"/>
      <c r="N429" s="9" t="n"/>
      <c r="O429" s="9" t="n"/>
      <c r="Q429" s="9" t="n"/>
      <c r="R429" s="9" t="n"/>
      <c r="W429" s="9" t="n"/>
      <c r="X429" s="9" t="n"/>
      <c r="Z429">
        <f>IF(A429="","",IF(AND(N429&lt;&gt;"",O429&lt;&gt;"",Q429&lt;&gt;"",R429&lt;&gt;"",S429="Y"),"YES","no"))</f>
        <v/>
      </c>
      <c r="AA429" s="9">
        <f>IF(Z429="YES",MAX(N429,O429,Q429,R429),"")</f>
        <v/>
      </c>
      <c r="AB429">
        <f>IF(A429="","",IF(X429&lt;&gt;"","13 Repeat activity",IF(W429&lt;&gt;"","12 First enquiry/order/booking",IF(Z429="YES","11 ACTIVATED",IF(Q429&lt;&gt;"","10 First listing live",IF(O429&lt;&gt;"","9 Profile completed",IF(N429&lt;&gt;"","8 Approved",IF(M429&lt;&gt;"","7 KYC submitted",IF(L429&lt;&gt;"","6 Registration completed",IF(K429&lt;&gt;"","5b Registration started",IF(H429&lt;&gt;"","5a Information sent",IF(G429&lt;&gt;"","5 Interested","—"))))))))))))</f>
        <v/>
      </c>
      <c r="AC429" s="10">
        <f>IF(A429="","",(COUNT(G429,H429,K429,L429,M429,N429,O429,Q429,R429)+(I429="Y")+(P429="Y")+(S429="Y"))/12)</f>
        <v/>
      </c>
      <c r="AD429">
        <f>IF(OR(A429="",COUNT(G429:X429)=0),"",TODAY()-MAX(G429,H429,K429,L429,M429,N429,O429,Q429,R429,W429,X429))</f>
        <v/>
      </c>
      <c r="AE429">
        <f>IF(A429="","",IF(AND(Z429&lt;&gt;"YES",AD429&lt;&gt;"",AD429&gt;THRESHOLDS!$B$12),"STUCK — act today",""))</f>
        <v/>
      </c>
      <c r="AF429">
        <f>IF(A429="","",IF(J429="Active (verified)","",IF(J429="","Ask GST status (readiness R2)","Escalate to founder: orders need verified GSTIN in current code — no tax advice")))</f>
        <v/>
      </c>
      <c r="AG429">
        <f>IF(AND(G429&lt;&gt;"",L429&lt;&gt;""),L429-G429,"")</f>
        <v/>
      </c>
      <c r="AH429">
        <f>IF(AND(L429&lt;&gt;"",N429&lt;&gt;""),N429-L429,"")</f>
        <v/>
      </c>
      <c r="AI429">
        <f>IF(AND(N429&lt;&gt;"",AA429&lt;&gt;""),AA429-N429,"")</f>
        <v/>
      </c>
      <c r="AJ429">
        <f>IF(AND(L429&lt;&gt;"",N429&lt;&gt;"",Q429&lt;&gt;""),"Qualifies (if FP-QUAL adopted)","")</f>
        <v/>
      </c>
    </row>
    <row r="430">
      <c r="G430" s="9" t="n"/>
      <c r="H430" s="9" t="n"/>
      <c r="K430" s="9" t="n"/>
      <c r="L430" s="9" t="n"/>
      <c r="M430" s="9" t="n"/>
      <c r="N430" s="9" t="n"/>
      <c r="O430" s="9" t="n"/>
      <c r="Q430" s="9" t="n"/>
      <c r="R430" s="9" t="n"/>
      <c r="W430" s="9" t="n"/>
      <c r="X430" s="9" t="n"/>
      <c r="Z430">
        <f>IF(A430="","",IF(AND(N430&lt;&gt;"",O430&lt;&gt;"",Q430&lt;&gt;"",R430&lt;&gt;"",S430="Y"),"YES","no"))</f>
        <v/>
      </c>
      <c r="AA430" s="9">
        <f>IF(Z430="YES",MAX(N430,O430,Q430,R430),"")</f>
        <v/>
      </c>
      <c r="AB430">
        <f>IF(A430="","",IF(X430&lt;&gt;"","13 Repeat activity",IF(W430&lt;&gt;"","12 First enquiry/order/booking",IF(Z430="YES","11 ACTIVATED",IF(Q430&lt;&gt;"","10 First listing live",IF(O430&lt;&gt;"","9 Profile completed",IF(N430&lt;&gt;"","8 Approved",IF(M430&lt;&gt;"","7 KYC submitted",IF(L430&lt;&gt;"","6 Registration completed",IF(K430&lt;&gt;"","5b Registration started",IF(H430&lt;&gt;"","5a Information sent",IF(G430&lt;&gt;"","5 Interested","—"))))))))))))</f>
        <v/>
      </c>
      <c r="AC430" s="10">
        <f>IF(A430="","",(COUNT(G430,H430,K430,L430,M430,N430,O430,Q430,R430)+(I430="Y")+(P430="Y")+(S430="Y"))/12)</f>
        <v/>
      </c>
      <c r="AD430">
        <f>IF(OR(A430="",COUNT(G430:X430)=0),"",TODAY()-MAX(G430,H430,K430,L430,M430,N430,O430,Q430,R430,W430,X430))</f>
        <v/>
      </c>
      <c r="AE430">
        <f>IF(A430="","",IF(AND(Z430&lt;&gt;"YES",AD430&lt;&gt;"",AD430&gt;THRESHOLDS!$B$12),"STUCK — act today",""))</f>
        <v/>
      </c>
      <c r="AF430">
        <f>IF(A430="","",IF(J430="Active (verified)","",IF(J430="","Ask GST status (readiness R2)","Escalate to founder: orders need verified GSTIN in current code — no tax advice")))</f>
        <v/>
      </c>
      <c r="AG430">
        <f>IF(AND(G430&lt;&gt;"",L430&lt;&gt;""),L430-G430,"")</f>
        <v/>
      </c>
      <c r="AH430">
        <f>IF(AND(L430&lt;&gt;"",N430&lt;&gt;""),N430-L430,"")</f>
        <v/>
      </c>
      <c r="AI430">
        <f>IF(AND(N430&lt;&gt;"",AA430&lt;&gt;""),AA430-N430,"")</f>
        <v/>
      </c>
      <c r="AJ430">
        <f>IF(AND(L430&lt;&gt;"",N430&lt;&gt;"",Q430&lt;&gt;""),"Qualifies (if FP-QUAL adopted)","")</f>
        <v/>
      </c>
    </row>
    <row r="431">
      <c r="G431" s="9" t="n"/>
      <c r="H431" s="9" t="n"/>
      <c r="K431" s="9" t="n"/>
      <c r="L431" s="9" t="n"/>
      <c r="M431" s="9" t="n"/>
      <c r="N431" s="9" t="n"/>
      <c r="O431" s="9" t="n"/>
      <c r="Q431" s="9" t="n"/>
      <c r="R431" s="9" t="n"/>
      <c r="W431" s="9" t="n"/>
      <c r="X431" s="9" t="n"/>
      <c r="Z431">
        <f>IF(A431="","",IF(AND(N431&lt;&gt;"",O431&lt;&gt;"",Q431&lt;&gt;"",R431&lt;&gt;"",S431="Y"),"YES","no"))</f>
        <v/>
      </c>
      <c r="AA431" s="9">
        <f>IF(Z431="YES",MAX(N431,O431,Q431,R431),"")</f>
        <v/>
      </c>
      <c r="AB431">
        <f>IF(A431="","",IF(X431&lt;&gt;"","13 Repeat activity",IF(W431&lt;&gt;"","12 First enquiry/order/booking",IF(Z431="YES","11 ACTIVATED",IF(Q431&lt;&gt;"","10 First listing live",IF(O431&lt;&gt;"","9 Profile completed",IF(N431&lt;&gt;"","8 Approved",IF(M431&lt;&gt;"","7 KYC submitted",IF(L431&lt;&gt;"","6 Registration completed",IF(K431&lt;&gt;"","5b Registration started",IF(H431&lt;&gt;"","5a Information sent",IF(G431&lt;&gt;"","5 Interested","—"))))))))))))</f>
        <v/>
      </c>
      <c r="AC431" s="10">
        <f>IF(A431="","",(COUNT(G431,H431,K431,L431,M431,N431,O431,Q431,R431)+(I431="Y")+(P431="Y")+(S431="Y"))/12)</f>
        <v/>
      </c>
      <c r="AD431">
        <f>IF(OR(A431="",COUNT(G431:X431)=0),"",TODAY()-MAX(G431,H431,K431,L431,M431,N431,O431,Q431,R431,W431,X431))</f>
        <v/>
      </c>
      <c r="AE431">
        <f>IF(A431="","",IF(AND(Z431&lt;&gt;"YES",AD431&lt;&gt;"",AD431&gt;THRESHOLDS!$B$12),"STUCK — act today",""))</f>
        <v/>
      </c>
      <c r="AF431">
        <f>IF(A431="","",IF(J431="Active (verified)","",IF(J431="","Ask GST status (readiness R2)","Escalate to founder: orders need verified GSTIN in current code — no tax advice")))</f>
        <v/>
      </c>
      <c r="AG431">
        <f>IF(AND(G431&lt;&gt;"",L431&lt;&gt;""),L431-G431,"")</f>
        <v/>
      </c>
      <c r="AH431">
        <f>IF(AND(L431&lt;&gt;"",N431&lt;&gt;""),N431-L431,"")</f>
        <v/>
      </c>
      <c r="AI431">
        <f>IF(AND(N431&lt;&gt;"",AA431&lt;&gt;""),AA431-N431,"")</f>
        <v/>
      </c>
      <c r="AJ431">
        <f>IF(AND(L431&lt;&gt;"",N431&lt;&gt;"",Q431&lt;&gt;""),"Qualifies (if FP-QUAL adopted)","")</f>
        <v/>
      </c>
    </row>
    <row r="432">
      <c r="G432" s="9" t="n"/>
      <c r="H432" s="9" t="n"/>
      <c r="K432" s="9" t="n"/>
      <c r="L432" s="9" t="n"/>
      <c r="M432" s="9" t="n"/>
      <c r="N432" s="9" t="n"/>
      <c r="O432" s="9" t="n"/>
      <c r="Q432" s="9" t="n"/>
      <c r="R432" s="9" t="n"/>
      <c r="W432" s="9" t="n"/>
      <c r="X432" s="9" t="n"/>
      <c r="Z432">
        <f>IF(A432="","",IF(AND(N432&lt;&gt;"",O432&lt;&gt;"",Q432&lt;&gt;"",R432&lt;&gt;"",S432="Y"),"YES","no"))</f>
        <v/>
      </c>
      <c r="AA432" s="9">
        <f>IF(Z432="YES",MAX(N432,O432,Q432,R432),"")</f>
        <v/>
      </c>
      <c r="AB432">
        <f>IF(A432="","",IF(X432&lt;&gt;"","13 Repeat activity",IF(W432&lt;&gt;"","12 First enquiry/order/booking",IF(Z432="YES","11 ACTIVATED",IF(Q432&lt;&gt;"","10 First listing live",IF(O432&lt;&gt;"","9 Profile completed",IF(N432&lt;&gt;"","8 Approved",IF(M432&lt;&gt;"","7 KYC submitted",IF(L432&lt;&gt;"","6 Registration completed",IF(K432&lt;&gt;"","5b Registration started",IF(H432&lt;&gt;"","5a Information sent",IF(G432&lt;&gt;"","5 Interested","—"))))))))))))</f>
        <v/>
      </c>
      <c r="AC432" s="10">
        <f>IF(A432="","",(COUNT(G432,H432,K432,L432,M432,N432,O432,Q432,R432)+(I432="Y")+(P432="Y")+(S432="Y"))/12)</f>
        <v/>
      </c>
      <c r="AD432">
        <f>IF(OR(A432="",COUNT(G432:X432)=0),"",TODAY()-MAX(G432,H432,K432,L432,M432,N432,O432,Q432,R432,W432,X432))</f>
        <v/>
      </c>
      <c r="AE432">
        <f>IF(A432="","",IF(AND(Z432&lt;&gt;"YES",AD432&lt;&gt;"",AD432&gt;THRESHOLDS!$B$12),"STUCK — act today",""))</f>
        <v/>
      </c>
      <c r="AF432">
        <f>IF(A432="","",IF(J432="Active (verified)","",IF(J432="","Ask GST status (readiness R2)","Escalate to founder: orders need verified GSTIN in current code — no tax advice")))</f>
        <v/>
      </c>
      <c r="AG432">
        <f>IF(AND(G432&lt;&gt;"",L432&lt;&gt;""),L432-G432,"")</f>
        <v/>
      </c>
      <c r="AH432">
        <f>IF(AND(L432&lt;&gt;"",N432&lt;&gt;""),N432-L432,"")</f>
        <v/>
      </c>
      <c r="AI432">
        <f>IF(AND(N432&lt;&gt;"",AA432&lt;&gt;""),AA432-N432,"")</f>
        <v/>
      </c>
      <c r="AJ432">
        <f>IF(AND(L432&lt;&gt;"",N432&lt;&gt;"",Q432&lt;&gt;""),"Qualifies (if FP-QUAL adopted)","")</f>
        <v/>
      </c>
    </row>
    <row r="433">
      <c r="G433" s="9" t="n"/>
      <c r="H433" s="9" t="n"/>
      <c r="K433" s="9" t="n"/>
      <c r="L433" s="9" t="n"/>
      <c r="M433" s="9" t="n"/>
      <c r="N433" s="9" t="n"/>
      <c r="O433" s="9" t="n"/>
      <c r="Q433" s="9" t="n"/>
      <c r="R433" s="9" t="n"/>
      <c r="W433" s="9" t="n"/>
      <c r="X433" s="9" t="n"/>
      <c r="Z433">
        <f>IF(A433="","",IF(AND(N433&lt;&gt;"",O433&lt;&gt;"",Q433&lt;&gt;"",R433&lt;&gt;"",S433="Y"),"YES","no"))</f>
        <v/>
      </c>
      <c r="AA433" s="9">
        <f>IF(Z433="YES",MAX(N433,O433,Q433,R433),"")</f>
        <v/>
      </c>
      <c r="AB433">
        <f>IF(A433="","",IF(X433&lt;&gt;"","13 Repeat activity",IF(W433&lt;&gt;"","12 First enquiry/order/booking",IF(Z433="YES","11 ACTIVATED",IF(Q433&lt;&gt;"","10 First listing live",IF(O433&lt;&gt;"","9 Profile completed",IF(N433&lt;&gt;"","8 Approved",IF(M433&lt;&gt;"","7 KYC submitted",IF(L433&lt;&gt;"","6 Registration completed",IF(K433&lt;&gt;"","5b Registration started",IF(H433&lt;&gt;"","5a Information sent",IF(G433&lt;&gt;"","5 Interested","—"))))))))))))</f>
        <v/>
      </c>
      <c r="AC433" s="10">
        <f>IF(A433="","",(COUNT(G433,H433,K433,L433,M433,N433,O433,Q433,R433)+(I433="Y")+(P433="Y")+(S433="Y"))/12)</f>
        <v/>
      </c>
      <c r="AD433">
        <f>IF(OR(A433="",COUNT(G433:X433)=0),"",TODAY()-MAX(G433,H433,K433,L433,M433,N433,O433,Q433,R433,W433,X433))</f>
        <v/>
      </c>
      <c r="AE433">
        <f>IF(A433="","",IF(AND(Z433&lt;&gt;"YES",AD433&lt;&gt;"",AD433&gt;THRESHOLDS!$B$12),"STUCK — act today",""))</f>
        <v/>
      </c>
      <c r="AF433">
        <f>IF(A433="","",IF(J433="Active (verified)","",IF(J433="","Ask GST status (readiness R2)","Escalate to founder: orders need verified GSTIN in current code — no tax advice")))</f>
        <v/>
      </c>
      <c r="AG433">
        <f>IF(AND(G433&lt;&gt;"",L433&lt;&gt;""),L433-G433,"")</f>
        <v/>
      </c>
      <c r="AH433">
        <f>IF(AND(L433&lt;&gt;"",N433&lt;&gt;""),N433-L433,"")</f>
        <v/>
      </c>
      <c r="AI433">
        <f>IF(AND(N433&lt;&gt;"",AA433&lt;&gt;""),AA433-N433,"")</f>
        <v/>
      </c>
      <c r="AJ433">
        <f>IF(AND(L433&lt;&gt;"",N433&lt;&gt;"",Q433&lt;&gt;""),"Qualifies (if FP-QUAL adopted)","")</f>
        <v/>
      </c>
    </row>
    <row r="434">
      <c r="G434" s="9" t="n"/>
      <c r="H434" s="9" t="n"/>
      <c r="K434" s="9" t="n"/>
      <c r="L434" s="9" t="n"/>
      <c r="M434" s="9" t="n"/>
      <c r="N434" s="9" t="n"/>
      <c r="O434" s="9" t="n"/>
      <c r="Q434" s="9" t="n"/>
      <c r="R434" s="9" t="n"/>
      <c r="W434" s="9" t="n"/>
      <c r="X434" s="9" t="n"/>
      <c r="Z434">
        <f>IF(A434="","",IF(AND(N434&lt;&gt;"",O434&lt;&gt;"",Q434&lt;&gt;"",R434&lt;&gt;"",S434="Y"),"YES","no"))</f>
        <v/>
      </c>
      <c r="AA434" s="9">
        <f>IF(Z434="YES",MAX(N434,O434,Q434,R434),"")</f>
        <v/>
      </c>
      <c r="AB434">
        <f>IF(A434="","",IF(X434&lt;&gt;"","13 Repeat activity",IF(W434&lt;&gt;"","12 First enquiry/order/booking",IF(Z434="YES","11 ACTIVATED",IF(Q434&lt;&gt;"","10 First listing live",IF(O434&lt;&gt;"","9 Profile completed",IF(N434&lt;&gt;"","8 Approved",IF(M434&lt;&gt;"","7 KYC submitted",IF(L434&lt;&gt;"","6 Registration completed",IF(K434&lt;&gt;"","5b Registration started",IF(H434&lt;&gt;"","5a Information sent",IF(G434&lt;&gt;"","5 Interested","—"))))))))))))</f>
        <v/>
      </c>
      <c r="AC434" s="10">
        <f>IF(A434="","",(COUNT(G434,H434,K434,L434,M434,N434,O434,Q434,R434)+(I434="Y")+(P434="Y")+(S434="Y"))/12)</f>
        <v/>
      </c>
      <c r="AD434">
        <f>IF(OR(A434="",COUNT(G434:X434)=0),"",TODAY()-MAX(G434,H434,K434,L434,M434,N434,O434,Q434,R434,W434,X434))</f>
        <v/>
      </c>
      <c r="AE434">
        <f>IF(A434="","",IF(AND(Z434&lt;&gt;"YES",AD434&lt;&gt;"",AD434&gt;THRESHOLDS!$B$12),"STUCK — act today",""))</f>
        <v/>
      </c>
      <c r="AF434">
        <f>IF(A434="","",IF(J434="Active (verified)","",IF(J434="","Ask GST status (readiness R2)","Escalate to founder: orders need verified GSTIN in current code — no tax advice")))</f>
        <v/>
      </c>
      <c r="AG434">
        <f>IF(AND(G434&lt;&gt;"",L434&lt;&gt;""),L434-G434,"")</f>
        <v/>
      </c>
      <c r="AH434">
        <f>IF(AND(L434&lt;&gt;"",N434&lt;&gt;""),N434-L434,"")</f>
        <v/>
      </c>
      <c r="AI434">
        <f>IF(AND(N434&lt;&gt;"",AA434&lt;&gt;""),AA434-N434,"")</f>
        <v/>
      </c>
      <c r="AJ434">
        <f>IF(AND(L434&lt;&gt;"",N434&lt;&gt;"",Q434&lt;&gt;""),"Qualifies (if FP-QUAL adopted)","")</f>
        <v/>
      </c>
    </row>
    <row r="435">
      <c r="G435" s="9" t="n"/>
      <c r="H435" s="9" t="n"/>
      <c r="K435" s="9" t="n"/>
      <c r="L435" s="9" t="n"/>
      <c r="M435" s="9" t="n"/>
      <c r="N435" s="9" t="n"/>
      <c r="O435" s="9" t="n"/>
      <c r="Q435" s="9" t="n"/>
      <c r="R435" s="9" t="n"/>
      <c r="W435" s="9" t="n"/>
      <c r="X435" s="9" t="n"/>
      <c r="Z435">
        <f>IF(A435="","",IF(AND(N435&lt;&gt;"",O435&lt;&gt;"",Q435&lt;&gt;"",R435&lt;&gt;"",S435="Y"),"YES","no"))</f>
        <v/>
      </c>
      <c r="AA435" s="9">
        <f>IF(Z435="YES",MAX(N435,O435,Q435,R435),"")</f>
        <v/>
      </c>
      <c r="AB435">
        <f>IF(A435="","",IF(X435&lt;&gt;"","13 Repeat activity",IF(W435&lt;&gt;"","12 First enquiry/order/booking",IF(Z435="YES","11 ACTIVATED",IF(Q435&lt;&gt;"","10 First listing live",IF(O435&lt;&gt;"","9 Profile completed",IF(N435&lt;&gt;"","8 Approved",IF(M435&lt;&gt;"","7 KYC submitted",IF(L435&lt;&gt;"","6 Registration completed",IF(K435&lt;&gt;"","5b Registration started",IF(H435&lt;&gt;"","5a Information sent",IF(G435&lt;&gt;"","5 Interested","—"))))))))))))</f>
        <v/>
      </c>
      <c r="AC435" s="10">
        <f>IF(A435="","",(COUNT(G435,H435,K435,L435,M435,N435,O435,Q435,R435)+(I435="Y")+(P435="Y")+(S435="Y"))/12)</f>
        <v/>
      </c>
      <c r="AD435">
        <f>IF(OR(A435="",COUNT(G435:X435)=0),"",TODAY()-MAX(G435,H435,K435,L435,M435,N435,O435,Q435,R435,W435,X435))</f>
        <v/>
      </c>
      <c r="AE435">
        <f>IF(A435="","",IF(AND(Z435&lt;&gt;"YES",AD435&lt;&gt;"",AD435&gt;THRESHOLDS!$B$12),"STUCK — act today",""))</f>
        <v/>
      </c>
      <c r="AF435">
        <f>IF(A435="","",IF(J435="Active (verified)","",IF(J435="","Ask GST status (readiness R2)","Escalate to founder: orders need verified GSTIN in current code — no tax advice")))</f>
        <v/>
      </c>
      <c r="AG435">
        <f>IF(AND(G435&lt;&gt;"",L435&lt;&gt;""),L435-G435,"")</f>
        <v/>
      </c>
      <c r="AH435">
        <f>IF(AND(L435&lt;&gt;"",N435&lt;&gt;""),N435-L435,"")</f>
        <v/>
      </c>
      <c r="AI435">
        <f>IF(AND(N435&lt;&gt;"",AA435&lt;&gt;""),AA435-N435,"")</f>
        <v/>
      </c>
      <c r="AJ435">
        <f>IF(AND(L435&lt;&gt;"",N435&lt;&gt;"",Q435&lt;&gt;""),"Qualifies (if FP-QUAL adopted)","")</f>
        <v/>
      </c>
    </row>
    <row r="436">
      <c r="G436" s="9" t="n"/>
      <c r="H436" s="9" t="n"/>
      <c r="K436" s="9" t="n"/>
      <c r="L436" s="9" t="n"/>
      <c r="M436" s="9" t="n"/>
      <c r="N436" s="9" t="n"/>
      <c r="O436" s="9" t="n"/>
      <c r="Q436" s="9" t="n"/>
      <c r="R436" s="9" t="n"/>
      <c r="W436" s="9" t="n"/>
      <c r="X436" s="9" t="n"/>
      <c r="Z436">
        <f>IF(A436="","",IF(AND(N436&lt;&gt;"",O436&lt;&gt;"",Q436&lt;&gt;"",R436&lt;&gt;"",S436="Y"),"YES","no"))</f>
        <v/>
      </c>
      <c r="AA436" s="9">
        <f>IF(Z436="YES",MAX(N436,O436,Q436,R436),"")</f>
        <v/>
      </c>
      <c r="AB436">
        <f>IF(A436="","",IF(X436&lt;&gt;"","13 Repeat activity",IF(W436&lt;&gt;"","12 First enquiry/order/booking",IF(Z436="YES","11 ACTIVATED",IF(Q436&lt;&gt;"","10 First listing live",IF(O436&lt;&gt;"","9 Profile completed",IF(N436&lt;&gt;"","8 Approved",IF(M436&lt;&gt;"","7 KYC submitted",IF(L436&lt;&gt;"","6 Registration completed",IF(K436&lt;&gt;"","5b Registration started",IF(H436&lt;&gt;"","5a Information sent",IF(G436&lt;&gt;"","5 Interested","—"))))))))))))</f>
        <v/>
      </c>
      <c r="AC436" s="10">
        <f>IF(A436="","",(COUNT(G436,H436,K436,L436,M436,N436,O436,Q436,R436)+(I436="Y")+(P436="Y")+(S436="Y"))/12)</f>
        <v/>
      </c>
      <c r="AD436">
        <f>IF(OR(A436="",COUNT(G436:X436)=0),"",TODAY()-MAX(G436,H436,K436,L436,M436,N436,O436,Q436,R436,W436,X436))</f>
        <v/>
      </c>
      <c r="AE436">
        <f>IF(A436="","",IF(AND(Z436&lt;&gt;"YES",AD436&lt;&gt;"",AD436&gt;THRESHOLDS!$B$12),"STUCK — act today",""))</f>
        <v/>
      </c>
      <c r="AF436">
        <f>IF(A436="","",IF(J436="Active (verified)","",IF(J436="","Ask GST status (readiness R2)","Escalate to founder: orders need verified GSTIN in current code — no tax advice")))</f>
        <v/>
      </c>
      <c r="AG436">
        <f>IF(AND(G436&lt;&gt;"",L436&lt;&gt;""),L436-G436,"")</f>
        <v/>
      </c>
      <c r="AH436">
        <f>IF(AND(L436&lt;&gt;"",N436&lt;&gt;""),N436-L436,"")</f>
        <v/>
      </c>
      <c r="AI436">
        <f>IF(AND(N436&lt;&gt;"",AA436&lt;&gt;""),AA436-N436,"")</f>
        <v/>
      </c>
      <c r="AJ436">
        <f>IF(AND(L436&lt;&gt;"",N436&lt;&gt;"",Q436&lt;&gt;""),"Qualifies (if FP-QUAL adopted)","")</f>
        <v/>
      </c>
    </row>
    <row r="437">
      <c r="G437" s="9" t="n"/>
      <c r="H437" s="9" t="n"/>
      <c r="K437" s="9" t="n"/>
      <c r="L437" s="9" t="n"/>
      <c r="M437" s="9" t="n"/>
      <c r="N437" s="9" t="n"/>
      <c r="O437" s="9" t="n"/>
      <c r="Q437" s="9" t="n"/>
      <c r="R437" s="9" t="n"/>
      <c r="W437" s="9" t="n"/>
      <c r="X437" s="9" t="n"/>
      <c r="Z437">
        <f>IF(A437="","",IF(AND(N437&lt;&gt;"",O437&lt;&gt;"",Q437&lt;&gt;"",R437&lt;&gt;"",S437="Y"),"YES","no"))</f>
        <v/>
      </c>
      <c r="AA437" s="9">
        <f>IF(Z437="YES",MAX(N437,O437,Q437,R437),"")</f>
        <v/>
      </c>
      <c r="AB437">
        <f>IF(A437="","",IF(X437&lt;&gt;"","13 Repeat activity",IF(W437&lt;&gt;"","12 First enquiry/order/booking",IF(Z437="YES","11 ACTIVATED",IF(Q437&lt;&gt;"","10 First listing live",IF(O437&lt;&gt;"","9 Profile completed",IF(N437&lt;&gt;"","8 Approved",IF(M437&lt;&gt;"","7 KYC submitted",IF(L437&lt;&gt;"","6 Registration completed",IF(K437&lt;&gt;"","5b Registration started",IF(H437&lt;&gt;"","5a Information sent",IF(G437&lt;&gt;"","5 Interested","—"))))))))))))</f>
        <v/>
      </c>
      <c r="AC437" s="10">
        <f>IF(A437="","",(COUNT(G437,H437,K437,L437,M437,N437,O437,Q437,R437)+(I437="Y")+(P437="Y")+(S437="Y"))/12)</f>
        <v/>
      </c>
      <c r="AD437">
        <f>IF(OR(A437="",COUNT(G437:X437)=0),"",TODAY()-MAX(G437,H437,K437,L437,M437,N437,O437,Q437,R437,W437,X437))</f>
        <v/>
      </c>
      <c r="AE437">
        <f>IF(A437="","",IF(AND(Z437&lt;&gt;"YES",AD437&lt;&gt;"",AD437&gt;THRESHOLDS!$B$12),"STUCK — act today",""))</f>
        <v/>
      </c>
      <c r="AF437">
        <f>IF(A437="","",IF(J437="Active (verified)","",IF(J437="","Ask GST status (readiness R2)","Escalate to founder: orders need verified GSTIN in current code — no tax advice")))</f>
        <v/>
      </c>
      <c r="AG437">
        <f>IF(AND(G437&lt;&gt;"",L437&lt;&gt;""),L437-G437,"")</f>
        <v/>
      </c>
      <c r="AH437">
        <f>IF(AND(L437&lt;&gt;"",N437&lt;&gt;""),N437-L437,"")</f>
        <v/>
      </c>
      <c r="AI437">
        <f>IF(AND(N437&lt;&gt;"",AA437&lt;&gt;""),AA437-N437,"")</f>
        <v/>
      </c>
      <c r="AJ437">
        <f>IF(AND(L437&lt;&gt;"",N437&lt;&gt;"",Q437&lt;&gt;""),"Qualifies (if FP-QUAL adopted)","")</f>
        <v/>
      </c>
    </row>
    <row r="438">
      <c r="G438" s="9" t="n"/>
      <c r="H438" s="9" t="n"/>
      <c r="K438" s="9" t="n"/>
      <c r="L438" s="9" t="n"/>
      <c r="M438" s="9" t="n"/>
      <c r="N438" s="9" t="n"/>
      <c r="O438" s="9" t="n"/>
      <c r="Q438" s="9" t="n"/>
      <c r="R438" s="9" t="n"/>
      <c r="W438" s="9" t="n"/>
      <c r="X438" s="9" t="n"/>
      <c r="Z438">
        <f>IF(A438="","",IF(AND(N438&lt;&gt;"",O438&lt;&gt;"",Q438&lt;&gt;"",R438&lt;&gt;"",S438="Y"),"YES","no"))</f>
        <v/>
      </c>
      <c r="AA438" s="9">
        <f>IF(Z438="YES",MAX(N438,O438,Q438,R438),"")</f>
        <v/>
      </c>
      <c r="AB438">
        <f>IF(A438="","",IF(X438&lt;&gt;"","13 Repeat activity",IF(W438&lt;&gt;"","12 First enquiry/order/booking",IF(Z438="YES","11 ACTIVATED",IF(Q438&lt;&gt;"","10 First listing live",IF(O438&lt;&gt;"","9 Profile completed",IF(N438&lt;&gt;"","8 Approved",IF(M438&lt;&gt;"","7 KYC submitted",IF(L438&lt;&gt;"","6 Registration completed",IF(K438&lt;&gt;"","5b Registration started",IF(H438&lt;&gt;"","5a Information sent",IF(G438&lt;&gt;"","5 Interested","—"))))))))))))</f>
        <v/>
      </c>
      <c r="AC438" s="10">
        <f>IF(A438="","",(COUNT(G438,H438,K438,L438,M438,N438,O438,Q438,R438)+(I438="Y")+(P438="Y")+(S438="Y"))/12)</f>
        <v/>
      </c>
      <c r="AD438">
        <f>IF(OR(A438="",COUNT(G438:X438)=0),"",TODAY()-MAX(G438,H438,K438,L438,M438,N438,O438,Q438,R438,W438,X438))</f>
        <v/>
      </c>
      <c r="AE438">
        <f>IF(A438="","",IF(AND(Z438&lt;&gt;"YES",AD438&lt;&gt;"",AD438&gt;THRESHOLDS!$B$12),"STUCK — act today",""))</f>
        <v/>
      </c>
      <c r="AF438">
        <f>IF(A438="","",IF(J438="Active (verified)","",IF(J438="","Ask GST status (readiness R2)","Escalate to founder: orders need verified GSTIN in current code — no tax advice")))</f>
        <v/>
      </c>
      <c r="AG438">
        <f>IF(AND(G438&lt;&gt;"",L438&lt;&gt;""),L438-G438,"")</f>
        <v/>
      </c>
      <c r="AH438">
        <f>IF(AND(L438&lt;&gt;"",N438&lt;&gt;""),N438-L438,"")</f>
        <v/>
      </c>
      <c r="AI438">
        <f>IF(AND(N438&lt;&gt;"",AA438&lt;&gt;""),AA438-N438,"")</f>
        <v/>
      </c>
      <c r="AJ438">
        <f>IF(AND(L438&lt;&gt;"",N438&lt;&gt;"",Q438&lt;&gt;""),"Qualifies (if FP-QUAL adopted)","")</f>
        <v/>
      </c>
    </row>
    <row r="439">
      <c r="G439" s="9" t="n"/>
      <c r="H439" s="9" t="n"/>
      <c r="K439" s="9" t="n"/>
      <c r="L439" s="9" t="n"/>
      <c r="M439" s="9" t="n"/>
      <c r="N439" s="9" t="n"/>
      <c r="O439" s="9" t="n"/>
      <c r="Q439" s="9" t="n"/>
      <c r="R439" s="9" t="n"/>
      <c r="W439" s="9" t="n"/>
      <c r="X439" s="9" t="n"/>
      <c r="Z439">
        <f>IF(A439="","",IF(AND(N439&lt;&gt;"",O439&lt;&gt;"",Q439&lt;&gt;"",R439&lt;&gt;"",S439="Y"),"YES","no"))</f>
        <v/>
      </c>
      <c r="AA439" s="9">
        <f>IF(Z439="YES",MAX(N439,O439,Q439,R439),"")</f>
        <v/>
      </c>
      <c r="AB439">
        <f>IF(A439="","",IF(X439&lt;&gt;"","13 Repeat activity",IF(W439&lt;&gt;"","12 First enquiry/order/booking",IF(Z439="YES","11 ACTIVATED",IF(Q439&lt;&gt;"","10 First listing live",IF(O439&lt;&gt;"","9 Profile completed",IF(N439&lt;&gt;"","8 Approved",IF(M439&lt;&gt;"","7 KYC submitted",IF(L439&lt;&gt;"","6 Registration completed",IF(K439&lt;&gt;"","5b Registration started",IF(H439&lt;&gt;"","5a Information sent",IF(G439&lt;&gt;"","5 Interested","—"))))))))))))</f>
        <v/>
      </c>
      <c r="AC439" s="10">
        <f>IF(A439="","",(COUNT(G439,H439,K439,L439,M439,N439,O439,Q439,R439)+(I439="Y")+(P439="Y")+(S439="Y"))/12)</f>
        <v/>
      </c>
      <c r="AD439">
        <f>IF(OR(A439="",COUNT(G439:X439)=0),"",TODAY()-MAX(G439,H439,K439,L439,M439,N439,O439,Q439,R439,W439,X439))</f>
        <v/>
      </c>
      <c r="AE439">
        <f>IF(A439="","",IF(AND(Z439&lt;&gt;"YES",AD439&lt;&gt;"",AD439&gt;THRESHOLDS!$B$12),"STUCK — act today",""))</f>
        <v/>
      </c>
      <c r="AF439">
        <f>IF(A439="","",IF(J439="Active (verified)","",IF(J439="","Ask GST status (readiness R2)","Escalate to founder: orders need verified GSTIN in current code — no tax advice")))</f>
        <v/>
      </c>
      <c r="AG439">
        <f>IF(AND(G439&lt;&gt;"",L439&lt;&gt;""),L439-G439,"")</f>
        <v/>
      </c>
      <c r="AH439">
        <f>IF(AND(L439&lt;&gt;"",N439&lt;&gt;""),N439-L439,"")</f>
        <v/>
      </c>
      <c r="AI439">
        <f>IF(AND(N439&lt;&gt;"",AA439&lt;&gt;""),AA439-N439,"")</f>
        <v/>
      </c>
      <c r="AJ439">
        <f>IF(AND(L439&lt;&gt;"",N439&lt;&gt;"",Q439&lt;&gt;""),"Qualifies (if FP-QUAL adopted)","")</f>
        <v/>
      </c>
    </row>
    <row r="440">
      <c r="G440" s="9" t="n"/>
      <c r="H440" s="9" t="n"/>
      <c r="K440" s="9" t="n"/>
      <c r="L440" s="9" t="n"/>
      <c r="M440" s="9" t="n"/>
      <c r="N440" s="9" t="n"/>
      <c r="O440" s="9" t="n"/>
      <c r="Q440" s="9" t="n"/>
      <c r="R440" s="9" t="n"/>
      <c r="W440" s="9" t="n"/>
      <c r="X440" s="9" t="n"/>
      <c r="Z440">
        <f>IF(A440="","",IF(AND(N440&lt;&gt;"",O440&lt;&gt;"",Q440&lt;&gt;"",R440&lt;&gt;"",S440="Y"),"YES","no"))</f>
        <v/>
      </c>
      <c r="AA440" s="9">
        <f>IF(Z440="YES",MAX(N440,O440,Q440,R440),"")</f>
        <v/>
      </c>
      <c r="AB440">
        <f>IF(A440="","",IF(X440&lt;&gt;"","13 Repeat activity",IF(W440&lt;&gt;"","12 First enquiry/order/booking",IF(Z440="YES","11 ACTIVATED",IF(Q440&lt;&gt;"","10 First listing live",IF(O440&lt;&gt;"","9 Profile completed",IF(N440&lt;&gt;"","8 Approved",IF(M440&lt;&gt;"","7 KYC submitted",IF(L440&lt;&gt;"","6 Registration completed",IF(K440&lt;&gt;"","5b Registration started",IF(H440&lt;&gt;"","5a Information sent",IF(G440&lt;&gt;"","5 Interested","—"))))))))))))</f>
        <v/>
      </c>
      <c r="AC440" s="10">
        <f>IF(A440="","",(COUNT(G440,H440,K440,L440,M440,N440,O440,Q440,R440)+(I440="Y")+(P440="Y")+(S440="Y"))/12)</f>
        <v/>
      </c>
      <c r="AD440">
        <f>IF(OR(A440="",COUNT(G440:X440)=0),"",TODAY()-MAX(G440,H440,K440,L440,M440,N440,O440,Q440,R440,W440,X440))</f>
        <v/>
      </c>
      <c r="AE440">
        <f>IF(A440="","",IF(AND(Z440&lt;&gt;"YES",AD440&lt;&gt;"",AD440&gt;THRESHOLDS!$B$12),"STUCK — act today",""))</f>
        <v/>
      </c>
      <c r="AF440">
        <f>IF(A440="","",IF(J440="Active (verified)","",IF(J440="","Ask GST status (readiness R2)","Escalate to founder: orders need verified GSTIN in current code — no tax advice")))</f>
        <v/>
      </c>
      <c r="AG440">
        <f>IF(AND(G440&lt;&gt;"",L440&lt;&gt;""),L440-G440,"")</f>
        <v/>
      </c>
      <c r="AH440">
        <f>IF(AND(L440&lt;&gt;"",N440&lt;&gt;""),N440-L440,"")</f>
        <v/>
      </c>
      <c r="AI440">
        <f>IF(AND(N440&lt;&gt;"",AA440&lt;&gt;""),AA440-N440,"")</f>
        <v/>
      </c>
      <c r="AJ440">
        <f>IF(AND(L440&lt;&gt;"",N440&lt;&gt;"",Q440&lt;&gt;""),"Qualifies (if FP-QUAL adopted)","")</f>
        <v/>
      </c>
    </row>
    <row r="441">
      <c r="G441" s="9" t="n"/>
      <c r="H441" s="9" t="n"/>
      <c r="K441" s="9" t="n"/>
      <c r="L441" s="9" t="n"/>
      <c r="M441" s="9" t="n"/>
      <c r="N441" s="9" t="n"/>
      <c r="O441" s="9" t="n"/>
      <c r="Q441" s="9" t="n"/>
      <c r="R441" s="9" t="n"/>
      <c r="W441" s="9" t="n"/>
      <c r="X441" s="9" t="n"/>
      <c r="Z441">
        <f>IF(A441="","",IF(AND(N441&lt;&gt;"",O441&lt;&gt;"",Q441&lt;&gt;"",R441&lt;&gt;"",S441="Y"),"YES","no"))</f>
        <v/>
      </c>
      <c r="AA441" s="9">
        <f>IF(Z441="YES",MAX(N441,O441,Q441,R441),"")</f>
        <v/>
      </c>
      <c r="AB441">
        <f>IF(A441="","",IF(X441&lt;&gt;"","13 Repeat activity",IF(W441&lt;&gt;"","12 First enquiry/order/booking",IF(Z441="YES","11 ACTIVATED",IF(Q441&lt;&gt;"","10 First listing live",IF(O441&lt;&gt;"","9 Profile completed",IF(N441&lt;&gt;"","8 Approved",IF(M441&lt;&gt;"","7 KYC submitted",IF(L441&lt;&gt;"","6 Registration completed",IF(K441&lt;&gt;"","5b Registration started",IF(H441&lt;&gt;"","5a Information sent",IF(G441&lt;&gt;"","5 Interested","—"))))))))))))</f>
        <v/>
      </c>
      <c r="AC441" s="10">
        <f>IF(A441="","",(COUNT(G441,H441,K441,L441,M441,N441,O441,Q441,R441)+(I441="Y")+(P441="Y")+(S441="Y"))/12)</f>
        <v/>
      </c>
      <c r="AD441">
        <f>IF(OR(A441="",COUNT(G441:X441)=0),"",TODAY()-MAX(G441,H441,K441,L441,M441,N441,O441,Q441,R441,W441,X441))</f>
        <v/>
      </c>
      <c r="AE441">
        <f>IF(A441="","",IF(AND(Z441&lt;&gt;"YES",AD441&lt;&gt;"",AD441&gt;THRESHOLDS!$B$12),"STUCK — act today",""))</f>
        <v/>
      </c>
      <c r="AF441">
        <f>IF(A441="","",IF(J441="Active (verified)","",IF(J441="","Ask GST status (readiness R2)","Escalate to founder: orders need verified GSTIN in current code — no tax advice")))</f>
        <v/>
      </c>
      <c r="AG441">
        <f>IF(AND(G441&lt;&gt;"",L441&lt;&gt;""),L441-G441,"")</f>
        <v/>
      </c>
      <c r="AH441">
        <f>IF(AND(L441&lt;&gt;"",N441&lt;&gt;""),N441-L441,"")</f>
        <v/>
      </c>
      <c r="AI441">
        <f>IF(AND(N441&lt;&gt;"",AA441&lt;&gt;""),AA441-N441,"")</f>
        <v/>
      </c>
      <c r="AJ441">
        <f>IF(AND(L441&lt;&gt;"",N441&lt;&gt;"",Q441&lt;&gt;""),"Qualifies (if FP-QUAL adopted)","")</f>
        <v/>
      </c>
    </row>
    <row r="442">
      <c r="G442" s="9" t="n"/>
      <c r="H442" s="9" t="n"/>
      <c r="K442" s="9" t="n"/>
      <c r="L442" s="9" t="n"/>
      <c r="M442" s="9" t="n"/>
      <c r="N442" s="9" t="n"/>
      <c r="O442" s="9" t="n"/>
      <c r="Q442" s="9" t="n"/>
      <c r="R442" s="9" t="n"/>
      <c r="W442" s="9" t="n"/>
      <c r="X442" s="9" t="n"/>
      <c r="Z442">
        <f>IF(A442="","",IF(AND(N442&lt;&gt;"",O442&lt;&gt;"",Q442&lt;&gt;"",R442&lt;&gt;"",S442="Y"),"YES","no"))</f>
        <v/>
      </c>
      <c r="AA442" s="9">
        <f>IF(Z442="YES",MAX(N442,O442,Q442,R442),"")</f>
        <v/>
      </c>
      <c r="AB442">
        <f>IF(A442="","",IF(X442&lt;&gt;"","13 Repeat activity",IF(W442&lt;&gt;"","12 First enquiry/order/booking",IF(Z442="YES","11 ACTIVATED",IF(Q442&lt;&gt;"","10 First listing live",IF(O442&lt;&gt;"","9 Profile completed",IF(N442&lt;&gt;"","8 Approved",IF(M442&lt;&gt;"","7 KYC submitted",IF(L442&lt;&gt;"","6 Registration completed",IF(K442&lt;&gt;"","5b Registration started",IF(H442&lt;&gt;"","5a Information sent",IF(G442&lt;&gt;"","5 Interested","—"))))))))))))</f>
        <v/>
      </c>
      <c r="AC442" s="10">
        <f>IF(A442="","",(COUNT(G442,H442,K442,L442,M442,N442,O442,Q442,R442)+(I442="Y")+(P442="Y")+(S442="Y"))/12)</f>
        <v/>
      </c>
      <c r="AD442">
        <f>IF(OR(A442="",COUNT(G442:X442)=0),"",TODAY()-MAX(G442,H442,K442,L442,M442,N442,O442,Q442,R442,W442,X442))</f>
        <v/>
      </c>
      <c r="AE442">
        <f>IF(A442="","",IF(AND(Z442&lt;&gt;"YES",AD442&lt;&gt;"",AD442&gt;THRESHOLDS!$B$12),"STUCK — act today",""))</f>
        <v/>
      </c>
      <c r="AF442">
        <f>IF(A442="","",IF(J442="Active (verified)","",IF(J442="","Ask GST status (readiness R2)","Escalate to founder: orders need verified GSTIN in current code — no tax advice")))</f>
        <v/>
      </c>
      <c r="AG442">
        <f>IF(AND(G442&lt;&gt;"",L442&lt;&gt;""),L442-G442,"")</f>
        <v/>
      </c>
      <c r="AH442">
        <f>IF(AND(L442&lt;&gt;"",N442&lt;&gt;""),N442-L442,"")</f>
        <v/>
      </c>
      <c r="AI442">
        <f>IF(AND(N442&lt;&gt;"",AA442&lt;&gt;""),AA442-N442,"")</f>
        <v/>
      </c>
      <c r="AJ442">
        <f>IF(AND(L442&lt;&gt;"",N442&lt;&gt;"",Q442&lt;&gt;""),"Qualifies (if FP-QUAL adopted)","")</f>
        <v/>
      </c>
    </row>
    <row r="443">
      <c r="G443" s="9" t="n"/>
      <c r="H443" s="9" t="n"/>
      <c r="K443" s="9" t="n"/>
      <c r="L443" s="9" t="n"/>
      <c r="M443" s="9" t="n"/>
      <c r="N443" s="9" t="n"/>
      <c r="O443" s="9" t="n"/>
      <c r="Q443" s="9" t="n"/>
      <c r="R443" s="9" t="n"/>
      <c r="W443" s="9" t="n"/>
      <c r="X443" s="9" t="n"/>
      <c r="Z443">
        <f>IF(A443="","",IF(AND(N443&lt;&gt;"",O443&lt;&gt;"",Q443&lt;&gt;"",R443&lt;&gt;"",S443="Y"),"YES","no"))</f>
        <v/>
      </c>
      <c r="AA443" s="9">
        <f>IF(Z443="YES",MAX(N443,O443,Q443,R443),"")</f>
        <v/>
      </c>
      <c r="AB443">
        <f>IF(A443="","",IF(X443&lt;&gt;"","13 Repeat activity",IF(W443&lt;&gt;"","12 First enquiry/order/booking",IF(Z443="YES","11 ACTIVATED",IF(Q443&lt;&gt;"","10 First listing live",IF(O443&lt;&gt;"","9 Profile completed",IF(N443&lt;&gt;"","8 Approved",IF(M443&lt;&gt;"","7 KYC submitted",IF(L443&lt;&gt;"","6 Registration completed",IF(K443&lt;&gt;"","5b Registration started",IF(H443&lt;&gt;"","5a Information sent",IF(G443&lt;&gt;"","5 Interested","—"))))))))))))</f>
        <v/>
      </c>
      <c r="AC443" s="10">
        <f>IF(A443="","",(COUNT(G443,H443,K443,L443,M443,N443,O443,Q443,R443)+(I443="Y")+(P443="Y")+(S443="Y"))/12)</f>
        <v/>
      </c>
      <c r="AD443">
        <f>IF(OR(A443="",COUNT(G443:X443)=0),"",TODAY()-MAX(G443,H443,K443,L443,M443,N443,O443,Q443,R443,W443,X443))</f>
        <v/>
      </c>
      <c r="AE443">
        <f>IF(A443="","",IF(AND(Z443&lt;&gt;"YES",AD443&lt;&gt;"",AD443&gt;THRESHOLDS!$B$12),"STUCK — act today",""))</f>
        <v/>
      </c>
      <c r="AF443">
        <f>IF(A443="","",IF(J443="Active (verified)","",IF(J443="","Ask GST status (readiness R2)","Escalate to founder: orders need verified GSTIN in current code — no tax advice")))</f>
        <v/>
      </c>
      <c r="AG443">
        <f>IF(AND(G443&lt;&gt;"",L443&lt;&gt;""),L443-G443,"")</f>
        <v/>
      </c>
      <c r="AH443">
        <f>IF(AND(L443&lt;&gt;"",N443&lt;&gt;""),N443-L443,"")</f>
        <v/>
      </c>
      <c r="AI443">
        <f>IF(AND(N443&lt;&gt;"",AA443&lt;&gt;""),AA443-N443,"")</f>
        <v/>
      </c>
      <c r="AJ443">
        <f>IF(AND(L443&lt;&gt;"",N443&lt;&gt;"",Q443&lt;&gt;""),"Qualifies (if FP-QUAL adopted)","")</f>
        <v/>
      </c>
    </row>
    <row r="444">
      <c r="G444" s="9" t="n"/>
      <c r="H444" s="9" t="n"/>
      <c r="K444" s="9" t="n"/>
      <c r="L444" s="9" t="n"/>
      <c r="M444" s="9" t="n"/>
      <c r="N444" s="9" t="n"/>
      <c r="O444" s="9" t="n"/>
      <c r="Q444" s="9" t="n"/>
      <c r="R444" s="9" t="n"/>
      <c r="W444" s="9" t="n"/>
      <c r="X444" s="9" t="n"/>
      <c r="Z444">
        <f>IF(A444="","",IF(AND(N444&lt;&gt;"",O444&lt;&gt;"",Q444&lt;&gt;"",R444&lt;&gt;"",S444="Y"),"YES","no"))</f>
        <v/>
      </c>
      <c r="AA444" s="9">
        <f>IF(Z444="YES",MAX(N444,O444,Q444,R444),"")</f>
        <v/>
      </c>
      <c r="AB444">
        <f>IF(A444="","",IF(X444&lt;&gt;"","13 Repeat activity",IF(W444&lt;&gt;"","12 First enquiry/order/booking",IF(Z444="YES","11 ACTIVATED",IF(Q444&lt;&gt;"","10 First listing live",IF(O444&lt;&gt;"","9 Profile completed",IF(N444&lt;&gt;"","8 Approved",IF(M444&lt;&gt;"","7 KYC submitted",IF(L444&lt;&gt;"","6 Registration completed",IF(K444&lt;&gt;"","5b Registration started",IF(H444&lt;&gt;"","5a Information sent",IF(G444&lt;&gt;"","5 Interested","—"))))))))))))</f>
        <v/>
      </c>
      <c r="AC444" s="10">
        <f>IF(A444="","",(COUNT(G444,H444,K444,L444,M444,N444,O444,Q444,R444)+(I444="Y")+(P444="Y")+(S444="Y"))/12)</f>
        <v/>
      </c>
      <c r="AD444">
        <f>IF(OR(A444="",COUNT(G444:X444)=0),"",TODAY()-MAX(G444,H444,K444,L444,M444,N444,O444,Q444,R444,W444,X444))</f>
        <v/>
      </c>
      <c r="AE444">
        <f>IF(A444="","",IF(AND(Z444&lt;&gt;"YES",AD444&lt;&gt;"",AD444&gt;THRESHOLDS!$B$12),"STUCK — act today",""))</f>
        <v/>
      </c>
      <c r="AF444">
        <f>IF(A444="","",IF(J444="Active (verified)","",IF(J444="","Ask GST status (readiness R2)","Escalate to founder: orders need verified GSTIN in current code — no tax advice")))</f>
        <v/>
      </c>
      <c r="AG444">
        <f>IF(AND(G444&lt;&gt;"",L444&lt;&gt;""),L444-G444,"")</f>
        <v/>
      </c>
      <c r="AH444">
        <f>IF(AND(L444&lt;&gt;"",N444&lt;&gt;""),N444-L444,"")</f>
        <v/>
      </c>
      <c r="AI444">
        <f>IF(AND(N444&lt;&gt;"",AA444&lt;&gt;""),AA444-N444,"")</f>
        <v/>
      </c>
      <c r="AJ444">
        <f>IF(AND(L444&lt;&gt;"",N444&lt;&gt;"",Q444&lt;&gt;""),"Qualifies (if FP-QUAL adopted)","")</f>
        <v/>
      </c>
    </row>
    <row r="445">
      <c r="G445" s="9" t="n"/>
      <c r="H445" s="9" t="n"/>
      <c r="K445" s="9" t="n"/>
      <c r="L445" s="9" t="n"/>
      <c r="M445" s="9" t="n"/>
      <c r="N445" s="9" t="n"/>
      <c r="O445" s="9" t="n"/>
      <c r="Q445" s="9" t="n"/>
      <c r="R445" s="9" t="n"/>
      <c r="W445" s="9" t="n"/>
      <c r="X445" s="9" t="n"/>
      <c r="Z445">
        <f>IF(A445="","",IF(AND(N445&lt;&gt;"",O445&lt;&gt;"",Q445&lt;&gt;"",R445&lt;&gt;"",S445="Y"),"YES","no"))</f>
        <v/>
      </c>
      <c r="AA445" s="9">
        <f>IF(Z445="YES",MAX(N445,O445,Q445,R445),"")</f>
        <v/>
      </c>
      <c r="AB445">
        <f>IF(A445="","",IF(X445&lt;&gt;"","13 Repeat activity",IF(W445&lt;&gt;"","12 First enquiry/order/booking",IF(Z445="YES","11 ACTIVATED",IF(Q445&lt;&gt;"","10 First listing live",IF(O445&lt;&gt;"","9 Profile completed",IF(N445&lt;&gt;"","8 Approved",IF(M445&lt;&gt;"","7 KYC submitted",IF(L445&lt;&gt;"","6 Registration completed",IF(K445&lt;&gt;"","5b Registration started",IF(H445&lt;&gt;"","5a Information sent",IF(G445&lt;&gt;"","5 Interested","—"))))))))))))</f>
        <v/>
      </c>
      <c r="AC445" s="10">
        <f>IF(A445="","",(COUNT(G445,H445,K445,L445,M445,N445,O445,Q445,R445)+(I445="Y")+(P445="Y")+(S445="Y"))/12)</f>
        <v/>
      </c>
      <c r="AD445">
        <f>IF(OR(A445="",COUNT(G445:X445)=0),"",TODAY()-MAX(G445,H445,K445,L445,M445,N445,O445,Q445,R445,W445,X445))</f>
        <v/>
      </c>
      <c r="AE445">
        <f>IF(A445="","",IF(AND(Z445&lt;&gt;"YES",AD445&lt;&gt;"",AD445&gt;THRESHOLDS!$B$12),"STUCK — act today",""))</f>
        <v/>
      </c>
      <c r="AF445">
        <f>IF(A445="","",IF(J445="Active (verified)","",IF(J445="","Ask GST status (readiness R2)","Escalate to founder: orders need verified GSTIN in current code — no tax advice")))</f>
        <v/>
      </c>
      <c r="AG445">
        <f>IF(AND(G445&lt;&gt;"",L445&lt;&gt;""),L445-G445,"")</f>
        <v/>
      </c>
      <c r="AH445">
        <f>IF(AND(L445&lt;&gt;"",N445&lt;&gt;""),N445-L445,"")</f>
        <v/>
      </c>
      <c r="AI445">
        <f>IF(AND(N445&lt;&gt;"",AA445&lt;&gt;""),AA445-N445,"")</f>
        <v/>
      </c>
      <c r="AJ445">
        <f>IF(AND(L445&lt;&gt;"",N445&lt;&gt;"",Q445&lt;&gt;""),"Qualifies (if FP-QUAL adopted)","")</f>
        <v/>
      </c>
    </row>
    <row r="446">
      <c r="G446" s="9" t="n"/>
      <c r="H446" s="9" t="n"/>
      <c r="K446" s="9" t="n"/>
      <c r="L446" s="9" t="n"/>
      <c r="M446" s="9" t="n"/>
      <c r="N446" s="9" t="n"/>
      <c r="O446" s="9" t="n"/>
      <c r="Q446" s="9" t="n"/>
      <c r="R446" s="9" t="n"/>
      <c r="W446" s="9" t="n"/>
      <c r="X446" s="9" t="n"/>
      <c r="Z446">
        <f>IF(A446="","",IF(AND(N446&lt;&gt;"",O446&lt;&gt;"",Q446&lt;&gt;"",R446&lt;&gt;"",S446="Y"),"YES","no"))</f>
        <v/>
      </c>
      <c r="AA446" s="9">
        <f>IF(Z446="YES",MAX(N446,O446,Q446,R446),"")</f>
        <v/>
      </c>
      <c r="AB446">
        <f>IF(A446="","",IF(X446&lt;&gt;"","13 Repeat activity",IF(W446&lt;&gt;"","12 First enquiry/order/booking",IF(Z446="YES","11 ACTIVATED",IF(Q446&lt;&gt;"","10 First listing live",IF(O446&lt;&gt;"","9 Profile completed",IF(N446&lt;&gt;"","8 Approved",IF(M446&lt;&gt;"","7 KYC submitted",IF(L446&lt;&gt;"","6 Registration completed",IF(K446&lt;&gt;"","5b Registration started",IF(H446&lt;&gt;"","5a Information sent",IF(G446&lt;&gt;"","5 Interested","—"))))))))))))</f>
        <v/>
      </c>
      <c r="AC446" s="10">
        <f>IF(A446="","",(COUNT(G446,H446,K446,L446,M446,N446,O446,Q446,R446)+(I446="Y")+(P446="Y")+(S446="Y"))/12)</f>
        <v/>
      </c>
      <c r="AD446">
        <f>IF(OR(A446="",COUNT(G446:X446)=0),"",TODAY()-MAX(G446,H446,K446,L446,M446,N446,O446,Q446,R446,W446,X446))</f>
        <v/>
      </c>
      <c r="AE446">
        <f>IF(A446="","",IF(AND(Z446&lt;&gt;"YES",AD446&lt;&gt;"",AD446&gt;THRESHOLDS!$B$12),"STUCK — act today",""))</f>
        <v/>
      </c>
      <c r="AF446">
        <f>IF(A446="","",IF(J446="Active (verified)","",IF(J446="","Ask GST status (readiness R2)","Escalate to founder: orders need verified GSTIN in current code — no tax advice")))</f>
        <v/>
      </c>
      <c r="AG446">
        <f>IF(AND(G446&lt;&gt;"",L446&lt;&gt;""),L446-G446,"")</f>
        <v/>
      </c>
      <c r="AH446">
        <f>IF(AND(L446&lt;&gt;"",N446&lt;&gt;""),N446-L446,"")</f>
        <v/>
      </c>
      <c r="AI446">
        <f>IF(AND(N446&lt;&gt;"",AA446&lt;&gt;""),AA446-N446,"")</f>
        <v/>
      </c>
      <c r="AJ446">
        <f>IF(AND(L446&lt;&gt;"",N446&lt;&gt;"",Q446&lt;&gt;""),"Qualifies (if FP-QUAL adopted)","")</f>
        <v/>
      </c>
    </row>
    <row r="447">
      <c r="G447" s="9" t="n"/>
      <c r="H447" s="9" t="n"/>
      <c r="K447" s="9" t="n"/>
      <c r="L447" s="9" t="n"/>
      <c r="M447" s="9" t="n"/>
      <c r="N447" s="9" t="n"/>
      <c r="O447" s="9" t="n"/>
      <c r="Q447" s="9" t="n"/>
      <c r="R447" s="9" t="n"/>
      <c r="W447" s="9" t="n"/>
      <c r="X447" s="9" t="n"/>
      <c r="Z447">
        <f>IF(A447="","",IF(AND(N447&lt;&gt;"",O447&lt;&gt;"",Q447&lt;&gt;"",R447&lt;&gt;"",S447="Y"),"YES","no"))</f>
        <v/>
      </c>
      <c r="AA447" s="9">
        <f>IF(Z447="YES",MAX(N447,O447,Q447,R447),"")</f>
        <v/>
      </c>
      <c r="AB447">
        <f>IF(A447="","",IF(X447&lt;&gt;"","13 Repeat activity",IF(W447&lt;&gt;"","12 First enquiry/order/booking",IF(Z447="YES","11 ACTIVATED",IF(Q447&lt;&gt;"","10 First listing live",IF(O447&lt;&gt;"","9 Profile completed",IF(N447&lt;&gt;"","8 Approved",IF(M447&lt;&gt;"","7 KYC submitted",IF(L447&lt;&gt;"","6 Registration completed",IF(K447&lt;&gt;"","5b Registration started",IF(H447&lt;&gt;"","5a Information sent",IF(G447&lt;&gt;"","5 Interested","—"))))))))))))</f>
        <v/>
      </c>
      <c r="AC447" s="10">
        <f>IF(A447="","",(COUNT(G447,H447,K447,L447,M447,N447,O447,Q447,R447)+(I447="Y")+(P447="Y")+(S447="Y"))/12)</f>
        <v/>
      </c>
      <c r="AD447">
        <f>IF(OR(A447="",COUNT(G447:X447)=0),"",TODAY()-MAX(G447,H447,K447,L447,M447,N447,O447,Q447,R447,W447,X447))</f>
        <v/>
      </c>
      <c r="AE447">
        <f>IF(A447="","",IF(AND(Z447&lt;&gt;"YES",AD447&lt;&gt;"",AD447&gt;THRESHOLDS!$B$12),"STUCK — act today",""))</f>
        <v/>
      </c>
      <c r="AF447">
        <f>IF(A447="","",IF(J447="Active (verified)","",IF(J447="","Ask GST status (readiness R2)","Escalate to founder: orders need verified GSTIN in current code — no tax advice")))</f>
        <v/>
      </c>
      <c r="AG447">
        <f>IF(AND(G447&lt;&gt;"",L447&lt;&gt;""),L447-G447,"")</f>
        <v/>
      </c>
      <c r="AH447">
        <f>IF(AND(L447&lt;&gt;"",N447&lt;&gt;""),N447-L447,"")</f>
        <v/>
      </c>
      <c r="AI447">
        <f>IF(AND(N447&lt;&gt;"",AA447&lt;&gt;""),AA447-N447,"")</f>
        <v/>
      </c>
      <c r="AJ447">
        <f>IF(AND(L447&lt;&gt;"",N447&lt;&gt;"",Q447&lt;&gt;""),"Qualifies (if FP-QUAL adopted)","")</f>
        <v/>
      </c>
    </row>
    <row r="448">
      <c r="G448" s="9" t="n"/>
      <c r="H448" s="9" t="n"/>
      <c r="K448" s="9" t="n"/>
      <c r="L448" s="9" t="n"/>
      <c r="M448" s="9" t="n"/>
      <c r="N448" s="9" t="n"/>
      <c r="O448" s="9" t="n"/>
      <c r="Q448" s="9" t="n"/>
      <c r="R448" s="9" t="n"/>
      <c r="W448" s="9" t="n"/>
      <c r="X448" s="9" t="n"/>
      <c r="Z448">
        <f>IF(A448="","",IF(AND(N448&lt;&gt;"",O448&lt;&gt;"",Q448&lt;&gt;"",R448&lt;&gt;"",S448="Y"),"YES","no"))</f>
        <v/>
      </c>
      <c r="AA448" s="9">
        <f>IF(Z448="YES",MAX(N448,O448,Q448,R448),"")</f>
        <v/>
      </c>
      <c r="AB448">
        <f>IF(A448="","",IF(X448&lt;&gt;"","13 Repeat activity",IF(W448&lt;&gt;"","12 First enquiry/order/booking",IF(Z448="YES","11 ACTIVATED",IF(Q448&lt;&gt;"","10 First listing live",IF(O448&lt;&gt;"","9 Profile completed",IF(N448&lt;&gt;"","8 Approved",IF(M448&lt;&gt;"","7 KYC submitted",IF(L448&lt;&gt;"","6 Registration completed",IF(K448&lt;&gt;"","5b Registration started",IF(H448&lt;&gt;"","5a Information sent",IF(G448&lt;&gt;"","5 Interested","—"))))))))))))</f>
        <v/>
      </c>
      <c r="AC448" s="10">
        <f>IF(A448="","",(COUNT(G448,H448,K448,L448,M448,N448,O448,Q448,R448)+(I448="Y")+(P448="Y")+(S448="Y"))/12)</f>
        <v/>
      </c>
      <c r="AD448">
        <f>IF(OR(A448="",COUNT(G448:X448)=0),"",TODAY()-MAX(G448,H448,K448,L448,M448,N448,O448,Q448,R448,W448,X448))</f>
        <v/>
      </c>
      <c r="AE448">
        <f>IF(A448="","",IF(AND(Z448&lt;&gt;"YES",AD448&lt;&gt;"",AD448&gt;THRESHOLDS!$B$12),"STUCK — act today",""))</f>
        <v/>
      </c>
      <c r="AF448">
        <f>IF(A448="","",IF(J448="Active (verified)","",IF(J448="","Ask GST status (readiness R2)","Escalate to founder: orders need verified GSTIN in current code — no tax advice")))</f>
        <v/>
      </c>
      <c r="AG448">
        <f>IF(AND(G448&lt;&gt;"",L448&lt;&gt;""),L448-G448,"")</f>
        <v/>
      </c>
      <c r="AH448">
        <f>IF(AND(L448&lt;&gt;"",N448&lt;&gt;""),N448-L448,"")</f>
        <v/>
      </c>
      <c r="AI448">
        <f>IF(AND(N448&lt;&gt;"",AA448&lt;&gt;""),AA448-N448,"")</f>
        <v/>
      </c>
      <c r="AJ448">
        <f>IF(AND(L448&lt;&gt;"",N448&lt;&gt;"",Q448&lt;&gt;""),"Qualifies (if FP-QUAL adopted)","")</f>
        <v/>
      </c>
    </row>
    <row r="449">
      <c r="G449" s="9" t="n"/>
      <c r="H449" s="9" t="n"/>
      <c r="K449" s="9" t="n"/>
      <c r="L449" s="9" t="n"/>
      <c r="M449" s="9" t="n"/>
      <c r="N449" s="9" t="n"/>
      <c r="O449" s="9" t="n"/>
      <c r="Q449" s="9" t="n"/>
      <c r="R449" s="9" t="n"/>
      <c r="W449" s="9" t="n"/>
      <c r="X449" s="9" t="n"/>
      <c r="Z449">
        <f>IF(A449="","",IF(AND(N449&lt;&gt;"",O449&lt;&gt;"",Q449&lt;&gt;"",R449&lt;&gt;"",S449="Y"),"YES","no"))</f>
        <v/>
      </c>
      <c r="AA449" s="9">
        <f>IF(Z449="YES",MAX(N449,O449,Q449,R449),"")</f>
        <v/>
      </c>
      <c r="AB449">
        <f>IF(A449="","",IF(X449&lt;&gt;"","13 Repeat activity",IF(W449&lt;&gt;"","12 First enquiry/order/booking",IF(Z449="YES","11 ACTIVATED",IF(Q449&lt;&gt;"","10 First listing live",IF(O449&lt;&gt;"","9 Profile completed",IF(N449&lt;&gt;"","8 Approved",IF(M449&lt;&gt;"","7 KYC submitted",IF(L449&lt;&gt;"","6 Registration completed",IF(K449&lt;&gt;"","5b Registration started",IF(H449&lt;&gt;"","5a Information sent",IF(G449&lt;&gt;"","5 Interested","—"))))))))))))</f>
        <v/>
      </c>
      <c r="AC449" s="10">
        <f>IF(A449="","",(COUNT(G449,H449,K449,L449,M449,N449,O449,Q449,R449)+(I449="Y")+(P449="Y")+(S449="Y"))/12)</f>
        <v/>
      </c>
      <c r="AD449">
        <f>IF(OR(A449="",COUNT(G449:X449)=0),"",TODAY()-MAX(G449,H449,K449,L449,M449,N449,O449,Q449,R449,W449,X449))</f>
        <v/>
      </c>
      <c r="AE449">
        <f>IF(A449="","",IF(AND(Z449&lt;&gt;"YES",AD449&lt;&gt;"",AD449&gt;THRESHOLDS!$B$12),"STUCK — act today",""))</f>
        <v/>
      </c>
      <c r="AF449">
        <f>IF(A449="","",IF(J449="Active (verified)","",IF(J449="","Ask GST status (readiness R2)","Escalate to founder: orders need verified GSTIN in current code — no tax advice")))</f>
        <v/>
      </c>
      <c r="AG449">
        <f>IF(AND(G449&lt;&gt;"",L449&lt;&gt;""),L449-G449,"")</f>
        <v/>
      </c>
      <c r="AH449">
        <f>IF(AND(L449&lt;&gt;"",N449&lt;&gt;""),N449-L449,"")</f>
        <v/>
      </c>
      <c r="AI449">
        <f>IF(AND(N449&lt;&gt;"",AA449&lt;&gt;""),AA449-N449,"")</f>
        <v/>
      </c>
      <c r="AJ449">
        <f>IF(AND(L449&lt;&gt;"",N449&lt;&gt;"",Q449&lt;&gt;""),"Qualifies (if FP-QUAL adopted)","")</f>
        <v/>
      </c>
    </row>
    <row r="450">
      <c r="G450" s="9" t="n"/>
      <c r="H450" s="9" t="n"/>
      <c r="K450" s="9" t="n"/>
      <c r="L450" s="9" t="n"/>
      <c r="M450" s="9" t="n"/>
      <c r="N450" s="9" t="n"/>
      <c r="O450" s="9" t="n"/>
      <c r="Q450" s="9" t="n"/>
      <c r="R450" s="9" t="n"/>
      <c r="W450" s="9" t="n"/>
      <c r="X450" s="9" t="n"/>
      <c r="Z450">
        <f>IF(A450="","",IF(AND(N450&lt;&gt;"",O450&lt;&gt;"",Q450&lt;&gt;"",R450&lt;&gt;"",S450="Y"),"YES","no"))</f>
        <v/>
      </c>
      <c r="AA450" s="9">
        <f>IF(Z450="YES",MAX(N450,O450,Q450,R450),"")</f>
        <v/>
      </c>
      <c r="AB450">
        <f>IF(A450="","",IF(X450&lt;&gt;"","13 Repeat activity",IF(W450&lt;&gt;"","12 First enquiry/order/booking",IF(Z450="YES","11 ACTIVATED",IF(Q450&lt;&gt;"","10 First listing live",IF(O450&lt;&gt;"","9 Profile completed",IF(N450&lt;&gt;"","8 Approved",IF(M450&lt;&gt;"","7 KYC submitted",IF(L450&lt;&gt;"","6 Registration completed",IF(K450&lt;&gt;"","5b Registration started",IF(H450&lt;&gt;"","5a Information sent",IF(G450&lt;&gt;"","5 Interested","—"))))))))))))</f>
        <v/>
      </c>
      <c r="AC450" s="10">
        <f>IF(A450="","",(COUNT(G450,H450,K450,L450,M450,N450,O450,Q450,R450)+(I450="Y")+(P450="Y")+(S450="Y"))/12)</f>
        <v/>
      </c>
      <c r="AD450">
        <f>IF(OR(A450="",COUNT(G450:X450)=0),"",TODAY()-MAX(G450,H450,K450,L450,M450,N450,O450,Q450,R450,W450,X450))</f>
        <v/>
      </c>
      <c r="AE450">
        <f>IF(A450="","",IF(AND(Z450&lt;&gt;"YES",AD450&lt;&gt;"",AD450&gt;THRESHOLDS!$B$12),"STUCK — act today",""))</f>
        <v/>
      </c>
      <c r="AF450">
        <f>IF(A450="","",IF(J450="Active (verified)","",IF(J450="","Ask GST status (readiness R2)","Escalate to founder: orders need verified GSTIN in current code — no tax advice")))</f>
        <v/>
      </c>
      <c r="AG450">
        <f>IF(AND(G450&lt;&gt;"",L450&lt;&gt;""),L450-G450,"")</f>
        <v/>
      </c>
      <c r="AH450">
        <f>IF(AND(L450&lt;&gt;"",N450&lt;&gt;""),N450-L450,"")</f>
        <v/>
      </c>
      <c r="AI450">
        <f>IF(AND(N450&lt;&gt;"",AA450&lt;&gt;""),AA450-N450,"")</f>
        <v/>
      </c>
      <c r="AJ450">
        <f>IF(AND(L450&lt;&gt;"",N450&lt;&gt;"",Q450&lt;&gt;""),"Qualifies (if FP-QUAL adopted)","")</f>
        <v/>
      </c>
    </row>
    <row r="451">
      <c r="G451" s="9" t="n"/>
      <c r="H451" s="9" t="n"/>
      <c r="K451" s="9" t="n"/>
      <c r="L451" s="9" t="n"/>
      <c r="M451" s="9" t="n"/>
      <c r="N451" s="9" t="n"/>
      <c r="O451" s="9" t="n"/>
      <c r="Q451" s="9" t="n"/>
      <c r="R451" s="9" t="n"/>
      <c r="W451" s="9" t="n"/>
      <c r="X451" s="9" t="n"/>
      <c r="Z451">
        <f>IF(A451="","",IF(AND(N451&lt;&gt;"",O451&lt;&gt;"",Q451&lt;&gt;"",R451&lt;&gt;"",S451="Y"),"YES","no"))</f>
        <v/>
      </c>
      <c r="AA451" s="9">
        <f>IF(Z451="YES",MAX(N451,O451,Q451,R451),"")</f>
        <v/>
      </c>
      <c r="AB451">
        <f>IF(A451="","",IF(X451&lt;&gt;"","13 Repeat activity",IF(W451&lt;&gt;"","12 First enquiry/order/booking",IF(Z451="YES","11 ACTIVATED",IF(Q451&lt;&gt;"","10 First listing live",IF(O451&lt;&gt;"","9 Profile completed",IF(N451&lt;&gt;"","8 Approved",IF(M451&lt;&gt;"","7 KYC submitted",IF(L451&lt;&gt;"","6 Registration completed",IF(K451&lt;&gt;"","5b Registration started",IF(H451&lt;&gt;"","5a Information sent",IF(G451&lt;&gt;"","5 Interested","—"))))))))))))</f>
        <v/>
      </c>
      <c r="AC451" s="10">
        <f>IF(A451="","",(COUNT(G451,H451,K451,L451,M451,N451,O451,Q451,R451)+(I451="Y")+(P451="Y")+(S451="Y"))/12)</f>
        <v/>
      </c>
      <c r="AD451">
        <f>IF(OR(A451="",COUNT(G451:X451)=0),"",TODAY()-MAX(G451,H451,K451,L451,M451,N451,O451,Q451,R451,W451,X451))</f>
        <v/>
      </c>
      <c r="AE451">
        <f>IF(A451="","",IF(AND(Z451&lt;&gt;"YES",AD451&lt;&gt;"",AD451&gt;THRESHOLDS!$B$12),"STUCK — act today",""))</f>
        <v/>
      </c>
      <c r="AF451">
        <f>IF(A451="","",IF(J451="Active (verified)","",IF(J451="","Ask GST status (readiness R2)","Escalate to founder: orders need verified GSTIN in current code — no tax advice")))</f>
        <v/>
      </c>
      <c r="AG451">
        <f>IF(AND(G451&lt;&gt;"",L451&lt;&gt;""),L451-G451,"")</f>
        <v/>
      </c>
      <c r="AH451">
        <f>IF(AND(L451&lt;&gt;"",N451&lt;&gt;""),N451-L451,"")</f>
        <v/>
      </c>
      <c r="AI451">
        <f>IF(AND(N451&lt;&gt;"",AA451&lt;&gt;""),AA451-N451,"")</f>
        <v/>
      </c>
      <c r="AJ451">
        <f>IF(AND(L451&lt;&gt;"",N451&lt;&gt;"",Q451&lt;&gt;""),"Qualifies (if FP-QUAL adopted)","")</f>
        <v/>
      </c>
    </row>
    <row r="452">
      <c r="G452" s="9" t="n"/>
      <c r="H452" s="9" t="n"/>
      <c r="K452" s="9" t="n"/>
      <c r="L452" s="9" t="n"/>
      <c r="M452" s="9" t="n"/>
      <c r="N452" s="9" t="n"/>
      <c r="O452" s="9" t="n"/>
      <c r="Q452" s="9" t="n"/>
      <c r="R452" s="9" t="n"/>
      <c r="W452" s="9" t="n"/>
      <c r="X452" s="9" t="n"/>
      <c r="Z452">
        <f>IF(A452="","",IF(AND(N452&lt;&gt;"",O452&lt;&gt;"",Q452&lt;&gt;"",R452&lt;&gt;"",S452="Y"),"YES","no"))</f>
        <v/>
      </c>
      <c r="AA452" s="9">
        <f>IF(Z452="YES",MAX(N452,O452,Q452,R452),"")</f>
        <v/>
      </c>
      <c r="AB452">
        <f>IF(A452="","",IF(X452&lt;&gt;"","13 Repeat activity",IF(W452&lt;&gt;"","12 First enquiry/order/booking",IF(Z452="YES","11 ACTIVATED",IF(Q452&lt;&gt;"","10 First listing live",IF(O452&lt;&gt;"","9 Profile completed",IF(N452&lt;&gt;"","8 Approved",IF(M452&lt;&gt;"","7 KYC submitted",IF(L452&lt;&gt;"","6 Registration completed",IF(K452&lt;&gt;"","5b Registration started",IF(H452&lt;&gt;"","5a Information sent",IF(G452&lt;&gt;"","5 Interested","—"))))))))))))</f>
        <v/>
      </c>
      <c r="AC452" s="10">
        <f>IF(A452="","",(COUNT(G452,H452,K452,L452,M452,N452,O452,Q452,R452)+(I452="Y")+(P452="Y")+(S452="Y"))/12)</f>
        <v/>
      </c>
      <c r="AD452">
        <f>IF(OR(A452="",COUNT(G452:X452)=0),"",TODAY()-MAX(G452,H452,K452,L452,M452,N452,O452,Q452,R452,W452,X452))</f>
        <v/>
      </c>
      <c r="AE452">
        <f>IF(A452="","",IF(AND(Z452&lt;&gt;"YES",AD452&lt;&gt;"",AD452&gt;THRESHOLDS!$B$12),"STUCK — act today",""))</f>
        <v/>
      </c>
      <c r="AF452">
        <f>IF(A452="","",IF(J452="Active (verified)","",IF(J452="","Ask GST status (readiness R2)","Escalate to founder: orders need verified GSTIN in current code — no tax advice")))</f>
        <v/>
      </c>
      <c r="AG452">
        <f>IF(AND(G452&lt;&gt;"",L452&lt;&gt;""),L452-G452,"")</f>
        <v/>
      </c>
      <c r="AH452">
        <f>IF(AND(L452&lt;&gt;"",N452&lt;&gt;""),N452-L452,"")</f>
        <v/>
      </c>
      <c r="AI452">
        <f>IF(AND(N452&lt;&gt;"",AA452&lt;&gt;""),AA452-N452,"")</f>
        <v/>
      </c>
      <c r="AJ452">
        <f>IF(AND(L452&lt;&gt;"",N452&lt;&gt;"",Q452&lt;&gt;""),"Qualifies (if FP-QUAL adopted)","")</f>
        <v/>
      </c>
    </row>
    <row r="453">
      <c r="G453" s="9" t="n"/>
      <c r="H453" s="9" t="n"/>
      <c r="K453" s="9" t="n"/>
      <c r="L453" s="9" t="n"/>
      <c r="M453" s="9" t="n"/>
      <c r="N453" s="9" t="n"/>
      <c r="O453" s="9" t="n"/>
      <c r="Q453" s="9" t="n"/>
      <c r="R453" s="9" t="n"/>
      <c r="W453" s="9" t="n"/>
      <c r="X453" s="9" t="n"/>
      <c r="Z453">
        <f>IF(A453="","",IF(AND(N453&lt;&gt;"",O453&lt;&gt;"",Q453&lt;&gt;"",R453&lt;&gt;"",S453="Y"),"YES","no"))</f>
        <v/>
      </c>
      <c r="AA453" s="9">
        <f>IF(Z453="YES",MAX(N453,O453,Q453,R453),"")</f>
        <v/>
      </c>
      <c r="AB453">
        <f>IF(A453="","",IF(X453&lt;&gt;"","13 Repeat activity",IF(W453&lt;&gt;"","12 First enquiry/order/booking",IF(Z453="YES","11 ACTIVATED",IF(Q453&lt;&gt;"","10 First listing live",IF(O453&lt;&gt;"","9 Profile completed",IF(N453&lt;&gt;"","8 Approved",IF(M453&lt;&gt;"","7 KYC submitted",IF(L453&lt;&gt;"","6 Registration completed",IF(K453&lt;&gt;"","5b Registration started",IF(H453&lt;&gt;"","5a Information sent",IF(G453&lt;&gt;"","5 Interested","—"))))))))))))</f>
        <v/>
      </c>
      <c r="AC453" s="10">
        <f>IF(A453="","",(COUNT(G453,H453,K453,L453,M453,N453,O453,Q453,R453)+(I453="Y")+(P453="Y")+(S453="Y"))/12)</f>
        <v/>
      </c>
      <c r="AD453">
        <f>IF(OR(A453="",COUNT(G453:X453)=0),"",TODAY()-MAX(G453,H453,K453,L453,M453,N453,O453,Q453,R453,W453,X453))</f>
        <v/>
      </c>
      <c r="AE453">
        <f>IF(A453="","",IF(AND(Z453&lt;&gt;"YES",AD453&lt;&gt;"",AD453&gt;THRESHOLDS!$B$12),"STUCK — act today",""))</f>
        <v/>
      </c>
      <c r="AF453">
        <f>IF(A453="","",IF(J453="Active (verified)","",IF(J453="","Ask GST status (readiness R2)","Escalate to founder: orders need verified GSTIN in current code — no tax advice")))</f>
        <v/>
      </c>
      <c r="AG453">
        <f>IF(AND(G453&lt;&gt;"",L453&lt;&gt;""),L453-G453,"")</f>
        <v/>
      </c>
      <c r="AH453">
        <f>IF(AND(L453&lt;&gt;"",N453&lt;&gt;""),N453-L453,"")</f>
        <v/>
      </c>
      <c r="AI453">
        <f>IF(AND(N453&lt;&gt;"",AA453&lt;&gt;""),AA453-N453,"")</f>
        <v/>
      </c>
      <c r="AJ453">
        <f>IF(AND(L453&lt;&gt;"",N453&lt;&gt;"",Q453&lt;&gt;""),"Qualifies (if FP-QUAL adopted)","")</f>
        <v/>
      </c>
    </row>
    <row r="454">
      <c r="G454" s="9" t="n"/>
      <c r="H454" s="9" t="n"/>
      <c r="K454" s="9" t="n"/>
      <c r="L454" s="9" t="n"/>
      <c r="M454" s="9" t="n"/>
      <c r="N454" s="9" t="n"/>
      <c r="O454" s="9" t="n"/>
      <c r="Q454" s="9" t="n"/>
      <c r="R454" s="9" t="n"/>
      <c r="W454" s="9" t="n"/>
      <c r="X454" s="9" t="n"/>
      <c r="Z454">
        <f>IF(A454="","",IF(AND(N454&lt;&gt;"",O454&lt;&gt;"",Q454&lt;&gt;"",R454&lt;&gt;"",S454="Y"),"YES","no"))</f>
        <v/>
      </c>
      <c r="AA454" s="9">
        <f>IF(Z454="YES",MAX(N454,O454,Q454,R454),"")</f>
        <v/>
      </c>
      <c r="AB454">
        <f>IF(A454="","",IF(X454&lt;&gt;"","13 Repeat activity",IF(W454&lt;&gt;"","12 First enquiry/order/booking",IF(Z454="YES","11 ACTIVATED",IF(Q454&lt;&gt;"","10 First listing live",IF(O454&lt;&gt;"","9 Profile completed",IF(N454&lt;&gt;"","8 Approved",IF(M454&lt;&gt;"","7 KYC submitted",IF(L454&lt;&gt;"","6 Registration completed",IF(K454&lt;&gt;"","5b Registration started",IF(H454&lt;&gt;"","5a Information sent",IF(G454&lt;&gt;"","5 Interested","—"))))))))))))</f>
        <v/>
      </c>
      <c r="AC454" s="10">
        <f>IF(A454="","",(COUNT(G454,H454,K454,L454,M454,N454,O454,Q454,R454)+(I454="Y")+(P454="Y")+(S454="Y"))/12)</f>
        <v/>
      </c>
      <c r="AD454">
        <f>IF(OR(A454="",COUNT(G454:X454)=0),"",TODAY()-MAX(G454,H454,K454,L454,M454,N454,O454,Q454,R454,W454,X454))</f>
        <v/>
      </c>
      <c r="AE454">
        <f>IF(A454="","",IF(AND(Z454&lt;&gt;"YES",AD454&lt;&gt;"",AD454&gt;THRESHOLDS!$B$12),"STUCK — act today",""))</f>
        <v/>
      </c>
      <c r="AF454">
        <f>IF(A454="","",IF(J454="Active (verified)","",IF(J454="","Ask GST status (readiness R2)","Escalate to founder: orders need verified GSTIN in current code — no tax advice")))</f>
        <v/>
      </c>
      <c r="AG454">
        <f>IF(AND(G454&lt;&gt;"",L454&lt;&gt;""),L454-G454,"")</f>
        <v/>
      </c>
      <c r="AH454">
        <f>IF(AND(L454&lt;&gt;"",N454&lt;&gt;""),N454-L454,"")</f>
        <v/>
      </c>
      <c r="AI454">
        <f>IF(AND(N454&lt;&gt;"",AA454&lt;&gt;""),AA454-N454,"")</f>
        <v/>
      </c>
      <c r="AJ454">
        <f>IF(AND(L454&lt;&gt;"",N454&lt;&gt;"",Q454&lt;&gt;""),"Qualifies (if FP-QUAL adopted)","")</f>
        <v/>
      </c>
    </row>
    <row r="455">
      <c r="G455" s="9" t="n"/>
      <c r="H455" s="9" t="n"/>
      <c r="K455" s="9" t="n"/>
      <c r="L455" s="9" t="n"/>
      <c r="M455" s="9" t="n"/>
      <c r="N455" s="9" t="n"/>
      <c r="O455" s="9" t="n"/>
      <c r="Q455" s="9" t="n"/>
      <c r="R455" s="9" t="n"/>
      <c r="W455" s="9" t="n"/>
      <c r="X455" s="9" t="n"/>
      <c r="Z455">
        <f>IF(A455="","",IF(AND(N455&lt;&gt;"",O455&lt;&gt;"",Q455&lt;&gt;"",R455&lt;&gt;"",S455="Y"),"YES","no"))</f>
        <v/>
      </c>
      <c r="AA455" s="9">
        <f>IF(Z455="YES",MAX(N455,O455,Q455,R455),"")</f>
        <v/>
      </c>
      <c r="AB455">
        <f>IF(A455="","",IF(X455&lt;&gt;"","13 Repeat activity",IF(W455&lt;&gt;"","12 First enquiry/order/booking",IF(Z455="YES","11 ACTIVATED",IF(Q455&lt;&gt;"","10 First listing live",IF(O455&lt;&gt;"","9 Profile completed",IF(N455&lt;&gt;"","8 Approved",IF(M455&lt;&gt;"","7 KYC submitted",IF(L455&lt;&gt;"","6 Registration completed",IF(K455&lt;&gt;"","5b Registration started",IF(H455&lt;&gt;"","5a Information sent",IF(G455&lt;&gt;"","5 Interested","—"))))))))))))</f>
        <v/>
      </c>
      <c r="AC455" s="10">
        <f>IF(A455="","",(COUNT(G455,H455,K455,L455,M455,N455,O455,Q455,R455)+(I455="Y")+(P455="Y")+(S455="Y"))/12)</f>
        <v/>
      </c>
      <c r="AD455">
        <f>IF(OR(A455="",COUNT(G455:X455)=0),"",TODAY()-MAX(G455,H455,K455,L455,M455,N455,O455,Q455,R455,W455,X455))</f>
        <v/>
      </c>
      <c r="AE455">
        <f>IF(A455="","",IF(AND(Z455&lt;&gt;"YES",AD455&lt;&gt;"",AD455&gt;THRESHOLDS!$B$12),"STUCK — act today",""))</f>
        <v/>
      </c>
      <c r="AF455">
        <f>IF(A455="","",IF(J455="Active (verified)","",IF(J455="","Ask GST status (readiness R2)","Escalate to founder: orders need verified GSTIN in current code — no tax advice")))</f>
        <v/>
      </c>
      <c r="AG455">
        <f>IF(AND(G455&lt;&gt;"",L455&lt;&gt;""),L455-G455,"")</f>
        <v/>
      </c>
      <c r="AH455">
        <f>IF(AND(L455&lt;&gt;"",N455&lt;&gt;""),N455-L455,"")</f>
        <v/>
      </c>
      <c r="AI455">
        <f>IF(AND(N455&lt;&gt;"",AA455&lt;&gt;""),AA455-N455,"")</f>
        <v/>
      </c>
      <c r="AJ455">
        <f>IF(AND(L455&lt;&gt;"",N455&lt;&gt;"",Q455&lt;&gt;""),"Qualifies (if FP-QUAL adopted)","")</f>
        <v/>
      </c>
    </row>
    <row r="456">
      <c r="G456" s="9" t="n"/>
      <c r="H456" s="9" t="n"/>
      <c r="K456" s="9" t="n"/>
      <c r="L456" s="9" t="n"/>
      <c r="M456" s="9" t="n"/>
      <c r="N456" s="9" t="n"/>
      <c r="O456" s="9" t="n"/>
      <c r="Q456" s="9" t="n"/>
      <c r="R456" s="9" t="n"/>
      <c r="W456" s="9" t="n"/>
      <c r="X456" s="9" t="n"/>
      <c r="Z456">
        <f>IF(A456="","",IF(AND(N456&lt;&gt;"",O456&lt;&gt;"",Q456&lt;&gt;"",R456&lt;&gt;"",S456="Y"),"YES","no"))</f>
        <v/>
      </c>
      <c r="AA456" s="9">
        <f>IF(Z456="YES",MAX(N456,O456,Q456,R456),"")</f>
        <v/>
      </c>
      <c r="AB456">
        <f>IF(A456="","",IF(X456&lt;&gt;"","13 Repeat activity",IF(W456&lt;&gt;"","12 First enquiry/order/booking",IF(Z456="YES","11 ACTIVATED",IF(Q456&lt;&gt;"","10 First listing live",IF(O456&lt;&gt;"","9 Profile completed",IF(N456&lt;&gt;"","8 Approved",IF(M456&lt;&gt;"","7 KYC submitted",IF(L456&lt;&gt;"","6 Registration completed",IF(K456&lt;&gt;"","5b Registration started",IF(H456&lt;&gt;"","5a Information sent",IF(G456&lt;&gt;"","5 Interested","—"))))))))))))</f>
        <v/>
      </c>
      <c r="AC456" s="10">
        <f>IF(A456="","",(COUNT(G456,H456,K456,L456,M456,N456,O456,Q456,R456)+(I456="Y")+(P456="Y")+(S456="Y"))/12)</f>
        <v/>
      </c>
      <c r="AD456">
        <f>IF(OR(A456="",COUNT(G456:X456)=0),"",TODAY()-MAX(G456,H456,K456,L456,M456,N456,O456,Q456,R456,W456,X456))</f>
        <v/>
      </c>
      <c r="AE456">
        <f>IF(A456="","",IF(AND(Z456&lt;&gt;"YES",AD456&lt;&gt;"",AD456&gt;THRESHOLDS!$B$12),"STUCK — act today",""))</f>
        <v/>
      </c>
      <c r="AF456">
        <f>IF(A456="","",IF(J456="Active (verified)","",IF(J456="","Ask GST status (readiness R2)","Escalate to founder: orders need verified GSTIN in current code — no tax advice")))</f>
        <v/>
      </c>
      <c r="AG456">
        <f>IF(AND(G456&lt;&gt;"",L456&lt;&gt;""),L456-G456,"")</f>
        <v/>
      </c>
      <c r="AH456">
        <f>IF(AND(L456&lt;&gt;"",N456&lt;&gt;""),N456-L456,"")</f>
        <v/>
      </c>
      <c r="AI456">
        <f>IF(AND(N456&lt;&gt;"",AA456&lt;&gt;""),AA456-N456,"")</f>
        <v/>
      </c>
      <c r="AJ456">
        <f>IF(AND(L456&lt;&gt;"",N456&lt;&gt;"",Q456&lt;&gt;""),"Qualifies (if FP-QUAL adopted)","")</f>
        <v/>
      </c>
    </row>
    <row r="457">
      <c r="G457" s="9" t="n"/>
      <c r="H457" s="9" t="n"/>
      <c r="K457" s="9" t="n"/>
      <c r="L457" s="9" t="n"/>
      <c r="M457" s="9" t="n"/>
      <c r="N457" s="9" t="n"/>
      <c r="O457" s="9" t="n"/>
      <c r="Q457" s="9" t="n"/>
      <c r="R457" s="9" t="n"/>
      <c r="W457" s="9" t="n"/>
      <c r="X457" s="9" t="n"/>
      <c r="Z457">
        <f>IF(A457="","",IF(AND(N457&lt;&gt;"",O457&lt;&gt;"",Q457&lt;&gt;"",R457&lt;&gt;"",S457="Y"),"YES","no"))</f>
        <v/>
      </c>
      <c r="AA457" s="9">
        <f>IF(Z457="YES",MAX(N457,O457,Q457,R457),"")</f>
        <v/>
      </c>
      <c r="AB457">
        <f>IF(A457="","",IF(X457&lt;&gt;"","13 Repeat activity",IF(W457&lt;&gt;"","12 First enquiry/order/booking",IF(Z457="YES","11 ACTIVATED",IF(Q457&lt;&gt;"","10 First listing live",IF(O457&lt;&gt;"","9 Profile completed",IF(N457&lt;&gt;"","8 Approved",IF(M457&lt;&gt;"","7 KYC submitted",IF(L457&lt;&gt;"","6 Registration completed",IF(K457&lt;&gt;"","5b Registration started",IF(H457&lt;&gt;"","5a Information sent",IF(G457&lt;&gt;"","5 Interested","—"))))))))))))</f>
        <v/>
      </c>
      <c r="AC457" s="10">
        <f>IF(A457="","",(COUNT(G457,H457,K457,L457,M457,N457,O457,Q457,R457)+(I457="Y")+(P457="Y")+(S457="Y"))/12)</f>
        <v/>
      </c>
      <c r="AD457">
        <f>IF(OR(A457="",COUNT(G457:X457)=0),"",TODAY()-MAX(G457,H457,K457,L457,M457,N457,O457,Q457,R457,W457,X457))</f>
        <v/>
      </c>
      <c r="AE457">
        <f>IF(A457="","",IF(AND(Z457&lt;&gt;"YES",AD457&lt;&gt;"",AD457&gt;THRESHOLDS!$B$12),"STUCK — act today",""))</f>
        <v/>
      </c>
      <c r="AF457">
        <f>IF(A457="","",IF(J457="Active (verified)","",IF(J457="","Ask GST status (readiness R2)","Escalate to founder: orders need verified GSTIN in current code — no tax advice")))</f>
        <v/>
      </c>
      <c r="AG457">
        <f>IF(AND(G457&lt;&gt;"",L457&lt;&gt;""),L457-G457,"")</f>
        <v/>
      </c>
      <c r="AH457">
        <f>IF(AND(L457&lt;&gt;"",N457&lt;&gt;""),N457-L457,"")</f>
        <v/>
      </c>
      <c r="AI457">
        <f>IF(AND(N457&lt;&gt;"",AA457&lt;&gt;""),AA457-N457,"")</f>
        <v/>
      </c>
      <c r="AJ457">
        <f>IF(AND(L457&lt;&gt;"",N457&lt;&gt;"",Q457&lt;&gt;""),"Qualifies (if FP-QUAL adopted)","")</f>
        <v/>
      </c>
    </row>
    <row r="458">
      <c r="G458" s="9" t="n"/>
      <c r="H458" s="9" t="n"/>
      <c r="K458" s="9" t="n"/>
      <c r="L458" s="9" t="n"/>
      <c r="M458" s="9" t="n"/>
      <c r="N458" s="9" t="n"/>
      <c r="O458" s="9" t="n"/>
      <c r="Q458" s="9" t="n"/>
      <c r="R458" s="9" t="n"/>
      <c r="W458" s="9" t="n"/>
      <c r="X458" s="9" t="n"/>
      <c r="Z458">
        <f>IF(A458="","",IF(AND(N458&lt;&gt;"",O458&lt;&gt;"",Q458&lt;&gt;"",R458&lt;&gt;"",S458="Y"),"YES","no"))</f>
        <v/>
      </c>
      <c r="AA458" s="9">
        <f>IF(Z458="YES",MAX(N458,O458,Q458,R458),"")</f>
        <v/>
      </c>
      <c r="AB458">
        <f>IF(A458="","",IF(X458&lt;&gt;"","13 Repeat activity",IF(W458&lt;&gt;"","12 First enquiry/order/booking",IF(Z458="YES","11 ACTIVATED",IF(Q458&lt;&gt;"","10 First listing live",IF(O458&lt;&gt;"","9 Profile completed",IF(N458&lt;&gt;"","8 Approved",IF(M458&lt;&gt;"","7 KYC submitted",IF(L458&lt;&gt;"","6 Registration completed",IF(K458&lt;&gt;"","5b Registration started",IF(H458&lt;&gt;"","5a Information sent",IF(G458&lt;&gt;"","5 Interested","—"))))))))))))</f>
        <v/>
      </c>
      <c r="AC458" s="10">
        <f>IF(A458="","",(COUNT(G458,H458,K458,L458,M458,N458,O458,Q458,R458)+(I458="Y")+(P458="Y")+(S458="Y"))/12)</f>
        <v/>
      </c>
      <c r="AD458">
        <f>IF(OR(A458="",COUNT(G458:X458)=0),"",TODAY()-MAX(G458,H458,K458,L458,M458,N458,O458,Q458,R458,W458,X458))</f>
        <v/>
      </c>
      <c r="AE458">
        <f>IF(A458="","",IF(AND(Z458&lt;&gt;"YES",AD458&lt;&gt;"",AD458&gt;THRESHOLDS!$B$12),"STUCK — act today",""))</f>
        <v/>
      </c>
      <c r="AF458">
        <f>IF(A458="","",IF(J458="Active (verified)","",IF(J458="","Ask GST status (readiness R2)","Escalate to founder: orders need verified GSTIN in current code — no tax advice")))</f>
        <v/>
      </c>
      <c r="AG458">
        <f>IF(AND(G458&lt;&gt;"",L458&lt;&gt;""),L458-G458,"")</f>
        <v/>
      </c>
      <c r="AH458">
        <f>IF(AND(L458&lt;&gt;"",N458&lt;&gt;""),N458-L458,"")</f>
        <v/>
      </c>
      <c r="AI458">
        <f>IF(AND(N458&lt;&gt;"",AA458&lt;&gt;""),AA458-N458,"")</f>
        <v/>
      </c>
      <c r="AJ458">
        <f>IF(AND(L458&lt;&gt;"",N458&lt;&gt;"",Q458&lt;&gt;""),"Qualifies (if FP-QUAL adopted)","")</f>
        <v/>
      </c>
    </row>
    <row r="459">
      <c r="G459" s="9" t="n"/>
      <c r="H459" s="9" t="n"/>
      <c r="K459" s="9" t="n"/>
      <c r="L459" s="9" t="n"/>
      <c r="M459" s="9" t="n"/>
      <c r="N459" s="9" t="n"/>
      <c r="O459" s="9" t="n"/>
      <c r="Q459" s="9" t="n"/>
      <c r="R459" s="9" t="n"/>
      <c r="W459" s="9" t="n"/>
      <c r="X459" s="9" t="n"/>
      <c r="Z459">
        <f>IF(A459="","",IF(AND(N459&lt;&gt;"",O459&lt;&gt;"",Q459&lt;&gt;"",R459&lt;&gt;"",S459="Y"),"YES","no"))</f>
        <v/>
      </c>
      <c r="AA459" s="9">
        <f>IF(Z459="YES",MAX(N459,O459,Q459,R459),"")</f>
        <v/>
      </c>
      <c r="AB459">
        <f>IF(A459="","",IF(X459&lt;&gt;"","13 Repeat activity",IF(W459&lt;&gt;"","12 First enquiry/order/booking",IF(Z459="YES","11 ACTIVATED",IF(Q459&lt;&gt;"","10 First listing live",IF(O459&lt;&gt;"","9 Profile completed",IF(N459&lt;&gt;"","8 Approved",IF(M459&lt;&gt;"","7 KYC submitted",IF(L459&lt;&gt;"","6 Registration completed",IF(K459&lt;&gt;"","5b Registration started",IF(H459&lt;&gt;"","5a Information sent",IF(G459&lt;&gt;"","5 Interested","—"))))))))))))</f>
        <v/>
      </c>
      <c r="AC459" s="10">
        <f>IF(A459="","",(COUNT(G459,H459,K459,L459,M459,N459,O459,Q459,R459)+(I459="Y")+(P459="Y")+(S459="Y"))/12)</f>
        <v/>
      </c>
      <c r="AD459">
        <f>IF(OR(A459="",COUNT(G459:X459)=0),"",TODAY()-MAX(G459,H459,K459,L459,M459,N459,O459,Q459,R459,W459,X459))</f>
        <v/>
      </c>
      <c r="AE459">
        <f>IF(A459="","",IF(AND(Z459&lt;&gt;"YES",AD459&lt;&gt;"",AD459&gt;THRESHOLDS!$B$12),"STUCK — act today",""))</f>
        <v/>
      </c>
      <c r="AF459">
        <f>IF(A459="","",IF(J459="Active (verified)","",IF(J459="","Ask GST status (readiness R2)","Escalate to founder: orders need verified GSTIN in current code — no tax advice")))</f>
        <v/>
      </c>
      <c r="AG459">
        <f>IF(AND(G459&lt;&gt;"",L459&lt;&gt;""),L459-G459,"")</f>
        <v/>
      </c>
      <c r="AH459">
        <f>IF(AND(L459&lt;&gt;"",N459&lt;&gt;""),N459-L459,"")</f>
        <v/>
      </c>
      <c r="AI459">
        <f>IF(AND(N459&lt;&gt;"",AA459&lt;&gt;""),AA459-N459,"")</f>
        <v/>
      </c>
      <c r="AJ459">
        <f>IF(AND(L459&lt;&gt;"",N459&lt;&gt;"",Q459&lt;&gt;""),"Qualifies (if FP-QUAL adopted)","")</f>
        <v/>
      </c>
    </row>
    <row r="460">
      <c r="G460" s="9" t="n"/>
      <c r="H460" s="9" t="n"/>
      <c r="K460" s="9" t="n"/>
      <c r="L460" s="9" t="n"/>
      <c r="M460" s="9" t="n"/>
      <c r="N460" s="9" t="n"/>
      <c r="O460" s="9" t="n"/>
      <c r="Q460" s="9" t="n"/>
      <c r="R460" s="9" t="n"/>
      <c r="W460" s="9" t="n"/>
      <c r="X460" s="9" t="n"/>
      <c r="Z460">
        <f>IF(A460="","",IF(AND(N460&lt;&gt;"",O460&lt;&gt;"",Q460&lt;&gt;"",R460&lt;&gt;"",S460="Y"),"YES","no"))</f>
        <v/>
      </c>
      <c r="AA460" s="9">
        <f>IF(Z460="YES",MAX(N460,O460,Q460,R460),"")</f>
        <v/>
      </c>
      <c r="AB460">
        <f>IF(A460="","",IF(X460&lt;&gt;"","13 Repeat activity",IF(W460&lt;&gt;"","12 First enquiry/order/booking",IF(Z460="YES","11 ACTIVATED",IF(Q460&lt;&gt;"","10 First listing live",IF(O460&lt;&gt;"","9 Profile completed",IF(N460&lt;&gt;"","8 Approved",IF(M460&lt;&gt;"","7 KYC submitted",IF(L460&lt;&gt;"","6 Registration completed",IF(K460&lt;&gt;"","5b Registration started",IF(H460&lt;&gt;"","5a Information sent",IF(G460&lt;&gt;"","5 Interested","—"))))))))))))</f>
        <v/>
      </c>
      <c r="AC460" s="10">
        <f>IF(A460="","",(COUNT(G460,H460,K460,L460,M460,N460,O460,Q460,R460)+(I460="Y")+(P460="Y")+(S460="Y"))/12)</f>
        <v/>
      </c>
      <c r="AD460">
        <f>IF(OR(A460="",COUNT(G460:X460)=0),"",TODAY()-MAX(G460,H460,K460,L460,M460,N460,O460,Q460,R460,W460,X460))</f>
        <v/>
      </c>
      <c r="AE460">
        <f>IF(A460="","",IF(AND(Z460&lt;&gt;"YES",AD460&lt;&gt;"",AD460&gt;THRESHOLDS!$B$12),"STUCK — act today",""))</f>
        <v/>
      </c>
      <c r="AF460">
        <f>IF(A460="","",IF(J460="Active (verified)","",IF(J460="","Ask GST status (readiness R2)","Escalate to founder: orders need verified GSTIN in current code — no tax advice")))</f>
        <v/>
      </c>
      <c r="AG460">
        <f>IF(AND(G460&lt;&gt;"",L460&lt;&gt;""),L460-G460,"")</f>
        <v/>
      </c>
      <c r="AH460">
        <f>IF(AND(L460&lt;&gt;"",N460&lt;&gt;""),N460-L460,"")</f>
        <v/>
      </c>
      <c r="AI460">
        <f>IF(AND(N460&lt;&gt;"",AA460&lt;&gt;""),AA460-N460,"")</f>
        <v/>
      </c>
      <c r="AJ460">
        <f>IF(AND(L460&lt;&gt;"",N460&lt;&gt;"",Q460&lt;&gt;""),"Qualifies (if FP-QUAL adopted)","")</f>
        <v/>
      </c>
    </row>
    <row r="461">
      <c r="G461" s="9" t="n"/>
      <c r="H461" s="9" t="n"/>
      <c r="K461" s="9" t="n"/>
      <c r="L461" s="9" t="n"/>
      <c r="M461" s="9" t="n"/>
      <c r="N461" s="9" t="n"/>
      <c r="O461" s="9" t="n"/>
      <c r="Q461" s="9" t="n"/>
      <c r="R461" s="9" t="n"/>
      <c r="W461" s="9" t="n"/>
      <c r="X461" s="9" t="n"/>
      <c r="Z461">
        <f>IF(A461="","",IF(AND(N461&lt;&gt;"",O461&lt;&gt;"",Q461&lt;&gt;"",R461&lt;&gt;"",S461="Y"),"YES","no"))</f>
        <v/>
      </c>
      <c r="AA461" s="9">
        <f>IF(Z461="YES",MAX(N461,O461,Q461,R461),"")</f>
        <v/>
      </c>
      <c r="AB461">
        <f>IF(A461="","",IF(X461&lt;&gt;"","13 Repeat activity",IF(W461&lt;&gt;"","12 First enquiry/order/booking",IF(Z461="YES","11 ACTIVATED",IF(Q461&lt;&gt;"","10 First listing live",IF(O461&lt;&gt;"","9 Profile completed",IF(N461&lt;&gt;"","8 Approved",IF(M461&lt;&gt;"","7 KYC submitted",IF(L461&lt;&gt;"","6 Registration completed",IF(K461&lt;&gt;"","5b Registration started",IF(H461&lt;&gt;"","5a Information sent",IF(G461&lt;&gt;"","5 Interested","—"))))))))))))</f>
        <v/>
      </c>
      <c r="AC461" s="10">
        <f>IF(A461="","",(COUNT(G461,H461,K461,L461,M461,N461,O461,Q461,R461)+(I461="Y")+(P461="Y")+(S461="Y"))/12)</f>
        <v/>
      </c>
      <c r="AD461">
        <f>IF(OR(A461="",COUNT(G461:X461)=0),"",TODAY()-MAX(G461,H461,K461,L461,M461,N461,O461,Q461,R461,W461,X461))</f>
        <v/>
      </c>
      <c r="AE461">
        <f>IF(A461="","",IF(AND(Z461&lt;&gt;"YES",AD461&lt;&gt;"",AD461&gt;THRESHOLDS!$B$12),"STUCK — act today",""))</f>
        <v/>
      </c>
      <c r="AF461">
        <f>IF(A461="","",IF(J461="Active (verified)","",IF(J461="","Ask GST status (readiness R2)","Escalate to founder: orders need verified GSTIN in current code — no tax advice")))</f>
        <v/>
      </c>
      <c r="AG461">
        <f>IF(AND(G461&lt;&gt;"",L461&lt;&gt;""),L461-G461,"")</f>
        <v/>
      </c>
      <c r="AH461">
        <f>IF(AND(L461&lt;&gt;"",N461&lt;&gt;""),N461-L461,"")</f>
        <v/>
      </c>
      <c r="AI461">
        <f>IF(AND(N461&lt;&gt;"",AA461&lt;&gt;""),AA461-N461,"")</f>
        <v/>
      </c>
      <c r="AJ461">
        <f>IF(AND(L461&lt;&gt;"",N461&lt;&gt;"",Q461&lt;&gt;""),"Qualifies (if FP-QUAL adopted)","")</f>
        <v/>
      </c>
    </row>
    <row r="462">
      <c r="G462" s="9" t="n"/>
      <c r="H462" s="9" t="n"/>
      <c r="K462" s="9" t="n"/>
      <c r="L462" s="9" t="n"/>
      <c r="M462" s="9" t="n"/>
      <c r="N462" s="9" t="n"/>
      <c r="O462" s="9" t="n"/>
      <c r="Q462" s="9" t="n"/>
      <c r="R462" s="9" t="n"/>
      <c r="W462" s="9" t="n"/>
      <c r="X462" s="9" t="n"/>
      <c r="Z462">
        <f>IF(A462="","",IF(AND(N462&lt;&gt;"",O462&lt;&gt;"",Q462&lt;&gt;"",R462&lt;&gt;"",S462="Y"),"YES","no"))</f>
        <v/>
      </c>
      <c r="AA462" s="9">
        <f>IF(Z462="YES",MAX(N462,O462,Q462,R462),"")</f>
        <v/>
      </c>
      <c r="AB462">
        <f>IF(A462="","",IF(X462&lt;&gt;"","13 Repeat activity",IF(W462&lt;&gt;"","12 First enquiry/order/booking",IF(Z462="YES","11 ACTIVATED",IF(Q462&lt;&gt;"","10 First listing live",IF(O462&lt;&gt;"","9 Profile completed",IF(N462&lt;&gt;"","8 Approved",IF(M462&lt;&gt;"","7 KYC submitted",IF(L462&lt;&gt;"","6 Registration completed",IF(K462&lt;&gt;"","5b Registration started",IF(H462&lt;&gt;"","5a Information sent",IF(G462&lt;&gt;"","5 Interested","—"))))))))))))</f>
        <v/>
      </c>
      <c r="AC462" s="10">
        <f>IF(A462="","",(COUNT(G462,H462,K462,L462,M462,N462,O462,Q462,R462)+(I462="Y")+(P462="Y")+(S462="Y"))/12)</f>
        <v/>
      </c>
      <c r="AD462">
        <f>IF(OR(A462="",COUNT(G462:X462)=0),"",TODAY()-MAX(G462,H462,K462,L462,M462,N462,O462,Q462,R462,W462,X462))</f>
        <v/>
      </c>
      <c r="AE462">
        <f>IF(A462="","",IF(AND(Z462&lt;&gt;"YES",AD462&lt;&gt;"",AD462&gt;THRESHOLDS!$B$12),"STUCK — act today",""))</f>
        <v/>
      </c>
      <c r="AF462">
        <f>IF(A462="","",IF(J462="Active (verified)","",IF(J462="","Ask GST status (readiness R2)","Escalate to founder: orders need verified GSTIN in current code — no tax advice")))</f>
        <v/>
      </c>
      <c r="AG462">
        <f>IF(AND(G462&lt;&gt;"",L462&lt;&gt;""),L462-G462,"")</f>
        <v/>
      </c>
      <c r="AH462">
        <f>IF(AND(L462&lt;&gt;"",N462&lt;&gt;""),N462-L462,"")</f>
        <v/>
      </c>
      <c r="AI462">
        <f>IF(AND(N462&lt;&gt;"",AA462&lt;&gt;""),AA462-N462,"")</f>
        <v/>
      </c>
      <c r="AJ462">
        <f>IF(AND(L462&lt;&gt;"",N462&lt;&gt;"",Q462&lt;&gt;""),"Qualifies (if FP-QUAL adopted)","")</f>
        <v/>
      </c>
    </row>
    <row r="463">
      <c r="G463" s="9" t="n"/>
      <c r="H463" s="9" t="n"/>
      <c r="K463" s="9" t="n"/>
      <c r="L463" s="9" t="n"/>
      <c r="M463" s="9" t="n"/>
      <c r="N463" s="9" t="n"/>
      <c r="O463" s="9" t="n"/>
      <c r="Q463" s="9" t="n"/>
      <c r="R463" s="9" t="n"/>
      <c r="W463" s="9" t="n"/>
      <c r="X463" s="9" t="n"/>
      <c r="Z463">
        <f>IF(A463="","",IF(AND(N463&lt;&gt;"",O463&lt;&gt;"",Q463&lt;&gt;"",R463&lt;&gt;"",S463="Y"),"YES","no"))</f>
        <v/>
      </c>
      <c r="AA463" s="9">
        <f>IF(Z463="YES",MAX(N463,O463,Q463,R463),"")</f>
        <v/>
      </c>
      <c r="AB463">
        <f>IF(A463="","",IF(X463&lt;&gt;"","13 Repeat activity",IF(W463&lt;&gt;"","12 First enquiry/order/booking",IF(Z463="YES","11 ACTIVATED",IF(Q463&lt;&gt;"","10 First listing live",IF(O463&lt;&gt;"","9 Profile completed",IF(N463&lt;&gt;"","8 Approved",IF(M463&lt;&gt;"","7 KYC submitted",IF(L463&lt;&gt;"","6 Registration completed",IF(K463&lt;&gt;"","5b Registration started",IF(H463&lt;&gt;"","5a Information sent",IF(G463&lt;&gt;"","5 Interested","—"))))))))))))</f>
        <v/>
      </c>
      <c r="AC463" s="10">
        <f>IF(A463="","",(COUNT(G463,H463,K463,L463,M463,N463,O463,Q463,R463)+(I463="Y")+(P463="Y")+(S463="Y"))/12)</f>
        <v/>
      </c>
      <c r="AD463">
        <f>IF(OR(A463="",COUNT(G463:X463)=0),"",TODAY()-MAX(G463,H463,K463,L463,M463,N463,O463,Q463,R463,W463,X463))</f>
        <v/>
      </c>
      <c r="AE463">
        <f>IF(A463="","",IF(AND(Z463&lt;&gt;"YES",AD463&lt;&gt;"",AD463&gt;THRESHOLDS!$B$12),"STUCK — act today",""))</f>
        <v/>
      </c>
      <c r="AF463">
        <f>IF(A463="","",IF(J463="Active (verified)","",IF(J463="","Ask GST status (readiness R2)","Escalate to founder: orders need verified GSTIN in current code — no tax advice")))</f>
        <v/>
      </c>
      <c r="AG463">
        <f>IF(AND(G463&lt;&gt;"",L463&lt;&gt;""),L463-G463,"")</f>
        <v/>
      </c>
      <c r="AH463">
        <f>IF(AND(L463&lt;&gt;"",N463&lt;&gt;""),N463-L463,"")</f>
        <v/>
      </c>
      <c r="AI463">
        <f>IF(AND(N463&lt;&gt;"",AA463&lt;&gt;""),AA463-N463,"")</f>
        <v/>
      </c>
      <c r="AJ463">
        <f>IF(AND(L463&lt;&gt;"",N463&lt;&gt;"",Q463&lt;&gt;""),"Qualifies (if FP-QUAL adopted)","")</f>
        <v/>
      </c>
    </row>
    <row r="464">
      <c r="G464" s="9" t="n"/>
      <c r="H464" s="9" t="n"/>
      <c r="K464" s="9" t="n"/>
      <c r="L464" s="9" t="n"/>
      <c r="M464" s="9" t="n"/>
      <c r="N464" s="9" t="n"/>
      <c r="O464" s="9" t="n"/>
      <c r="Q464" s="9" t="n"/>
      <c r="R464" s="9" t="n"/>
      <c r="W464" s="9" t="n"/>
      <c r="X464" s="9" t="n"/>
      <c r="Z464">
        <f>IF(A464="","",IF(AND(N464&lt;&gt;"",O464&lt;&gt;"",Q464&lt;&gt;"",R464&lt;&gt;"",S464="Y"),"YES","no"))</f>
        <v/>
      </c>
      <c r="AA464" s="9">
        <f>IF(Z464="YES",MAX(N464,O464,Q464,R464),"")</f>
        <v/>
      </c>
      <c r="AB464">
        <f>IF(A464="","",IF(X464&lt;&gt;"","13 Repeat activity",IF(W464&lt;&gt;"","12 First enquiry/order/booking",IF(Z464="YES","11 ACTIVATED",IF(Q464&lt;&gt;"","10 First listing live",IF(O464&lt;&gt;"","9 Profile completed",IF(N464&lt;&gt;"","8 Approved",IF(M464&lt;&gt;"","7 KYC submitted",IF(L464&lt;&gt;"","6 Registration completed",IF(K464&lt;&gt;"","5b Registration started",IF(H464&lt;&gt;"","5a Information sent",IF(G464&lt;&gt;"","5 Interested","—"))))))))))))</f>
        <v/>
      </c>
      <c r="AC464" s="10">
        <f>IF(A464="","",(COUNT(G464,H464,K464,L464,M464,N464,O464,Q464,R464)+(I464="Y")+(P464="Y")+(S464="Y"))/12)</f>
        <v/>
      </c>
      <c r="AD464">
        <f>IF(OR(A464="",COUNT(G464:X464)=0),"",TODAY()-MAX(G464,H464,K464,L464,M464,N464,O464,Q464,R464,W464,X464))</f>
        <v/>
      </c>
      <c r="AE464">
        <f>IF(A464="","",IF(AND(Z464&lt;&gt;"YES",AD464&lt;&gt;"",AD464&gt;THRESHOLDS!$B$12),"STUCK — act today",""))</f>
        <v/>
      </c>
      <c r="AF464">
        <f>IF(A464="","",IF(J464="Active (verified)","",IF(J464="","Ask GST status (readiness R2)","Escalate to founder: orders need verified GSTIN in current code — no tax advice")))</f>
        <v/>
      </c>
      <c r="AG464">
        <f>IF(AND(G464&lt;&gt;"",L464&lt;&gt;""),L464-G464,"")</f>
        <v/>
      </c>
      <c r="AH464">
        <f>IF(AND(L464&lt;&gt;"",N464&lt;&gt;""),N464-L464,"")</f>
        <v/>
      </c>
      <c r="AI464">
        <f>IF(AND(N464&lt;&gt;"",AA464&lt;&gt;""),AA464-N464,"")</f>
        <v/>
      </c>
      <c r="AJ464">
        <f>IF(AND(L464&lt;&gt;"",N464&lt;&gt;"",Q464&lt;&gt;""),"Qualifies (if FP-QUAL adopted)","")</f>
        <v/>
      </c>
    </row>
    <row r="465">
      <c r="G465" s="9" t="n"/>
      <c r="H465" s="9" t="n"/>
      <c r="K465" s="9" t="n"/>
      <c r="L465" s="9" t="n"/>
      <c r="M465" s="9" t="n"/>
      <c r="N465" s="9" t="n"/>
      <c r="O465" s="9" t="n"/>
      <c r="Q465" s="9" t="n"/>
      <c r="R465" s="9" t="n"/>
      <c r="W465" s="9" t="n"/>
      <c r="X465" s="9" t="n"/>
      <c r="Z465">
        <f>IF(A465="","",IF(AND(N465&lt;&gt;"",O465&lt;&gt;"",Q465&lt;&gt;"",R465&lt;&gt;"",S465="Y"),"YES","no"))</f>
        <v/>
      </c>
      <c r="AA465" s="9">
        <f>IF(Z465="YES",MAX(N465,O465,Q465,R465),"")</f>
        <v/>
      </c>
      <c r="AB465">
        <f>IF(A465="","",IF(X465&lt;&gt;"","13 Repeat activity",IF(W465&lt;&gt;"","12 First enquiry/order/booking",IF(Z465="YES","11 ACTIVATED",IF(Q465&lt;&gt;"","10 First listing live",IF(O465&lt;&gt;"","9 Profile completed",IF(N465&lt;&gt;"","8 Approved",IF(M465&lt;&gt;"","7 KYC submitted",IF(L465&lt;&gt;"","6 Registration completed",IF(K465&lt;&gt;"","5b Registration started",IF(H465&lt;&gt;"","5a Information sent",IF(G465&lt;&gt;"","5 Interested","—"))))))))))))</f>
        <v/>
      </c>
      <c r="AC465" s="10">
        <f>IF(A465="","",(COUNT(G465,H465,K465,L465,M465,N465,O465,Q465,R465)+(I465="Y")+(P465="Y")+(S465="Y"))/12)</f>
        <v/>
      </c>
      <c r="AD465">
        <f>IF(OR(A465="",COUNT(G465:X465)=0),"",TODAY()-MAX(G465,H465,K465,L465,M465,N465,O465,Q465,R465,W465,X465))</f>
        <v/>
      </c>
      <c r="AE465">
        <f>IF(A465="","",IF(AND(Z465&lt;&gt;"YES",AD465&lt;&gt;"",AD465&gt;THRESHOLDS!$B$12),"STUCK — act today",""))</f>
        <v/>
      </c>
      <c r="AF465">
        <f>IF(A465="","",IF(J465="Active (verified)","",IF(J465="","Ask GST status (readiness R2)","Escalate to founder: orders need verified GSTIN in current code — no tax advice")))</f>
        <v/>
      </c>
      <c r="AG465">
        <f>IF(AND(G465&lt;&gt;"",L465&lt;&gt;""),L465-G465,"")</f>
        <v/>
      </c>
      <c r="AH465">
        <f>IF(AND(L465&lt;&gt;"",N465&lt;&gt;""),N465-L465,"")</f>
        <v/>
      </c>
      <c r="AI465">
        <f>IF(AND(N465&lt;&gt;"",AA465&lt;&gt;""),AA465-N465,"")</f>
        <v/>
      </c>
      <c r="AJ465">
        <f>IF(AND(L465&lt;&gt;"",N465&lt;&gt;"",Q465&lt;&gt;""),"Qualifies (if FP-QUAL adopted)","")</f>
        <v/>
      </c>
    </row>
    <row r="466">
      <c r="G466" s="9" t="n"/>
      <c r="H466" s="9" t="n"/>
      <c r="K466" s="9" t="n"/>
      <c r="L466" s="9" t="n"/>
      <c r="M466" s="9" t="n"/>
      <c r="N466" s="9" t="n"/>
      <c r="O466" s="9" t="n"/>
      <c r="Q466" s="9" t="n"/>
      <c r="R466" s="9" t="n"/>
      <c r="W466" s="9" t="n"/>
      <c r="X466" s="9" t="n"/>
      <c r="Z466">
        <f>IF(A466="","",IF(AND(N466&lt;&gt;"",O466&lt;&gt;"",Q466&lt;&gt;"",R466&lt;&gt;"",S466="Y"),"YES","no"))</f>
        <v/>
      </c>
      <c r="AA466" s="9">
        <f>IF(Z466="YES",MAX(N466,O466,Q466,R466),"")</f>
        <v/>
      </c>
      <c r="AB466">
        <f>IF(A466="","",IF(X466&lt;&gt;"","13 Repeat activity",IF(W466&lt;&gt;"","12 First enquiry/order/booking",IF(Z466="YES","11 ACTIVATED",IF(Q466&lt;&gt;"","10 First listing live",IF(O466&lt;&gt;"","9 Profile completed",IF(N466&lt;&gt;"","8 Approved",IF(M466&lt;&gt;"","7 KYC submitted",IF(L466&lt;&gt;"","6 Registration completed",IF(K466&lt;&gt;"","5b Registration started",IF(H466&lt;&gt;"","5a Information sent",IF(G466&lt;&gt;"","5 Interested","—"))))))))))))</f>
        <v/>
      </c>
      <c r="AC466" s="10">
        <f>IF(A466="","",(COUNT(G466,H466,K466,L466,M466,N466,O466,Q466,R466)+(I466="Y")+(P466="Y")+(S466="Y"))/12)</f>
        <v/>
      </c>
      <c r="AD466">
        <f>IF(OR(A466="",COUNT(G466:X466)=0),"",TODAY()-MAX(G466,H466,K466,L466,M466,N466,O466,Q466,R466,W466,X466))</f>
        <v/>
      </c>
      <c r="AE466">
        <f>IF(A466="","",IF(AND(Z466&lt;&gt;"YES",AD466&lt;&gt;"",AD466&gt;THRESHOLDS!$B$12),"STUCK — act today",""))</f>
        <v/>
      </c>
      <c r="AF466">
        <f>IF(A466="","",IF(J466="Active (verified)","",IF(J466="","Ask GST status (readiness R2)","Escalate to founder: orders need verified GSTIN in current code — no tax advice")))</f>
        <v/>
      </c>
      <c r="AG466">
        <f>IF(AND(G466&lt;&gt;"",L466&lt;&gt;""),L466-G466,"")</f>
        <v/>
      </c>
      <c r="AH466">
        <f>IF(AND(L466&lt;&gt;"",N466&lt;&gt;""),N466-L466,"")</f>
        <v/>
      </c>
      <c r="AI466">
        <f>IF(AND(N466&lt;&gt;"",AA466&lt;&gt;""),AA466-N466,"")</f>
        <v/>
      </c>
      <c r="AJ466">
        <f>IF(AND(L466&lt;&gt;"",N466&lt;&gt;"",Q466&lt;&gt;""),"Qualifies (if FP-QUAL adopted)","")</f>
        <v/>
      </c>
    </row>
    <row r="467">
      <c r="G467" s="9" t="n"/>
      <c r="H467" s="9" t="n"/>
      <c r="K467" s="9" t="n"/>
      <c r="L467" s="9" t="n"/>
      <c r="M467" s="9" t="n"/>
      <c r="N467" s="9" t="n"/>
      <c r="O467" s="9" t="n"/>
      <c r="Q467" s="9" t="n"/>
      <c r="R467" s="9" t="n"/>
      <c r="W467" s="9" t="n"/>
      <c r="X467" s="9" t="n"/>
      <c r="Z467">
        <f>IF(A467="","",IF(AND(N467&lt;&gt;"",O467&lt;&gt;"",Q467&lt;&gt;"",R467&lt;&gt;"",S467="Y"),"YES","no"))</f>
        <v/>
      </c>
      <c r="AA467" s="9">
        <f>IF(Z467="YES",MAX(N467,O467,Q467,R467),"")</f>
        <v/>
      </c>
      <c r="AB467">
        <f>IF(A467="","",IF(X467&lt;&gt;"","13 Repeat activity",IF(W467&lt;&gt;"","12 First enquiry/order/booking",IF(Z467="YES","11 ACTIVATED",IF(Q467&lt;&gt;"","10 First listing live",IF(O467&lt;&gt;"","9 Profile completed",IF(N467&lt;&gt;"","8 Approved",IF(M467&lt;&gt;"","7 KYC submitted",IF(L467&lt;&gt;"","6 Registration completed",IF(K467&lt;&gt;"","5b Registration started",IF(H467&lt;&gt;"","5a Information sent",IF(G467&lt;&gt;"","5 Interested","—"))))))))))))</f>
        <v/>
      </c>
      <c r="AC467" s="10">
        <f>IF(A467="","",(COUNT(G467,H467,K467,L467,M467,N467,O467,Q467,R467)+(I467="Y")+(P467="Y")+(S467="Y"))/12)</f>
        <v/>
      </c>
      <c r="AD467">
        <f>IF(OR(A467="",COUNT(G467:X467)=0),"",TODAY()-MAX(G467,H467,K467,L467,M467,N467,O467,Q467,R467,W467,X467))</f>
        <v/>
      </c>
      <c r="AE467">
        <f>IF(A467="","",IF(AND(Z467&lt;&gt;"YES",AD467&lt;&gt;"",AD467&gt;THRESHOLDS!$B$12),"STUCK — act today",""))</f>
        <v/>
      </c>
      <c r="AF467">
        <f>IF(A467="","",IF(J467="Active (verified)","",IF(J467="","Ask GST status (readiness R2)","Escalate to founder: orders need verified GSTIN in current code — no tax advice")))</f>
        <v/>
      </c>
      <c r="AG467">
        <f>IF(AND(G467&lt;&gt;"",L467&lt;&gt;""),L467-G467,"")</f>
        <v/>
      </c>
      <c r="AH467">
        <f>IF(AND(L467&lt;&gt;"",N467&lt;&gt;""),N467-L467,"")</f>
        <v/>
      </c>
      <c r="AI467">
        <f>IF(AND(N467&lt;&gt;"",AA467&lt;&gt;""),AA467-N467,"")</f>
        <v/>
      </c>
      <c r="AJ467">
        <f>IF(AND(L467&lt;&gt;"",N467&lt;&gt;"",Q467&lt;&gt;""),"Qualifies (if FP-QUAL adopted)","")</f>
        <v/>
      </c>
    </row>
    <row r="468">
      <c r="G468" s="9" t="n"/>
      <c r="H468" s="9" t="n"/>
      <c r="K468" s="9" t="n"/>
      <c r="L468" s="9" t="n"/>
      <c r="M468" s="9" t="n"/>
      <c r="N468" s="9" t="n"/>
      <c r="O468" s="9" t="n"/>
      <c r="Q468" s="9" t="n"/>
      <c r="R468" s="9" t="n"/>
      <c r="W468" s="9" t="n"/>
      <c r="X468" s="9" t="n"/>
      <c r="Z468">
        <f>IF(A468="","",IF(AND(N468&lt;&gt;"",O468&lt;&gt;"",Q468&lt;&gt;"",R468&lt;&gt;"",S468="Y"),"YES","no"))</f>
        <v/>
      </c>
      <c r="AA468" s="9">
        <f>IF(Z468="YES",MAX(N468,O468,Q468,R468),"")</f>
        <v/>
      </c>
      <c r="AB468">
        <f>IF(A468="","",IF(X468&lt;&gt;"","13 Repeat activity",IF(W468&lt;&gt;"","12 First enquiry/order/booking",IF(Z468="YES","11 ACTIVATED",IF(Q468&lt;&gt;"","10 First listing live",IF(O468&lt;&gt;"","9 Profile completed",IF(N468&lt;&gt;"","8 Approved",IF(M468&lt;&gt;"","7 KYC submitted",IF(L468&lt;&gt;"","6 Registration completed",IF(K468&lt;&gt;"","5b Registration started",IF(H468&lt;&gt;"","5a Information sent",IF(G468&lt;&gt;"","5 Interested","—"))))))))))))</f>
        <v/>
      </c>
      <c r="AC468" s="10">
        <f>IF(A468="","",(COUNT(G468,H468,K468,L468,M468,N468,O468,Q468,R468)+(I468="Y")+(P468="Y")+(S468="Y"))/12)</f>
        <v/>
      </c>
      <c r="AD468">
        <f>IF(OR(A468="",COUNT(G468:X468)=0),"",TODAY()-MAX(G468,H468,K468,L468,M468,N468,O468,Q468,R468,W468,X468))</f>
        <v/>
      </c>
      <c r="AE468">
        <f>IF(A468="","",IF(AND(Z468&lt;&gt;"YES",AD468&lt;&gt;"",AD468&gt;THRESHOLDS!$B$12),"STUCK — act today",""))</f>
        <v/>
      </c>
      <c r="AF468">
        <f>IF(A468="","",IF(J468="Active (verified)","",IF(J468="","Ask GST status (readiness R2)","Escalate to founder: orders need verified GSTIN in current code — no tax advice")))</f>
        <v/>
      </c>
      <c r="AG468">
        <f>IF(AND(G468&lt;&gt;"",L468&lt;&gt;""),L468-G468,"")</f>
        <v/>
      </c>
      <c r="AH468">
        <f>IF(AND(L468&lt;&gt;"",N468&lt;&gt;""),N468-L468,"")</f>
        <v/>
      </c>
      <c r="AI468">
        <f>IF(AND(N468&lt;&gt;"",AA468&lt;&gt;""),AA468-N468,"")</f>
        <v/>
      </c>
      <c r="AJ468">
        <f>IF(AND(L468&lt;&gt;"",N468&lt;&gt;"",Q468&lt;&gt;""),"Qualifies (if FP-QUAL adopted)","")</f>
        <v/>
      </c>
    </row>
    <row r="469">
      <c r="G469" s="9" t="n"/>
      <c r="H469" s="9" t="n"/>
      <c r="K469" s="9" t="n"/>
      <c r="L469" s="9" t="n"/>
      <c r="M469" s="9" t="n"/>
      <c r="N469" s="9" t="n"/>
      <c r="O469" s="9" t="n"/>
      <c r="Q469" s="9" t="n"/>
      <c r="R469" s="9" t="n"/>
      <c r="W469" s="9" t="n"/>
      <c r="X469" s="9" t="n"/>
      <c r="Z469">
        <f>IF(A469="","",IF(AND(N469&lt;&gt;"",O469&lt;&gt;"",Q469&lt;&gt;"",R469&lt;&gt;"",S469="Y"),"YES","no"))</f>
        <v/>
      </c>
      <c r="AA469" s="9">
        <f>IF(Z469="YES",MAX(N469,O469,Q469,R469),"")</f>
        <v/>
      </c>
      <c r="AB469">
        <f>IF(A469="","",IF(X469&lt;&gt;"","13 Repeat activity",IF(W469&lt;&gt;"","12 First enquiry/order/booking",IF(Z469="YES","11 ACTIVATED",IF(Q469&lt;&gt;"","10 First listing live",IF(O469&lt;&gt;"","9 Profile completed",IF(N469&lt;&gt;"","8 Approved",IF(M469&lt;&gt;"","7 KYC submitted",IF(L469&lt;&gt;"","6 Registration completed",IF(K469&lt;&gt;"","5b Registration started",IF(H469&lt;&gt;"","5a Information sent",IF(G469&lt;&gt;"","5 Interested","—"))))))))))))</f>
        <v/>
      </c>
      <c r="AC469" s="10">
        <f>IF(A469="","",(COUNT(G469,H469,K469,L469,M469,N469,O469,Q469,R469)+(I469="Y")+(P469="Y")+(S469="Y"))/12)</f>
        <v/>
      </c>
      <c r="AD469">
        <f>IF(OR(A469="",COUNT(G469:X469)=0),"",TODAY()-MAX(G469,H469,K469,L469,M469,N469,O469,Q469,R469,W469,X469))</f>
        <v/>
      </c>
      <c r="AE469">
        <f>IF(A469="","",IF(AND(Z469&lt;&gt;"YES",AD469&lt;&gt;"",AD469&gt;THRESHOLDS!$B$12),"STUCK — act today",""))</f>
        <v/>
      </c>
      <c r="AF469">
        <f>IF(A469="","",IF(J469="Active (verified)","",IF(J469="","Ask GST status (readiness R2)","Escalate to founder: orders need verified GSTIN in current code — no tax advice")))</f>
        <v/>
      </c>
      <c r="AG469">
        <f>IF(AND(G469&lt;&gt;"",L469&lt;&gt;""),L469-G469,"")</f>
        <v/>
      </c>
      <c r="AH469">
        <f>IF(AND(L469&lt;&gt;"",N469&lt;&gt;""),N469-L469,"")</f>
        <v/>
      </c>
      <c r="AI469">
        <f>IF(AND(N469&lt;&gt;"",AA469&lt;&gt;""),AA469-N469,"")</f>
        <v/>
      </c>
      <c r="AJ469">
        <f>IF(AND(L469&lt;&gt;"",N469&lt;&gt;"",Q469&lt;&gt;""),"Qualifies (if FP-QUAL adopted)","")</f>
        <v/>
      </c>
    </row>
    <row r="470">
      <c r="G470" s="9" t="n"/>
      <c r="H470" s="9" t="n"/>
      <c r="K470" s="9" t="n"/>
      <c r="L470" s="9" t="n"/>
      <c r="M470" s="9" t="n"/>
      <c r="N470" s="9" t="n"/>
      <c r="O470" s="9" t="n"/>
      <c r="Q470" s="9" t="n"/>
      <c r="R470" s="9" t="n"/>
      <c r="W470" s="9" t="n"/>
      <c r="X470" s="9" t="n"/>
      <c r="Z470">
        <f>IF(A470="","",IF(AND(N470&lt;&gt;"",O470&lt;&gt;"",Q470&lt;&gt;"",R470&lt;&gt;"",S470="Y"),"YES","no"))</f>
        <v/>
      </c>
      <c r="AA470" s="9">
        <f>IF(Z470="YES",MAX(N470,O470,Q470,R470),"")</f>
        <v/>
      </c>
      <c r="AB470">
        <f>IF(A470="","",IF(X470&lt;&gt;"","13 Repeat activity",IF(W470&lt;&gt;"","12 First enquiry/order/booking",IF(Z470="YES","11 ACTIVATED",IF(Q470&lt;&gt;"","10 First listing live",IF(O470&lt;&gt;"","9 Profile completed",IF(N470&lt;&gt;"","8 Approved",IF(M470&lt;&gt;"","7 KYC submitted",IF(L470&lt;&gt;"","6 Registration completed",IF(K470&lt;&gt;"","5b Registration started",IF(H470&lt;&gt;"","5a Information sent",IF(G470&lt;&gt;"","5 Interested","—"))))))))))))</f>
        <v/>
      </c>
      <c r="AC470" s="10">
        <f>IF(A470="","",(COUNT(G470,H470,K470,L470,M470,N470,O470,Q470,R470)+(I470="Y")+(P470="Y")+(S470="Y"))/12)</f>
        <v/>
      </c>
      <c r="AD470">
        <f>IF(OR(A470="",COUNT(G470:X470)=0),"",TODAY()-MAX(G470,H470,K470,L470,M470,N470,O470,Q470,R470,W470,X470))</f>
        <v/>
      </c>
      <c r="AE470">
        <f>IF(A470="","",IF(AND(Z470&lt;&gt;"YES",AD470&lt;&gt;"",AD470&gt;THRESHOLDS!$B$12),"STUCK — act today",""))</f>
        <v/>
      </c>
      <c r="AF470">
        <f>IF(A470="","",IF(J470="Active (verified)","",IF(J470="","Ask GST status (readiness R2)","Escalate to founder: orders need verified GSTIN in current code — no tax advice")))</f>
        <v/>
      </c>
      <c r="AG470">
        <f>IF(AND(G470&lt;&gt;"",L470&lt;&gt;""),L470-G470,"")</f>
        <v/>
      </c>
      <c r="AH470">
        <f>IF(AND(L470&lt;&gt;"",N470&lt;&gt;""),N470-L470,"")</f>
        <v/>
      </c>
      <c r="AI470">
        <f>IF(AND(N470&lt;&gt;"",AA470&lt;&gt;""),AA470-N470,"")</f>
        <v/>
      </c>
      <c r="AJ470">
        <f>IF(AND(L470&lt;&gt;"",N470&lt;&gt;"",Q470&lt;&gt;""),"Qualifies (if FP-QUAL adopted)","")</f>
        <v/>
      </c>
    </row>
    <row r="471">
      <c r="G471" s="9" t="n"/>
      <c r="H471" s="9" t="n"/>
      <c r="K471" s="9" t="n"/>
      <c r="L471" s="9" t="n"/>
      <c r="M471" s="9" t="n"/>
      <c r="N471" s="9" t="n"/>
      <c r="O471" s="9" t="n"/>
      <c r="Q471" s="9" t="n"/>
      <c r="R471" s="9" t="n"/>
      <c r="W471" s="9" t="n"/>
      <c r="X471" s="9" t="n"/>
      <c r="Z471">
        <f>IF(A471="","",IF(AND(N471&lt;&gt;"",O471&lt;&gt;"",Q471&lt;&gt;"",R471&lt;&gt;"",S471="Y"),"YES","no"))</f>
        <v/>
      </c>
      <c r="AA471" s="9">
        <f>IF(Z471="YES",MAX(N471,O471,Q471,R471),"")</f>
        <v/>
      </c>
      <c r="AB471">
        <f>IF(A471="","",IF(X471&lt;&gt;"","13 Repeat activity",IF(W471&lt;&gt;"","12 First enquiry/order/booking",IF(Z471="YES","11 ACTIVATED",IF(Q471&lt;&gt;"","10 First listing live",IF(O471&lt;&gt;"","9 Profile completed",IF(N471&lt;&gt;"","8 Approved",IF(M471&lt;&gt;"","7 KYC submitted",IF(L471&lt;&gt;"","6 Registration completed",IF(K471&lt;&gt;"","5b Registration started",IF(H471&lt;&gt;"","5a Information sent",IF(G471&lt;&gt;"","5 Interested","—"))))))))))))</f>
        <v/>
      </c>
      <c r="AC471" s="10">
        <f>IF(A471="","",(COUNT(G471,H471,K471,L471,M471,N471,O471,Q471,R471)+(I471="Y")+(P471="Y")+(S471="Y"))/12)</f>
        <v/>
      </c>
      <c r="AD471">
        <f>IF(OR(A471="",COUNT(G471:X471)=0),"",TODAY()-MAX(G471,H471,K471,L471,M471,N471,O471,Q471,R471,W471,X471))</f>
        <v/>
      </c>
      <c r="AE471">
        <f>IF(A471="","",IF(AND(Z471&lt;&gt;"YES",AD471&lt;&gt;"",AD471&gt;THRESHOLDS!$B$12),"STUCK — act today",""))</f>
        <v/>
      </c>
      <c r="AF471">
        <f>IF(A471="","",IF(J471="Active (verified)","",IF(J471="","Ask GST status (readiness R2)","Escalate to founder: orders need verified GSTIN in current code — no tax advice")))</f>
        <v/>
      </c>
      <c r="AG471">
        <f>IF(AND(G471&lt;&gt;"",L471&lt;&gt;""),L471-G471,"")</f>
        <v/>
      </c>
      <c r="AH471">
        <f>IF(AND(L471&lt;&gt;"",N471&lt;&gt;""),N471-L471,"")</f>
        <v/>
      </c>
      <c r="AI471">
        <f>IF(AND(N471&lt;&gt;"",AA471&lt;&gt;""),AA471-N471,"")</f>
        <v/>
      </c>
      <c r="AJ471">
        <f>IF(AND(L471&lt;&gt;"",N471&lt;&gt;"",Q471&lt;&gt;""),"Qualifies (if FP-QUAL adopted)","")</f>
        <v/>
      </c>
    </row>
    <row r="472">
      <c r="G472" s="9" t="n"/>
      <c r="H472" s="9" t="n"/>
      <c r="K472" s="9" t="n"/>
      <c r="L472" s="9" t="n"/>
      <c r="M472" s="9" t="n"/>
      <c r="N472" s="9" t="n"/>
      <c r="O472" s="9" t="n"/>
      <c r="Q472" s="9" t="n"/>
      <c r="R472" s="9" t="n"/>
      <c r="W472" s="9" t="n"/>
      <c r="X472" s="9" t="n"/>
      <c r="Z472">
        <f>IF(A472="","",IF(AND(N472&lt;&gt;"",O472&lt;&gt;"",Q472&lt;&gt;"",R472&lt;&gt;"",S472="Y"),"YES","no"))</f>
        <v/>
      </c>
      <c r="AA472" s="9">
        <f>IF(Z472="YES",MAX(N472,O472,Q472,R472),"")</f>
        <v/>
      </c>
      <c r="AB472">
        <f>IF(A472="","",IF(X472&lt;&gt;"","13 Repeat activity",IF(W472&lt;&gt;"","12 First enquiry/order/booking",IF(Z472="YES","11 ACTIVATED",IF(Q472&lt;&gt;"","10 First listing live",IF(O472&lt;&gt;"","9 Profile completed",IF(N472&lt;&gt;"","8 Approved",IF(M472&lt;&gt;"","7 KYC submitted",IF(L472&lt;&gt;"","6 Registration completed",IF(K472&lt;&gt;"","5b Registration started",IF(H472&lt;&gt;"","5a Information sent",IF(G472&lt;&gt;"","5 Interested","—"))))))))))))</f>
        <v/>
      </c>
      <c r="AC472" s="10">
        <f>IF(A472="","",(COUNT(G472,H472,K472,L472,M472,N472,O472,Q472,R472)+(I472="Y")+(P472="Y")+(S472="Y"))/12)</f>
        <v/>
      </c>
      <c r="AD472">
        <f>IF(OR(A472="",COUNT(G472:X472)=0),"",TODAY()-MAX(G472,H472,K472,L472,M472,N472,O472,Q472,R472,W472,X472))</f>
        <v/>
      </c>
      <c r="AE472">
        <f>IF(A472="","",IF(AND(Z472&lt;&gt;"YES",AD472&lt;&gt;"",AD472&gt;THRESHOLDS!$B$12),"STUCK — act today",""))</f>
        <v/>
      </c>
      <c r="AF472">
        <f>IF(A472="","",IF(J472="Active (verified)","",IF(J472="","Ask GST status (readiness R2)","Escalate to founder: orders need verified GSTIN in current code — no tax advice")))</f>
        <v/>
      </c>
      <c r="AG472">
        <f>IF(AND(G472&lt;&gt;"",L472&lt;&gt;""),L472-G472,"")</f>
        <v/>
      </c>
      <c r="AH472">
        <f>IF(AND(L472&lt;&gt;"",N472&lt;&gt;""),N472-L472,"")</f>
        <v/>
      </c>
      <c r="AI472">
        <f>IF(AND(N472&lt;&gt;"",AA472&lt;&gt;""),AA472-N472,"")</f>
        <v/>
      </c>
      <c r="AJ472">
        <f>IF(AND(L472&lt;&gt;"",N472&lt;&gt;"",Q472&lt;&gt;""),"Qualifies (if FP-QUAL adopted)","")</f>
        <v/>
      </c>
    </row>
    <row r="473">
      <c r="G473" s="9" t="n"/>
      <c r="H473" s="9" t="n"/>
      <c r="K473" s="9" t="n"/>
      <c r="L473" s="9" t="n"/>
      <c r="M473" s="9" t="n"/>
      <c r="N473" s="9" t="n"/>
      <c r="O473" s="9" t="n"/>
      <c r="Q473" s="9" t="n"/>
      <c r="R473" s="9" t="n"/>
      <c r="W473" s="9" t="n"/>
      <c r="X473" s="9" t="n"/>
      <c r="Z473">
        <f>IF(A473="","",IF(AND(N473&lt;&gt;"",O473&lt;&gt;"",Q473&lt;&gt;"",R473&lt;&gt;"",S473="Y"),"YES","no"))</f>
        <v/>
      </c>
      <c r="AA473" s="9">
        <f>IF(Z473="YES",MAX(N473,O473,Q473,R473),"")</f>
        <v/>
      </c>
      <c r="AB473">
        <f>IF(A473="","",IF(X473&lt;&gt;"","13 Repeat activity",IF(W473&lt;&gt;"","12 First enquiry/order/booking",IF(Z473="YES","11 ACTIVATED",IF(Q473&lt;&gt;"","10 First listing live",IF(O473&lt;&gt;"","9 Profile completed",IF(N473&lt;&gt;"","8 Approved",IF(M473&lt;&gt;"","7 KYC submitted",IF(L473&lt;&gt;"","6 Registration completed",IF(K473&lt;&gt;"","5b Registration started",IF(H473&lt;&gt;"","5a Information sent",IF(G473&lt;&gt;"","5 Interested","—"))))))))))))</f>
        <v/>
      </c>
      <c r="AC473" s="10">
        <f>IF(A473="","",(COUNT(G473,H473,K473,L473,M473,N473,O473,Q473,R473)+(I473="Y")+(P473="Y")+(S473="Y"))/12)</f>
        <v/>
      </c>
      <c r="AD473">
        <f>IF(OR(A473="",COUNT(G473:X473)=0),"",TODAY()-MAX(G473,H473,K473,L473,M473,N473,O473,Q473,R473,W473,X473))</f>
        <v/>
      </c>
      <c r="AE473">
        <f>IF(A473="","",IF(AND(Z473&lt;&gt;"YES",AD473&lt;&gt;"",AD473&gt;THRESHOLDS!$B$12),"STUCK — act today",""))</f>
        <v/>
      </c>
      <c r="AF473">
        <f>IF(A473="","",IF(J473="Active (verified)","",IF(J473="","Ask GST status (readiness R2)","Escalate to founder: orders need verified GSTIN in current code — no tax advice")))</f>
        <v/>
      </c>
      <c r="AG473">
        <f>IF(AND(G473&lt;&gt;"",L473&lt;&gt;""),L473-G473,"")</f>
        <v/>
      </c>
      <c r="AH473">
        <f>IF(AND(L473&lt;&gt;"",N473&lt;&gt;""),N473-L473,"")</f>
        <v/>
      </c>
      <c r="AI473">
        <f>IF(AND(N473&lt;&gt;"",AA473&lt;&gt;""),AA473-N473,"")</f>
        <v/>
      </c>
      <c r="AJ473">
        <f>IF(AND(L473&lt;&gt;"",N473&lt;&gt;"",Q473&lt;&gt;""),"Qualifies (if FP-QUAL adopted)","")</f>
        <v/>
      </c>
    </row>
    <row r="474">
      <c r="G474" s="9" t="n"/>
      <c r="H474" s="9" t="n"/>
      <c r="K474" s="9" t="n"/>
      <c r="L474" s="9" t="n"/>
      <c r="M474" s="9" t="n"/>
      <c r="N474" s="9" t="n"/>
      <c r="O474" s="9" t="n"/>
      <c r="Q474" s="9" t="n"/>
      <c r="R474" s="9" t="n"/>
      <c r="W474" s="9" t="n"/>
      <c r="X474" s="9" t="n"/>
      <c r="Z474">
        <f>IF(A474="","",IF(AND(N474&lt;&gt;"",O474&lt;&gt;"",Q474&lt;&gt;"",R474&lt;&gt;"",S474="Y"),"YES","no"))</f>
        <v/>
      </c>
      <c r="AA474" s="9">
        <f>IF(Z474="YES",MAX(N474,O474,Q474,R474),"")</f>
        <v/>
      </c>
      <c r="AB474">
        <f>IF(A474="","",IF(X474&lt;&gt;"","13 Repeat activity",IF(W474&lt;&gt;"","12 First enquiry/order/booking",IF(Z474="YES","11 ACTIVATED",IF(Q474&lt;&gt;"","10 First listing live",IF(O474&lt;&gt;"","9 Profile completed",IF(N474&lt;&gt;"","8 Approved",IF(M474&lt;&gt;"","7 KYC submitted",IF(L474&lt;&gt;"","6 Registration completed",IF(K474&lt;&gt;"","5b Registration started",IF(H474&lt;&gt;"","5a Information sent",IF(G474&lt;&gt;"","5 Interested","—"))))))))))))</f>
        <v/>
      </c>
      <c r="AC474" s="10">
        <f>IF(A474="","",(COUNT(G474,H474,K474,L474,M474,N474,O474,Q474,R474)+(I474="Y")+(P474="Y")+(S474="Y"))/12)</f>
        <v/>
      </c>
      <c r="AD474">
        <f>IF(OR(A474="",COUNT(G474:X474)=0),"",TODAY()-MAX(G474,H474,K474,L474,M474,N474,O474,Q474,R474,W474,X474))</f>
        <v/>
      </c>
      <c r="AE474">
        <f>IF(A474="","",IF(AND(Z474&lt;&gt;"YES",AD474&lt;&gt;"",AD474&gt;THRESHOLDS!$B$12),"STUCK — act today",""))</f>
        <v/>
      </c>
      <c r="AF474">
        <f>IF(A474="","",IF(J474="Active (verified)","",IF(J474="","Ask GST status (readiness R2)","Escalate to founder: orders need verified GSTIN in current code — no tax advice")))</f>
        <v/>
      </c>
      <c r="AG474">
        <f>IF(AND(G474&lt;&gt;"",L474&lt;&gt;""),L474-G474,"")</f>
        <v/>
      </c>
      <c r="AH474">
        <f>IF(AND(L474&lt;&gt;"",N474&lt;&gt;""),N474-L474,"")</f>
        <v/>
      </c>
      <c r="AI474">
        <f>IF(AND(N474&lt;&gt;"",AA474&lt;&gt;""),AA474-N474,"")</f>
        <v/>
      </c>
      <c r="AJ474">
        <f>IF(AND(L474&lt;&gt;"",N474&lt;&gt;"",Q474&lt;&gt;""),"Qualifies (if FP-QUAL adopted)","")</f>
        <v/>
      </c>
    </row>
    <row r="475">
      <c r="G475" s="9" t="n"/>
      <c r="H475" s="9" t="n"/>
      <c r="K475" s="9" t="n"/>
      <c r="L475" s="9" t="n"/>
      <c r="M475" s="9" t="n"/>
      <c r="N475" s="9" t="n"/>
      <c r="O475" s="9" t="n"/>
      <c r="Q475" s="9" t="n"/>
      <c r="R475" s="9" t="n"/>
      <c r="W475" s="9" t="n"/>
      <c r="X475" s="9" t="n"/>
      <c r="Z475">
        <f>IF(A475="","",IF(AND(N475&lt;&gt;"",O475&lt;&gt;"",Q475&lt;&gt;"",R475&lt;&gt;"",S475="Y"),"YES","no"))</f>
        <v/>
      </c>
      <c r="AA475" s="9">
        <f>IF(Z475="YES",MAX(N475,O475,Q475,R475),"")</f>
        <v/>
      </c>
      <c r="AB475">
        <f>IF(A475="","",IF(X475&lt;&gt;"","13 Repeat activity",IF(W475&lt;&gt;"","12 First enquiry/order/booking",IF(Z475="YES","11 ACTIVATED",IF(Q475&lt;&gt;"","10 First listing live",IF(O475&lt;&gt;"","9 Profile completed",IF(N475&lt;&gt;"","8 Approved",IF(M475&lt;&gt;"","7 KYC submitted",IF(L475&lt;&gt;"","6 Registration completed",IF(K475&lt;&gt;"","5b Registration started",IF(H475&lt;&gt;"","5a Information sent",IF(G475&lt;&gt;"","5 Interested","—"))))))))))))</f>
        <v/>
      </c>
      <c r="AC475" s="10">
        <f>IF(A475="","",(COUNT(G475,H475,K475,L475,M475,N475,O475,Q475,R475)+(I475="Y")+(P475="Y")+(S475="Y"))/12)</f>
        <v/>
      </c>
      <c r="AD475">
        <f>IF(OR(A475="",COUNT(G475:X475)=0),"",TODAY()-MAX(G475,H475,K475,L475,M475,N475,O475,Q475,R475,W475,X475))</f>
        <v/>
      </c>
      <c r="AE475">
        <f>IF(A475="","",IF(AND(Z475&lt;&gt;"YES",AD475&lt;&gt;"",AD475&gt;THRESHOLDS!$B$12),"STUCK — act today",""))</f>
        <v/>
      </c>
      <c r="AF475">
        <f>IF(A475="","",IF(J475="Active (verified)","",IF(J475="","Ask GST status (readiness R2)","Escalate to founder: orders need verified GSTIN in current code — no tax advice")))</f>
        <v/>
      </c>
      <c r="AG475">
        <f>IF(AND(G475&lt;&gt;"",L475&lt;&gt;""),L475-G475,"")</f>
        <v/>
      </c>
      <c r="AH475">
        <f>IF(AND(L475&lt;&gt;"",N475&lt;&gt;""),N475-L475,"")</f>
        <v/>
      </c>
      <c r="AI475">
        <f>IF(AND(N475&lt;&gt;"",AA475&lt;&gt;""),AA475-N475,"")</f>
        <v/>
      </c>
      <c r="AJ475">
        <f>IF(AND(L475&lt;&gt;"",N475&lt;&gt;"",Q475&lt;&gt;""),"Qualifies (if FP-QUAL adopted)","")</f>
        <v/>
      </c>
    </row>
    <row r="476">
      <c r="G476" s="9" t="n"/>
      <c r="H476" s="9" t="n"/>
      <c r="K476" s="9" t="n"/>
      <c r="L476" s="9" t="n"/>
      <c r="M476" s="9" t="n"/>
      <c r="N476" s="9" t="n"/>
      <c r="O476" s="9" t="n"/>
      <c r="Q476" s="9" t="n"/>
      <c r="R476" s="9" t="n"/>
      <c r="W476" s="9" t="n"/>
      <c r="X476" s="9" t="n"/>
      <c r="Z476">
        <f>IF(A476="","",IF(AND(N476&lt;&gt;"",O476&lt;&gt;"",Q476&lt;&gt;"",R476&lt;&gt;"",S476="Y"),"YES","no"))</f>
        <v/>
      </c>
      <c r="AA476" s="9">
        <f>IF(Z476="YES",MAX(N476,O476,Q476,R476),"")</f>
        <v/>
      </c>
      <c r="AB476">
        <f>IF(A476="","",IF(X476&lt;&gt;"","13 Repeat activity",IF(W476&lt;&gt;"","12 First enquiry/order/booking",IF(Z476="YES","11 ACTIVATED",IF(Q476&lt;&gt;"","10 First listing live",IF(O476&lt;&gt;"","9 Profile completed",IF(N476&lt;&gt;"","8 Approved",IF(M476&lt;&gt;"","7 KYC submitted",IF(L476&lt;&gt;"","6 Registration completed",IF(K476&lt;&gt;"","5b Registration started",IF(H476&lt;&gt;"","5a Information sent",IF(G476&lt;&gt;"","5 Interested","—"))))))))))))</f>
        <v/>
      </c>
      <c r="AC476" s="10">
        <f>IF(A476="","",(COUNT(G476,H476,K476,L476,M476,N476,O476,Q476,R476)+(I476="Y")+(P476="Y")+(S476="Y"))/12)</f>
        <v/>
      </c>
      <c r="AD476">
        <f>IF(OR(A476="",COUNT(G476:X476)=0),"",TODAY()-MAX(G476,H476,K476,L476,M476,N476,O476,Q476,R476,W476,X476))</f>
        <v/>
      </c>
      <c r="AE476">
        <f>IF(A476="","",IF(AND(Z476&lt;&gt;"YES",AD476&lt;&gt;"",AD476&gt;THRESHOLDS!$B$12),"STUCK — act today",""))</f>
        <v/>
      </c>
      <c r="AF476">
        <f>IF(A476="","",IF(J476="Active (verified)","",IF(J476="","Ask GST status (readiness R2)","Escalate to founder: orders need verified GSTIN in current code — no tax advice")))</f>
        <v/>
      </c>
      <c r="AG476">
        <f>IF(AND(G476&lt;&gt;"",L476&lt;&gt;""),L476-G476,"")</f>
        <v/>
      </c>
      <c r="AH476">
        <f>IF(AND(L476&lt;&gt;"",N476&lt;&gt;""),N476-L476,"")</f>
        <v/>
      </c>
      <c r="AI476">
        <f>IF(AND(N476&lt;&gt;"",AA476&lt;&gt;""),AA476-N476,"")</f>
        <v/>
      </c>
      <c r="AJ476">
        <f>IF(AND(L476&lt;&gt;"",N476&lt;&gt;"",Q476&lt;&gt;""),"Qualifies (if FP-QUAL adopted)","")</f>
        <v/>
      </c>
    </row>
    <row r="477">
      <c r="G477" s="9" t="n"/>
      <c r="H477" s="9" t="n"/>
      <c r="K477" s="9" t="n"/>
      <c r="L477" s="9" t="n"/>
      <c r="M477" s="9" t="n"/>
      <c r="N477" s="9" t="n"/>
      <c r="O477" s="9" t="n"/>
      <c r="Q477" s="9" t="n"/>
      <c r="R477" s="9" t="n"/>
      <c r="W477" s="9" t="n"/>
      <c r="X477" s="9" t="n"/>
      <c r="Z477">
        <f>IF(A477="","",IF(AND(N477&lt;&gt;"",O477&lt;&gt;"",Q477&lt;&gt;"",R477&lt;&gt;"",S477="Y"),"YES","no"))</f>
        <v/>
      </c>
      <c r="AA477" s="9">
        <f>IF(Z477="YES",MAX(N477,O477,Q477,R477),"")</f>
        <v/>
      </c>
      <c r="AB477">
        <f>IF(A477="","",IF(X477&lt;&gt;"","13 Repeat activity",IF(W477&lt;&gt;"","12 First enquiry/order/booking",IF(Z477="YES","11 ACTIVATED",IF(Q477&lt;&gt;"","10 First listing live",IF(O477&lt;&gt;"","9 Profile completed",IF(N477&lt;&gt;"","8 Approved",IF(M477&lt;&gt;"","7 KYC submitted",IF(L477&lt;&gt;"","6 Registration completed",IF(K477&lt;&gt;"","5b Registration started",IF(H477&lt;&gt;"","5a Information sent",IF(G477&lt;&gt;"","5 Interested","—"))))))))))))</f>
        <v/>
      </c>
      <c r="AC477" s="10">
        <f>IF(A477="","",(COUNT(G477,H477,K477,L477,M477,N477,O477,Q477,R477)+(I477="Y")+(P477="Y")+(S477="Y"))/12)</f>
        <v/>
      </c>
      <c r="AD477">
        <f>IF(OR(A477="",COUNT(G477:X477)=0),"",TODAY()-MAX(G477,H477,K477,L477,M477,N477,O477,Q477,R477,W477,X477))</f>
        <v/>
      </c>
      <c r="AE477">
        <f>IF(A477="","",IF(AND(Z477&lt;&gt;"YES",AD477&lt;&gt;"",AD477&gt;THRESHOLDS!$B$12),"STUCK — act today",""))</f>
        <v/>
      </c>
      <c r="AF477">
        <f>IF(A477="","",IF(J477="Active (verified)","",IF(J477="","Ask GST status (readiness R2)","Escalate to founder: orders need verified GSTIN in current code — no tax advice")))</f>
        <v/>
      </c>
      <c r="AG477">
        <f>IF(AND(G477&lt;&gt;"",L477&lt;&gt;""),L477-G477,"")</f>
        <v/>
      </c>
      <c r="AH477">
        <f>IF(AND(L477&lt;&gt;"",N477&lt;&gt;""),N477-L477,"")</f>
        <v/>
      </c>
      <c r="AI477">
        <f>IF(AND(N477&lt;&gt;"",AA477&lt;&gt;""),AA477-N477,"")</f>
        <v/>
      </c>
      <c r="AJ477">
        <f>IF(AND(L477&lt;&gt;"",N477&lt;&gt;"",Q477&lt;&gt;""),"Qualifies (if FP-QUAL adopted)","")</f>
        <v/>
      </c>
    </row>
    <row r="478">
      <c r="G478" s="9" t="n"/>
      <c r="H478" s="9" t="n"/>
      <c r="K478" s="9" t="n"/>
      <c r="L478" s="9" t="n"/>
      <c r="M478" s="9" t="n"/>
      <c r="N478" s="9" t="n"/>
      <c r="O478" s="9" t="n"/>
      <c r="Q478" s="9" t="n"/>
      <c r="R478" s="9" t="n"/>
      <c r="W478" s="9" t="n"/>
      <c r="X478" s="9" t="n"/>
      <c r="Z478">
        <f>IF(A478="","",IF(AND(N478&lt;&gt;"",O478&lt;&gt;"",Q478&lt;&gt;"",R478&lt;&gt;"",S478="Y"),"YES","no"))</f>
        <v/>
      </c>
      <c r="AA478" s="9">
        <f>IF(Z478="YES",MAX(N478,O478,Q478,R478),"")</f>
        <v/>
      </c>
      <c r="AB478">
        <f>IF(A478="","",IF(X478&lt;&gt;"","13 Repeat activity",IF(W478&lt;&gt;"","12 First enquiry/order/booking",IF(Z478="YES","11 ACTIVATED",IF(Q478&lt;&gt;"","10 First listing live",IF(O478&lt;&gt;"","9 Profile completed",IF(N478&lt;&gt;"","8 Approved",IF(M478&lt;&gt;"","7 KYC submitted",IF(L478&lt;&gt;"","6 Registration completed",IF(K478&lt;&gt;"","5b Registration started",IF(H478&lt;&gt;"","5a Information sent",IF(G478&lt;&gt;"","5 Interested","—"))))))))))))</f>
        <v/>
      </c>
      <c r="AC478" s="10">
        <f>IF(A478="","",(COUNT(G478,H478,K478,L478,M478,N478,O478,Q478,R478)+(I478="Y")+(P478="Y")+(S478="Y"))/12)</f>
        <v/>
      </c>
      <c r="AD478">
        <f>IF(OR(A478="",COUNT(G478:X478)=0),"",TODAY()-MAX(G478,H478,K478,L478,M478,N478,O478,Q478,R478,W478,X478))</f>
        <v/>
      </c>
      <c r="AE478">
        <f>IF(A478="","",IF(AND(Z478&lt;&gt;"YES",AD478&lt;&gt;"",AD478&gt;THRESHOLDS!$B$12),"STUCK — act today",""))</f>
        <v/>
      </c>
      <c r="AF478">
        <f>IF(A478="","",IF(J478="Active (verified)","",IF(J478="","Ask GST status (readiness R2)","Escalate to founder: orders need verified GSTIN in current code — no tax advice")))</f>
        <v/>
      </c>
      <c r="AG478">
        <f>IF(AND(G478&lt;&gt;"",L478&lt;&gt;""),L478-G478,"")</f>
        <v/>
      </c>
      <c r="AH478">
        <f>IF(AND(L478&lt;&gt;"",N478&lt;&gt;""),N478-L478,"")</f>
        <v/>
      </c>
      <c r="AI478">
        <f>IF(AND(N478&lt;&gt;"",AA478&lt;&gt;""),AA478-N478,"")</f>
        <v/>
      </c>
      <c r="AJ478">
        <f>IF(AND(L478&lt;&gt;"",N478&lt;&gt;"",Q478&lt;&gt;""),"Qualifies (if FP-QUAL adopted)","")</f>
        <v/>
      </c>
    </row>
    <row r="479">
      <c r="G479" s="9" t="n"/>
      <c r="H479" s="9" t="n"/>
      <c r="K479" s="9" t="n"/>
      <c r="L479" s="9" t="n"/>
      <c r="M479" s="9" t="n"/>
      <c r="N479" s="9" t="n"/>
      <c r="O479" s="9" t="n"/>
      <c r="Q479" s="9" t="n"/>
      <c r="R479" s="9" t="n"/>
      <c r="W479" s="9" t="n"/>
      <c r="X479" s="9" t="n"/>
      <c r="Z479">
        <f>IF(A479="","",IF(AND(N479&lt;&gt;"",O479&lt;&gt;"",Q479&lt;&gt;"",R479&lt;&gt;"",S479="Y"),"YES","no"))</f>
        <v/>
      </c>
      <c r="AA479" s="9">
        <f>IF(Z479="YES",MAX(N479,O479,Q479,R479),"")</f>
        <v/>
      </c>
      <c r="AB479">
        <f>IF(A479="","",IF(X479&lt;&gt;"","13 Repeat activity",IF(W479&lt;&gt;"","12 First enquiry/order/booking",IF(Z479="YES","11 ACTIVATED",IF(Q479&lt;&gt;"","10 First listing live",IF(O479&lt;&gt;"","9 Profile completed",IF(N479&lt;&gt;"","8 Approved",IF(M479&lt;&gt;"","7 KYC submitted",IF(L479&lt;&gt;"","6 Registration completed",IF(K479&lt;&gt;"","5b Registration started",IF(H479&lt;&gt;"","5a Information sent",IF(G479&lt;&gt;"","5 Interested","—"))))))))))))</f>
        <v/>
      </c>
      <c r="AC479" s="10">
        <f>IF(A479="","",(COUNT(G479,H479,K479,L479,M479,N479,O479,Q479,R479)+(I479="Y")+(P479="Y")+(S479="Y"))/12)</f>
        <v/>
      </c>
      <c r="AD479">
        <f>IF(OR(A479="",COUNT(G479:X479)=0),"",TODAY()-MAX(G479,H479,K479,L479,M479,N479,O479,Q479,R479,W479,X479))</f>
        <v/>
      </c>
      <c r="AE479">
        <f>IF(A479="","",IF(AND(Z479&lt;&gt;"YES",AD479&lt;&gt;"",AD479&gt;THRESHOLDS!$B$12),"STUCK — act today",""))</f>
        <v/>
      </c>
      <c r="AF479">
        <f>IF(A479="","",IF(J479="Active (verified)","",IF(J479="","Ask GST status (readiness R2)","Escalate to founder: orders need verified GSTIN in current code — no tax advice")))</f>
        <v/>
      </c>
      <c r="AG479">
        <f>IF(AND(G479&lt;&gt;"",L479&lt;&gt;""),L479-G479,"")</f>
        <v/>
      </c>
      <c r="AH479">
        <f>IF(AND(L479&lt;&gt;"",N479&lt;&gt;""),N479-L479,"")</f>
        <v/>
      </c>
      <c r="AI479">
        <f>IF(AND(N479&lt;&gt;"",AA479&lt;&gt;""),AA479-N479,"")</f>
        <v/>
      </c>
      <c r="AJ479">
        <f>IF(AND(L479&lt;&gt;"",N479&lt;&gt;"",Q479&lt;&gt;""),"Qualifies (if FP-QUAL adopted)","")</f>
        <v/>
      </c>
    </row>
    <row r="480">
      <c r="G480" s="9" t="n"/>
      <c r="H480" s="9" t="n"/>
      <c r="K480" s="9" t="n"/>
      <c r="L480" s="9" t="n"/>
      <c r="M480" s="9" t="n"/>
      <c r="N480" s="9" t="n"/>
      <c r="O480" s="9" t="n"/>
      <c r="Q480" s="9" t="n"/>
      <c r="R480" s="9" t="n"/>
      <c r="W480" s="9" t="n"/>
      <c r="X480" s="9" t="n"/>
      <c r="Z480">
        <f>IF(A480="","",IF(AND(N480&lt;&gt;"",O480&lt;&gt;"",Q480&lt;&gt;"",R480&lt;&gt;"",S480="Y"),"YES","no"))</f>
        <v/>
      </c>
      <c r="AA480" s="9">
        <f>IF(Z480="YES",MAX(N480,O480,Q480,R480),"")</f>
        <v/>
      </c>
      <c r="AB480">
        <f>IF(A480="","",IF(X480&lt;&gt;"","13 Repeat activity",IF(W480&lt;&gt;"","12 First enquiry/order/booking",IF(Z480="YES","11 ACTIVATED",IF(Q480&lt;&gt;"","10 First listing live",IF(O480&lt;&gt;"","9 Profile completed",IF(N480&lt;&gt;"","8 Approved",IF(M480&lt;&gt;"","7 KYC submitted",IF(L480&lt;&gt;"","6 Registration completed",IF(K480&lt;&gt;"","5b Registration started",IF(H480&lt;&gt;"","5a Information sent",IF(G480&lt;&gt;"","5 Interested","—"))))))))))))</f>
        <v/>
      </c>
      <c r="AC480" s="10">
        <f>IF(A480="","",(COUNT(G480,H480,K480,L480,M480,N480,O480,Q480,R480)+(I480="Y")+(P480="Y")+(S480="Y"))/12)</f>
        <v/>
      </c>
      <c r="AD480">
        <f>IF(OR(A480="",COUNT(G480:X480)=0),"",TODAY()-MAX(G480,H480,K480,L480,M480,N480,O480,Q480,R480,W480,X480))</f>
        <v/>
      </c>
      <c r="AE480">
        <f>IF(A480="","",IF(AND(Z480&lt;&gt;"YES",AD480&lt;&gt;"",AD480&gt;THRESHOLDS!$B$12),"STUCK — act today",""))</f>
        <v/>
      </c>
      <c r="AF480">
        <f>IF(A480="","",IF(J480="Active (verified)","",IF(J480="","Ask GST status (readiness R2)","Escalate to founder: orders need verified GSTIN in current code — no tax advice")))</f>
        <v/>
      </c>
      <c r="AG480">
        <f>IF(AND(G480&lt;&gt;"",L480&lt;&gt;""),L480-G480,"")</f>
        <v/>
      </c>
      <c r="AH480">
        <f>IF(AND(L480&lt;&gt;"",N480&lt;&gt;""),N480-L480,"")</f>
        <v/>
      </c>
      <c r="AI480">
        <f>IF(AND(N480&lt;&gt;"",AA480&lt;&gt;""),AA480-N480,"")</f>
        <v/>
      </c>
      <c r="AJ480">
        <f>IF(AND(L480&lt;&gt;"",N480&lt;&gt;"",Q480&lt;&gt;""),"Qualifies (if FP-QUAL adopted)","")</f>
        <v/>
      </c>
    </row>
    <row r="481">
      <c r="G481" s="9" t="n"/>
      <c r="H481" s="9" t="n"/>
      <c r="K481" s="9" t="n"/>
      <c r="L481" s="9" t="n"/>
      <c r="M481" s="9" t="n"/>
      <c r="N481" s="9" t="n"/>
      <c r="O481" s="9" t="n"/>
      <c r="Q481" s="9" t="n"/>
      <c r="R481" s="9" t="n"/>
      <c r="W481" s="9" t="n"/>
      <c r="X481" s="9" t="n"/>
      <c r="Z481">
        <f>IF(A481="","",IF(AND(N481&lt;&gt;"",O481&lt;&gt;"",Q481&lt;&gt;"",R481&lt;&gt;"",S481="Y"),"YES","no"))</f>
        <v/>
      </c>
      <c r="AA481" s="9">
        <f>IF(Z481="YES",MAX(N481,O481,Q481,R481),"")</f>
        <v/>
      </c>
      <c r="AB481">
        <f>IF(A481="","",IF(X481&lt;&gt;"","13 Repeat activity",IF(W481&lt;&gt;"","12 First enquiry/order/booking",IF(Z481="YES","11 ACTIVATED",IF(Q481&lt;&gt;"","10 First listing live",IF(O481&lt;&gt;"","9 Profile completed",IF(N481&lt;&gt;"","8 Approved",IF(M481&lt;&gt;"","7 KYC submitted",IF(L481&lt;&gt;"","6 Registration completed",IF(K481&lt;&gt;"","5b Registration started",IF(H481&lt;&gt;"","5a Information sent",IF(G481&lt;&gt;"","5 Interested","—"))))))))))))</f>
        <v/>
      </c>
      <c r="AC481" s="10">
        <f>IF(A481="","",(COUNT(G481,H481,K481,L481,M481,N481,O481,Q481,R481)+(I481="Y")+(P481="Y")+(S481="Y"))/12)</f>
        <v/>
      </c>
      <c r="AD481">
        <f>IF(OR(A481="",COUNT(G481:X481)=0),"",TODAY()-MAX(G481,H481,K481,L481,M481,N481,O481,Q481,R481,W481,X481))</f>
        <v/>
      </c>
      <c r="AE481">
        <f>IF(A481="","",IF(AND(Z481&lt;&gt;"YES",AD481&lt;&gt;"",AD481&gt;THRESHOLDS!$B$12),"STUCK — act today",""))</f>
        <v/>
      </c>
      <c r="AF481">
        <f>IF(A481="","",IF(J481="Active (verified)","",IF(J481="","Ask GST status (readiness R2)","Escalate to founder: orders need verified GSTIN in current code — no tax advice")))</f>
        <v/>
      </c>
      <c r="AG481">
        <f>IF(AND(G481&lt;&gt;"",L481&lt;&gt;""),L481-G481,"")</f>
        <v/>
      </c>
      <c r="AH481">
        <f>IF(AND(L481&lt;&gt;"",N481&lt;&gt;""),N481-L481,"")</f>
        <v/>
      </c>
      <c r="AI481">
        <f>IF(AND(N481&lt;&gt;"",AA481&lt;&gt;""),AA481-N481,"")</f>
        <v/>
      </c>
      <c r="AJ481">
        <f>IF(AND(L481&lt;&gt;"",N481&lt;&gt;"",Q481&lt;&gt;""),"Qualifies (if FP-QUAL adopted)","")</f>
        <v/>
      </c>
    </row>
    <row r="482">
      <c r="G482" s="9" t="n"/>
      <c r="H482" s="9" t="n"/>
      <c r="K482" s="9" t="n"/>
      <c r="L482" s="9" t="n"/>
      <c r="M482" s="9" t="n"/>
      <c r="N482" s="9" t="n"/>
      <c r="O482" s="9" t="n"/>
      <c r="Q482" s="9" t="n"/>
      <c r="R482" s="9" t="n"/>
      <c r="W482" s="9" t="n"/>
      <c r="X482" s="9" t="n"/>
      <c r="Z482">
        <f>IF(A482="","",IF(AND(N482&lt;&gt;"",O482&lt;&gt;"",Q482&lt;&gt;"",R482&lt;&gt;"",S482="Y"),"YES","no"))</f>
        <v/>
      </c>
      <c r="AA482" s="9">
        <f>IF(Z482="YES",MAX(N482,O482,Q482,R482),"")</f>
        <v/>
      </c>
      <c r="AB482">
        <f>IF(A482="","",IF(X482&lt;&gt;"","13 Repeat activity",IF(W482&lt;&gt;"","12 First enquiry/order/booking",IF(Z482="YES","11 ACTIVATED",IF(Q482&lt;&gt;"","10 First listing live",IF(O482&lt;&gt;"","9 Profile completed",IF(N482&lt;&gt;"","8 Approved",IF(M482&lt;&gt;"","7 KYC submitted",IF(L482&lt;&gt;"","6 Registration completed",IF(K482&lt;&gt;"","5b Registration started",IF(H482&lt;&gt;"","5a Information sent",IF(G482&lt;&gt;"","5 Interested","—"))))))))))))</f>
        <v/>
      </c>
      <c r="AC482" s="10">
        <f>IF(A482="","",(COUNT(G482,H482,K482,L482,M482,N482,O482,Q482,R482)+(I482="Y")+(P482="Y")+(S482="Y"))/12)</f>
        <v/>
      </c>
      <c r="AD482">
        <f>IF(OR(A482="",COUNT(G482:X482)=0),"",TODAY()-MAX(G482,H482,K482,L482,M482,N482,O482,Q482,R482,W482,X482))</f>
        <v/>
      </c>
      <c r="AE482">
        <f>IF(A482="","",IF(AND(Z482&lt;&gt;"YES",AD482&lt;&gt;"",AD482&gt;THRESHOLDS!$B$12),"STUCK — act today",""))</f>
        <v/>
      </c>
      <c r="AF482">
        <f>IF(A482="","",IF(J482="Active (verified)","",IF(J482="","Ask GST status (readiness R2)","Escalate to founder: orders need verified GSTIN in current code — no tax advice")))</f>
        <v/>
      </c>
      <c r="AG482">
        <f>IF(AND(G482&lt;&gt;"",L482&lt;&gt;""),L482-G482,"")</f>
        <v/>
      </c>
      <c r="AH482">
        <f>IF(AND(L482&lt;&gt;"",N482&lt;&gt;""),N482-L482,"")</f>
        <v/>
      </c>
      <c r="AI482">
        <f>IF(AND(N482&lt;&gt;"",AA482&lt;&gt;""),AA482-N482,"")</f>
        <v/>
      </c>
      <c r="AJ482">
        <f>IF(AND(L482&lt;&gt;"",N482&lt;&gt;"",Q482&lt;&gt;""),"Qualifies (if FP-QUAL adopted)","")</f>
        <v/>
      </c>
    </row>
    <row r="483">
      <c r="G483" s="9" t="n"/>
      <c r="H483" s="9" t="n"/>
      <c r="K483" s="9" t="n"/>
      <c r="L483" s="9" t="n"/>
      <c r="M483" s="9" t="n"/>
      <c r="N483" s="9" t="n"/>
      <c r="O483" s="9" t="n"/>
      <c r="Q483" s="9" t="n"/>
      <c r="R483" s="9" t="n"/>
      <c r="W483" s="9" t="n"/>
      <c r="X483" s="9" t="n"/>
      <c r="Z483">
        <f>IF(A483="","",IF(AND(N483&lt;&gt;"",O483&lt;&gt;"",Q483&lt;&gt;"",R483&lt;&gt;"",S483="Y"),"YES","no"))</f>
        <v/>
      </c>
      <c r="AA483" s="9">
        <f>IF(Z483="YES",MAX(N483,O483,Q483,R483),"")</f>
        <v/>
      </c>
      <c r="AB483">
        <f>IF(A483="","",IF(X483&lt;&gt;"","13 Repeat activity",IF(W483&lt;&gt;"","12 First enquiry/order/booking",IF(Z483="YES","11 ACTIVATED",IF(Q483&lt;&gt;"","10 First listing live",IF(O483&lt;&gt;"","9 Profile completed",IF(N483&lt;&gt;"","8 Approved",IF(M483&lt;&gt;"","7 KYC submitted",IF(L483&lt;&gt;"","6 Registration completed",IF(K483&lt;&gt;"","5b Registration started",IF(H483&lt;&gt;"","5a Information sent",IF(G483&lt;&gt;"","5 Interested","—"))))))))))))</f>
        <v/>
      </c>
      <c r="AC483" s="10">
        <f>IF(A483="","",(COUNT(G483,H483,K483,L483,M483,N483,O483,Q483,R483)+(I483="Y")+(P483="Y")+(S483="Y"))/12)</f>
        <v/>
      </c>
      <c r="AD483">
        <f>IF(OR(A483="",COUNT(G483:X483)=0),"",TODAY()-MAX(G483,H483,K483,L483,M483,N483,O483,Q483,R483,W483,X483))</f>
        <v/>
      </c>
      <c r="AE483">
        <f>IF(A483="","",IF(AND(Z483&lt;&gt;"YES",AD483&lt;&gt;"",AD483&gt;THRESHOLDS!$B$12),"STUCK — act today",""))</f>
        <v/>
      </c>
      <c r="AF483">
        <f>IF(A483="","",IF(J483="Active (verified)","",IF(J483="","Ask GST status (readiness R2)","Escalate to founder: orders need verified GSTIN in current code — no tax advice")))</f>
        <v/>
      </c>
      <c r="AG483">
        <f>IF(AND(G483&lt;&gt;"",L483&lt;&gt;""),L483-G483,"")</f>
        <v/>
      </c>
      <c r="AH483">
        <f>IF(AND(L483&lt;&gt;"",N483&lt;&gt;""),N483-L483,"")</f>
        <v/>
      </c>
      <c r="AI483">
        <f>IF(AND(N483&lt;&gt;"",AA483&lt;&gt;""),AA483-N483,"")</f>
        <v/>
      </c>
      <c r="AJ483">
        <f>IF(AND(L483&lt;&gt;"",N483&lt;&gt;"",Q483&lt;&gt;""),"Qualifies (if FP-QUAL adopted)","")</f>
        <v/>
      </c>
    </row>
    <row r="484">
      <c r="G484" s="9" t="n"/>
      <c r="H484" s="9" t="n"/>
      <c r="K484" s="9" t="n"/>
      <c r="L484" s="9" t="n"/>
      <c r="M484" s="9" t="n"/>
      <c r="N484" s="9" t="n"/>
      <c r="O484" s="9" t="n"/>
      <c r="Q484" s="9" t="n"/>
      <c r="R484" s="9" t="n"/>
      <c r="W484" s="9" t="n"/>
      <c r="X484" s="9" t="n"/>
      <c r="Z484">
        <f>IF(A484="","",IF(AND(N484&lt;&gt;"",O484&lt;&gt;"",Q484&lt;&gt;"",R484&lt;&gt;"",S484="Y"),"YES","no"))</f>
        <v/>
      </c>
      <c r="AA484" s="9">
        <f>IF(Z484="YES",MAX(N484,O484,Q484,R484),"")</f>
        <v/>
      </c>
      <c r="AB484">
        <f>IF(A484="","",IF(X484&lt;&gt;"","13 Repeat activity",IF(W484&lt;&gt;"","12 First enquiry/order/booking",IF(Z484="YES","11 ACTIVATED",IF(Q484&lt;&gt;"","10 First listing live",IF(O484&lt;&gt;"","9 Profile completed",IF(N484&lt;&gt;"","8 Approved",IF(M484&lt;&gt;"","7 KYC submitted",IF(L484&lt;&gt;"","6 Registration completed",IF(K484&lt;&gt;"","5b Registration started",IF(H484&lt;&gt;"","5a Information sent",IF(G484&lt;&gt;"","5 Interested","—"))))))))))))</f>
        <v/>
      </c>
      <c r="AC484" s="10">
        <f>IF(A484="","",(COUNT(G484,H484,K484,L484,M484,N484,O484,Q484,R484)+(I484="Y")+(P484="Y")+(S484="Y"))/12)</f>
        <v/>
      </c>
      <c r="AD484">
        <f>IF(OR(A484="",COUNT(G484:X484)=0),"",TODAY()-MAX(G484,H484,K484,L484,M484,N484,O484,Q484,R484,W484,X484))</f>
        <v/>
      </c>
      <c r="AE484">
        <f>IF(A484="","",IF(AND(Z484&lt;&gt;"YES",AD484&lt;&gt;"",AD484&gt;THRESHOLDS!$B$12),"STUCK — act today",""))</f>
        <v/>
      </c>
      <c r="AF484">
        <f>IF(A484="","",IF(J484="Active (verified)","",IF(J484="","Ask GST status (readiness R2)","Escalate to founder: orders need verified GSTIN in current code — no tax advice")))</f>
        <v/>
      </c>
      <c r="AG484">
        <f>IF(AND(G484&lt;&gt;"",L484&lt;&gt;""),L484-G484,"")</f>
        <v/>
      </c>
      <c r="AH484">
        <f>IF(AND(L484&lt;&gt;"",N484&lt;&gt;""),N484-L484,"")</f>
        <v/>
      </c>
      <c r="AI484">
        <f>IF(AND(N484&lt;&gt;"",AA484&lt;&gt;""),AA484-N484,"")</f>
        <v/>
      </c>
      <c r="AJ484">
        <f>IF(AND(L484&lt;&gt;"",N484&lt;&gt;"",Q484&lt;&gt;""),"Qualifies (if FP-QUAL adopted)","")</f>
        <v/>
      </c>
    </row>
    <row r="485">
      <c r="G485" s="9" t="n"/>
      <c r="H485" s="9" t="n"/>
      <c r="K485" s="9" t="n"/>
      <c r="L485" s="9" t="n"/>
      <c r="M485" s="9" t="n"/>
      <c r="N485" s="9" t="n"/>
      <c r="O485" s="9" t="n"/>
      <c r="Q485" s="9" t="n"/>
      <c r="R485" s="9" t="n"/>
      <c r="W485" s="9" t="n"/>
      <c r="X485" s="9" t="n"/>
      <c r="Z485">
        <f>IF(A485="","",IF(AND(N485&lt;&gt;"",O485&lt;&gt;"",Q485&lt;&gt;"",R485&lt;&gt;"",S485="Y"),"YES","no"))</f>
        <v/>
      </c>
      <c r="AA485" s="9">
        <f>IF(Z485="YES",MAX(N485,O485,Q485,R485),"")</f>
        <v/>
      </c>
      <c r="AB485">
        <f>IF(A485="","",IF(X485&lt;&gt;"","13 Repeat activity",IF(W485&lt;&gt;"","12 First enquiry/order/booking",IF(Z485="YES","11 ACTIVATED",IF(Q485&lt;&gt;"","10 First listing live",IF(O485&lt;&gt;"","9 Profile completed",IF(N485&lt;&gt;"","8 Approved",IF(M485&lt;&gt;"","7 KYC submitted",IF(L485&lt;&gt;"","6 Registration completed",IF(K485&lt;&gt;"","5b Registration started",IF(H485&lt;&gt;"","5a Information sent",IF(G485&lt;&gt;"","5 Interested","—"))))))))))))</f>
        <v/>
      </c>
      <c r="AC485" s="10">
        <f>IF(A485="","",(COUNT(G485,H485,K485,L485,M485,N485,O485,Q485,R485)+(I485="Y")+(P485="Y")+(S485="Y"))/12)</f>
        <v/>
      </c>
      <c r="AD485">
        <f>IF(OR(A485="",COUNT(G485:X485)=0),"",TODAY()-MAX(G485,H485,K485,L485,M485,N485,O485,Q485,R485,W485,X485))</f>
        <v/>
      </c>
      <c r="AE485">
        <f>IF(A485="","",IF(AND(Z485&lt;&gt;"YES",AD485&lt;&gt;"",AD485&gt;THRESHOLDS!$B$12),"STUCK — act today",""))</f>
        <v/>
      </c>
      <c r="AF485">
        <f>IF(A485="","",IF(J485="Active (verified)","",IF(J485="","Ask GST status (readiness R2)","Escalate to founder: orders need verified GSTIN in current code — no tax advice")))</f>
        <v/>
      </c>
      <c r="AG485">
        <f>IF(AND(G485&lt;&gt;"",L485&lt;&gt;""),L485-G485,"")</f>
        <v/>
      </c>
      <c r="AH485">
        <f>IF(AND(L485&lt;&gt;"",N485&lt;&gt;""),N485-L485,"")</f>
        <v/>
      </c>
      <c r="AI485">
        <f>IF(AND(N485&lt;&gt;"",AA485&lt;&gt;""),AA485-N485,"")</f>
        <v/>
      </c>
      <c r="AJ485">
        <f>IF(AND(L485&lt;&gt;"",N485&lt;&gt;"",Q485&lt;&gt;""),"Qualifies (if FP-QUAL adopted)","")</f>
        <v/>
      </c>
    </row>
    <row r="486">
      <c r="G486" s="9" t="n"/>
      <c r="H486" s="9" t="n"/>
      <c r="K486" s="9" t="n"/>
      <c r="L486" s="9" t="n"/>
      <c r="M486" s="9" t="n"/>
      <c r="N486" s="9" t="n"/>
      <c r="O486" s="9" t="n"/>
      <c r="Q486" s="9" t="n"/>
      <c r="R486" s="9" t="n"/>
      <c r="W486" s="9" t="n"/>
      <c r="X486" s="9" t="n"/>
      <c r="Z486">
        <f>IF(A486="","",IF(AND(N486&lt;&gt;"",O486&lt;&gt;"",Q486&lt;&gt;"",R486&lt;&gt;"",S486="Y"),"YES","no"))</f>
        <v/>
      </c>
      <c r="AA486" s="9">
        <f>IF(Z486="YES",MAX(N486,O486,Q486,R486),"")</f>
        <v/>
      </c>
      <c r="AB486">
        <f>IF(A486="","",IF(X486&lt;&gt;"","13 Repeat activity",IF(W486&lt;&gt;"","12 First enquiry/order/booking",IF(Z486="YES","11 ACTIVATED",IF(Q486&lt;&gt;"","10 First listing live",IF(O486&lt;&gt;"","9 Profile completed",IF(N486&lt;&gt;"","8 Approved",IF(M486&lt;&gt;"","7 KYC submitted",IF(L486&lt;&gt;"","6 Registration completed",IF(K486&lt;&gt;"","5b Registration started",IF(H486&lt;&gt;"","5a Information sent",IF(G486&lt;&gt;"","5 Interested","—"))))))))))))</f>
        <v/>
      </c>
      <c r="AC486" s="10">
        <f>IF(A486="","",(COUNT(G486,H486,K486,L486,M486,N486,O486,Q486,R486)+(I486="Y")+(P486="Y")+(S486="Y"))/12)</f>
        <v/>
      </c>
      <c r="AD486">
        <f>IF(OR(A486="",COUNT(G486:X486)=0),"",TODAY()-MAX(G486,H486,K486,L486,M486,N486,O486,Q486,R486,W486,X486))</f>
        <v/>
      </c>
      <c r="AE486">
        <f>IF(A486="","",IF(AND(Z486&lt;&gt;"YES",AD486&lt;&gt;"",AD486&gt;THRESHOLDS!$B$12),"STUCK — act today",""))</f>
        <v/>
      </c>
      <c r="AF486">
        <f>IF(A486="","",IF(J486="Active (verified)","",IF(J486="","Ask GST status (readiness R2)","Escalate to founder: orders need verified GSTIN in current code — no tax advice")))</f>
        <v/>
      </c>
      <c r="AG486">
        <f>IF(AND(G486&lt;&gt;"",L486&lt;&gt;""),L486-G486,"")</f>
        <v/>
      </c>
      <c r="AH486">
        <f>IF(AND(L486&lt;&gt;"",N486&lt;&gt;""),N486-L486,"")</f>
        <v/>
      </c>
      <c r="AI486">
        <f>IF(AND(N486&lt;&gt;"",AA486&lt;&gt;""),AA486-N486,"")</f>
        <v/>
      </c>
      <c r="AJ486">
        <f>IF(AND(L486&lt;&gt;"",N486&lt;&gt;"",Q486&lt;&gt;""),"Qualifies (if FP-QUAL adopted)","")</f>
        <v/>
      </c>
    </row>
    <row r="487">
      <c r="G487" s="9" t="n"/>
      <c r="H487" s="9" t="n"/>
      <c r="K487" s="9" t="n"/>
      <c r="L487" s="9" t="n"/>
      <c r="M487" s="9" t="n"/>
      <c r="N487" s="9" t="n"/>
      <c r="O487" s="9" t="n"/>
      <c r="Q487" s="9" t="n"/>
      <c r="R487" s="9" t="n"/>
      <c r="W487" s="9" t="n"/>
      <c r="X487" s="9" t="n"/>
      <c r="Z487">
        <f>IF(A487="","",IF(AND(N487&lt;&gt;"",O487&lt;&gt;"",Q487&lt;&gt;"",R487&lt;&gt;"",S487="Y"),"YES","no"))</f>
        <v/>
      </c>
      <c r="AA487" s="9">
        <f>IF(Z487="YES",MAX(N487,O487,Q487,R487),"")</f>
        <v/>
      </c>
      <c r="AB487">
        <f>IF(A487="","",IF(X487&lt;&gt;"","13 Repeat activity",IF(W487&lt;&gt;"","12 First enquiry/order/booking",IF(Z487="YES","11 ACTIVATED",IF(Q487&lt;&gt;"","10 First listing live",IF(O487&lt;&gt;"","9 Profile completed",IF(N487&lt;&gt;"","8 Approved",IF(M487&lt;&gt;"","7 KYC submitted",IF(L487&lt;&gt;"","6 Registration completed",IF(K487&lt;&gt;"","5b Registration started",IF(H487&lt;&gt;"","5a Information sent",IF(G487&lt;&gt;"","5 Interested","—"))))))))))))</f>
        <v/>
      </c>
      <c r="AC487" s="10">
        <f>IF(A487="","",(COUNT(G487,H487,K487,L487,M487,N487,O487,Q487,R487)+(I487="Y")+(P487="Y")+(S487="Y"))/12)</f>
        <v/>
      </c>
      <c r="AD487">
        <f>IF(OR(A487="",COUNT(G487:X487)=0),"",TODAY()-MAX(G487,H487,K487,L487,M487,N487,O487,Q487,R487,W487,X487))</f>
        <v/>
      </c>
      <c r="AE487">
        <f>IF(A487="","",IF(AND(Z487&lt;&gt;"YES",AD487&lt;&gt;"",AD487&gt;THRESHOLDS!$B$12),"STUCK — act today",""))</f>
        <v/>
      </c>
      <c r="AF487">
        <f>IF(A487="","",IF(J487="Active (verified)","",IF(J487="","Ask GST status (readiness R2)","Escalate to founder: orders need verified GSTIN in current code — no tax advice")))</f>
        <v/>
      </c>
      <c r="AG487">
        <f>IF(AND(G487&lt;&gt;"",L487&lt;&gt;""),L487-G487,"")</f>
        <v/>
      </c>
      <c r="AH487">
        <f>IF(AND(L487&lt;&gt;"",N487&lt;&gt;""),N487-L487,"")</f>
        <v/>
      </c>
      <c r="AI487">
        <f>IF(AND(N487&lt;&gt;"",AA487&lt;&gt;""),AA487-N487,"")</f>
        <v/>
      </c>
      <c r="AJ487">
        <f>IF(AND(L487&lt;&gt;"",N487&lt;&gt;"",Q487&lt;&gt;""),"Qualifies (if FP-QUAL adopted)","")</f>
        <v/>
      </c>
    </row>
    <row r="488">
      <c r="G488" s="9" t="n"/>
      <c r="H488" s="9" t="n"/>
      <c r="K488" s="9" t="n"/>
      <c r="L488" s="9" t="n"/>
      <c r="M488" s="9" t="n"/>
      <c r="N488" s="9" t="n"/>
      <c r="O488" s="9" t="n"/>
      <c r="Q488" s="9" t="n"/>
      <c r="R488" s="9" t="n"/>
      <c r="W488" s="9" t="n"/>
      <c r="X488" s="9" t="n"/>
      <c r="Z488">
        <f>IF(A488="","",IF(AND(N488&lt;&gt;"",O488&lt;&gt;"",Q488&lt;&gt;"",R488&lt;&gt;"",S488="Y"),"YES","no"))</f>
        <v/>
      </c>
      <c r="AA488" s="9">
        <f>IF(Z488="YES",MAX(N488,O488,Q488,R488),"")</f>
        <v/>
      </c>
      <c r="AB488">
        <f>IF(A488="","",IF(X488&lt;&gt;"","13 Repeat activity",IF(W488&lt;&gt;"","12 First enquiry/order/booking",IF(Z488="YES","11 ACTIVATED",IF(Q488&lt;&gt;"","10 First listing live",IF(O488&lt;&gt;"","9 Profile completed",IF(N488&lt;&gt;"","8 Approved",IF(M488&lt;&gt;"","7 KYC submitted",IF(L488&lt;&gt;"","6 Registration completed",IF(K488&lt;&gt;"","5b Registration started",IF(H488&lt;&gt;"","5a Information sent",IF(G488&lt;&gt;"","5 Interested","—"))))))))))))</f>
        <v/>
      </c>
      <c r="AC488" s="10">
        <f>IF(A488="","",(COUNT(G488,H488,K488,L488,M488,N488,O488,Q488,R488)+(I488="Y")+(P488="Y")+(S488="Y"))/12)</f>
        <v/>
      </c>
      <c r="AD488">
        <f>IF(OR(A488="",COUNT(G488:X488)=0),"",TODAY()-MAX(G488,H488,K488,L488,M488,N488,O488,Q488,R488,W488,X488))</f>
        <v/>
      </c>
      <c r="AE488">
        <f>IF(A488="","",IF(AND(Z488&lt;&gt;"YES",AD488&lt;&gt;"",AD488&gt;THRESHOLDS!$B$12),"STUCK — act today",""))</f>
        <v/>
      </c>
      <c r="AF488">
        <f>IF(A488="","",IF(J488="Active (verified)","",IF(J488="","Ask GST status (readiness R2)","Escalate to founder: orders need verified GSTIN in current code — no tax advice")))</f>
        <v/>
      </c>
      <c r="AG488">
        <f>IF(AND(G488&lt;&gt;"",L488&lt;&gt;""),L488-G488,"")</f>
        <v/>
      </c>
      <c r="AH488">
        <f>IF(AND(L488&lt;&gt;"",N488&lt;&gt;""),N488-L488,"")</f>
        <v/>
      </c>
      <c r="AI488">
        <f>IF(AND(N488&lt;&gt;"",AA488&lt;&gt;""),AA488-N488,"")</f>
        <v/>
      </c>
      <c r="AJ488">
        <f>IF(AND(L488&lt;&gt;"",N488&lt;&gt;"",Q488&lt;&gt;""),"Qualifies (if FP-QUAL adopted)","")</f>
        <v/>
      </c>
    </row>
    <row r="489">
      <c r="G489" s="9" t="n"/>
      <c r="H489" s="9" t="n"/>
      <c r="K489" s="9" t="n"/>
      <c r="L489" s="9" t="n"/>
      <c r="M489" s="9" t="n"/>
      <c r="N489" s="9" t="n"/>
      <c r="O489" s="9" t="n"/>
      <c r="Q489" s="9" t="n"/>
      <c r="R489" s="9" t="n"/>
      <c r="W489" s="9" t="n"/>
      <c r="X489" s="9" t="n"/>
      <c r="Z489">
        <f>IF(A489="","",IF(AND(N489&lt;&gt;"",O489&lt;&gt;"",Q489&lt;&gt;"",R489&lt;&gt;"",S489="Y"),"YES","no"))</f>
        <v/>
      </c>
      <c r="AA489" s="9">
        <f>IF(Z489="YES",MAX(N489,O489,Q489,R489),"")</f>
        <v/>
      </c>
      <c r="AB489">
        <f>IF(A489="","",IF(X489&lt;&gt;"","13 Repeat activity",IF(W489&lt;&gt;"","12 First enquiry/order/booking",IF(Z489="YES","11 ACTIVATED",IF(Q489&lt;&gt;"","10 First listing live",IF(O489&lt;&gt;"","9 Profile completed",IF(N489&lt;&gt;"","8 Approved",IF(M489&lt;&gt;"","7 KYC submitted",IF(L489&lt;&gt;"","6 Registration completed",IF(K489&lt;&gt;"","5b Registration started",IF(H489&lt;&gt;"","5a Information sent",IF(G489&lt;&gt;"","5 Interested","—"))))))))))))</f>
        <v/>
      </c>
      <c r="AC489" s="10">
        <f>IF(A489="","",(COUNT(G489,H489,K489,L489,M489,N489,O489,Q489,R489)+(I489="Y")+(P489="Y")+(S489="Y"))/12)</f>
        <v/>
      </c>
      <c r="AD489">
        <f>IF(OR(A489="",COUNT(G489:X489)=0),"",TODAY()-MAX(G489,H489,K489,L489,M489,N489,O489,Q489,R489,W489,X489))</f>
        <v/>
      </c>
      <c r="AE489">
        <f>IF(A489="","",IF(AND(Z489&lt;&gt;"YES",AD489&lt;&gt;"",AD489&gt;THRESHOLDS!$B$12),"STUCK — act today",""))</f>
        <v/>
      </c>
      <c r="AF489">
        <f>IF(A489="","",IF(J489="Active (verified)","",IF(J489="","Ask GST status (readiness R2)","Escalate to founder: orders need verified GSTIN in current code — no tax advice")))</f>
        <v/>
      </c>
      <c r="AG489">
        <f>IF(AND(G489&lt;&gt;"",L489&lt;&gt;""),L489-G489,"")</f>
        <v/>
      </c>
      <c r="AH489">
        <f>IF(AND(L489&lt;&gt;"",N489&lt;&gt;""),N489-L489,"")</f>
        <v/>
      </c>
      <c r="AI489">
        <f>IF(AND(N489&lt;&gt;"",AA489&lt;&gt;""),AA489-N489,"")</f>
        <v/>
      </c>
      <c r="AJ489">
        <f>IF(AND(L489&lt;&gt;"",N489&lt;&gt;"",Q489&lt;&gt;""),"Qualifies (if FP-QUAL adopted)","")</f>
        <v/>
      </c>
    </row>
    <row r="490">
      <c r="G490" s="9" t="n"/>
      <c r="H490" s="9" t="n"/>
      <c r="K490" s="9" t="n"/>
      <c r="L490" s="9" t="n"/>
      <c r="M490" s="9" t="n"/>
      <c r="N490" s="9" t="n"/>
      <c r="O490" s="9" t="n"/>
      <c r="Q490" s="9" t="n"/>
      <c r="R490" s="9" t="n"/>
      <c r="W490" s="9" t="n"/>
      <c r="X490" s="9" t="n"/>
      <c r="Z490">
        <f>IF(A490="","",IF(AND(N490&lt;&gt;"",O490&lt;&gt;"",Q490&lt;&gt;"",R490&lt;&gt;"",S490="Y"),"YES","no"))</f>
        <v/>
      </c>
      <c r="AA490" s="9">
        <f>IF(Z490="YES",MAX(N490,O490,Q490,R490),"")</f>
        <v/>
      </c>
      <c r="AB490">
        <f>IF(A490="","",IF(X490&lt;&gt;"","13 Repeat activity",IF(W490&lt;&gt;"","12 First enquiry/order/booking",IF(Z490="YES","11 ACTIVATED",IF(Q490&lt;&gt;"","10 First listing live",IF(O490&lt;&gt;"","9 Profile completed",IF(N490&lt;&gt;"","8 Approved",IF(M490&lt;&gt;"","7 KYC submitted",IF(L490&lt;&gt;"","6 Registration completed",IF(K490&lt;&gt;"","5b Registration started",IF(H490&lt;&gt;"","5a Information sent",IF(G490&lt;&gt;"","5 Interested","—"))))))))))))</f>
        <v/>
      </c>
      <c r="AC490" s="10">
        <f>IF(A490="","",(COUNT(G490,H490,K490,L490,M490,N490,O490,Q490,R490)+(I490="Y")+(P490="Y")+(S490="Y"))/12)</f>
        <v/>
      </c>
      <c r="AD490">
        <f>IF(OR(A490="",COUNT(G490:X490)=0),"",TODAY()-MAX(G490,H490,K490,L490,M490,N490,O490,Q490,R490,W490,X490))</f>
        <v/>
      </c>
      <c r="AE490">
        <f>IF(A490="","",IF(AND(Z490&lt;&gt;"YES",AD490&lt;&gt;"",AD490&gt;THRESHOLDS!$B$12),"STUCK — act today",""))</f>
        <v/>
      </c>
      <c r="AF490">
        <f>IF(A490="","",IF(J490="Active (verified)","",IF(J490="","Ask GST status (readiness R2)","Escalate to founder: orders need verified GSTIN in current code — no tax advice")))</f>
        <v/>
      </c>
      <c r="AG490">
        <f>IF(AND(G490&lt;&gt;"",L490&lt;&gt;""),L490-G490,"")</f>
        <v/>
      </c>
      <c r="AH490">
        <f>IF(AND(L490&lt;&gt;"",N490&lt;&gt;""),N490-L490,"")</f>
        <v/>
      </c>
      <c r="AI490">
        <f>IF(AND(N490&lt;&gt;"",AA490&lt;&gt;""),AA490-N490,"")</f>
        <v/>
      </c>
      <c r="AJ490">
        <f>IF(AND(L490&lt;&gt;"",N490&lt;&gt;"",Q490&lt;&gt;""),"Qualifies (if FP-QUAL adopted)","")</f>
        <v/>
      </c>
    </row>
    <row r="491">
      <c r="G491" s="9" t="n"/>
      <c r="H491" s="9" t="n"/>
      <c r="K491" s="9" t="n"/>
      <c r="L491" s="9" t="n"/>
      <c r="M491" s="9" t="n"/>
      <c r="N491" s="9" t="n"/>
      <c r="O491" s="9" t="n"/>
      <c r="Q491" s="9" t="n"/>
      <c r="R491" s="9" t="n"/>
      <c r="W491" s="9" t="n"/>
      <c r="X491" s="9" t="n"/>
      <c r="Z491">
        <f>IF(A491="","",IF(AND(N491&lt;&gt;"",O491&lt;&gt;"",Q491&lt;&gt;"",R491&lt;&gt;"",S491="Y"),"YES","no"))</f>
        <v/>
      </c>
      <c r="AA491" s="9">
        <f>IF(Z491="YES",MAX(N491,O491,Q491,R491),"")</f>
        <v/>
      </c>
      <c r="AB491">
        <f>IF(A491="","",IF(X491&lt;&gt;"","13 Repeat activity",IF(W491&lt;&gt;"","12 First enquiry/order/booking",IF(Z491="YES","11 ACTIVATED",IF(Q491&lt;&gt;"","10 First listing live",IF(O491&lt;&gt;"","9 Profile completed",IF(N491&lt;&gt;"","8 Approved",IF(M491&lt;&gt;"","7 KYC submitted",IF(L491&lt;&gt;"","6 Registration completed",IF(K491&lt;&gt;"","5b Registration started",IF(H491&lt;&gt;"","5a Information sent",IF(G491&lt;&gt;"","5 Interested","—"))))))))))))</f>
        <v/>
      </c>
      <c r="AC491" s="10">
        <f>IF(A491="","",(COUNT(G491,H491,K491,L491,M491,N491,O491,Q491,R491)+(I491="Y")+(P491="Y")+(S491="Y"))/12)</f>
        <v/>
      </c>
      <c r="AD491">
        <f>IF(OR(A491="",COUNT(G491:X491)=0),"",TODAY()-MAX(G491,H491,K491,L491,M491,N491,O491,Q491,R491,W491,X491))</f>
        <v/>
      </c>
      <c r="AE491">
        <f>IF(A491="","",IF(AND(Z491&lt;&gt;"YES",AD491&lt;&gt;"",AD491&gt;THRESHOLDS!$B$12),"STUCK — act today",""))</f>
        <v/>
      </c>
      <c r="AF491">
        <f>IF(A491="","",IF(J491="Active (verified)","",IF(J491="","Ask GST status (readiness R2)","Escalate to founder: orders need verified GSTIN in current code — no tax advice")))</f>
        <v/>
      </c>
      <c r="AG491">
        <f>IF(AND(G491&lt;&gt;"",L491&lt;&gt;""),L491-G491,"")</f>
        <v/>
      </c>
      <c r="AH491">
        <f>IF(AND(L491&lt;&gt;"",N491&lt;&gt;""),N491-L491,"")</f>
        <v/>
      </c>
      <c r="AI491">
        <f>IF(AND(N491&lt;&gt;"",AA491&lt;&gt;""),AA491-N491,"")</f>
        <v/>
      </c>
      <c r="AJ491">
        <f>IF(AND(L491&lt;&gt;"",N491&lt;&gt;"",Q491&lt;&gt;""),"Qualifies (if FP-QUAL adopted)","")</f>
        <v/>
      </c>
    </row>
    <row r="492">
      <c r="G492" s="9" t="n"/>
      <c r="H492" s="9" t="n"/>
      <c r="K492" s="9" t="n"/>
      <c r="L492" s="9" t="n"/>
      <c r="M492" s="9" t="n"/>
      <c r="N492" s="9" t="n"/>
      <c r="O492" s="9" t="n"/>
      <c r="Q492" s="9" t="n"/>
      <c r="R492" s="9" t="n"/>
      <c r="W492" s="9" t="n"/>
      <c r="X492" s="9" t="n"/>
      <c r="Z492">
        <f>IF(A492="","",IF(AND(N492&lt;&gt;"",O492&lt;&gt;"",Q492&lt;&gt;"",R492&lt;&gt;"",S492="Y"),"YES","no"))</f>
        <v/>
      </c>
      <c r="AA492" s="9">
        <f>IF(Z492="YES",MAX(N492,O492,Q492,R492),"")</f>
        <v/>
      </c>
      <c r="AB492">
        <f>IF(A492="","",IF(X492&lt;&gt;"","13 Repeat activity",IF(W492&lt;&gt;"","12 First enquiry/order/booking",IF(Z492="YES","11 ACTIVATED",IF(Q492&lt;&gt;"","10 First listing live",IF(O492&lt;&gt;"","9 Profile completed",IF(N492&lt;&gt;"","8 Approved",IF(M492&lt;&gt;"","7 KYC submitted",IF(L492&lt;&gt;"","6 Registration completed",IF(K492&lt;&gt;"","5b Registration started",IF(H492&lt;&gt;"","5a Information sent",IF(G492&lt;&gt;"","5 Interested","—"))))))))))))</f>
        <v/>
      </c>
      <c r="AC492" s="10">
        <f>IF(A492="","",(COUNT(G492,H492,K492,L492,M492,N492,O492,Q492,R492)+(I492="Y")+(P492="Y")+(S492="Y"))/12)</f>
        <v/>
      </c>
      <c r="AD492">
        <f>IF(OR(A492="",COUNT(G492:X492)=0),"",TODAY()-MAX(G492,H492,K492,L492,M492,N492,O492,Q492,R492,W492,X492))</f>
        <v/>
      </c>
      <c r="AE492">
        <f>IF(A492="","",IF(AND(Z492&lt;&gt;"YES",AD492&lt;&gt;"",AD492&gt;THRESHOLDS!$B$12),"STUCK — act today",""))</f>
        <v/>
      </c>
      <c r="AF492">
        <f>IF(A492="","",IF(J492="Active (verified)","",IF(J492="","Ask GST status (readiness R2)","Escalate to founder: orders need verified GSTIN in current code — no tax advice")))</f>
        <v/>
      </c>
      <c r="AG492">
        <f>IF(AND(G492&lt;&gt;"",L492&lt;&gt;""),L492-G492,"")</f>
        <v/>
      </c>
      <c r="AH492">
        <f>IF(AND(L492&lt;&gt;"",N492&lt;&gt;""),N492-L492,"")</f>
        <v/>
      </c>
      <c r="AI492">
        <f>IF(AND(N492&lt;&gt;"",AA492&lt;&gt;""),AA492-N492,"")</f>
        <v/>
      </c>
      <c r="AJ492">
        <f>IF(AND(L492&lt;&gt;"",N492&lt;&gt;"",Q492&lt;&gt;""),"Qualifies (if FP-QUAL adopted)","")</f>
        <v/>
      </c>
    </row>
    <row r="493">
      <c r="G493" s="9" t="n"/>
      <c r="H493" s="9" t="n"/>
      <c r="K493" s="9" t="n"/>
      <c r="L493" s="9" t="n"/>
      <c r="M493" s="9" t="n"/>
      <c r="N493" s="9" t="n"/>
      <c r="O493" s="9" t="n"/>
      <c r="Q493" s="9" t="n"/>
      <c r="R493" s="9" t="n"/>
      <c r="W493" s="9" t="n"/>
      <c r="X493" s="9" t="n"/>
      <c r="Z493">
        <f>IF(A493="","",IF(AND(N493&lt;&gt;"",O493&lt;&gt;"",Q493&lt;&gt;"",R493&lt;&gt;"",S493="Y"),"YES","no"))</f>
        <v/>
      </c>
      <c r="AA493" s="9">
        <f>IF(Z493="YES",MAX(N493,O493,Q493,R493),"")</f>
        <v/>
      </c>
      <c r="AB493">
        <f>IF(A493="","",IF(X493&lt;&gt;"","13 Repeat activity",IF(W493&lt;&gt;"","12 First enquiry/order/booking",IF(Z493="YES","11 ACTIVATED",IF(Q493&lt;&gt;"","10 First listing live",IF(O493&lt;&gt;"","9 Profile completed",IF(N493&lt;&gt;"","8 Approved",IF(M493&lt;&gt;"","7 KYC submitted",IF(L493&lt;&gt;"","6 Registration completed",IF(K493&lt;&gt;"","5b Registration started",IF(H493&lt;&gt;"","5a Information sent",IF(G493&lt;&gt;"","5 Interested","—"))))))))))))</f>
        <v/>
      </c>
      <c r="AC493" s="10">
        <f>IF(A493="","",(COUNT(G493,H493,K493,L493,M493,N493,O493,Q493,R493)+(I493="Y")+(P493="Y")+(S493="Y"))/12)</f>
        <v/>
      </c>
      <c r="AD493">
        <f>IF(OR(A493="",COUNT(G493:X493)=0),"",TODAY()-MAX(G493,H493,K493,L493,M493,N493,O493,Q493,R493,W493,X493))</f>
        <v/>
      </c>
      <c r="AE493">
        <f>IF(A493="","",IF(AND(Z493&lt;&gt;"YES",AD493&lt;&gt;"",AD493&gt;THRESHOLDS!$B$12),"STUCK — act today",""))</f>
        <v/>
      </c>
      <c r="AF493">
        <f>IF(A493="","",IF(J493="Active (verified)","",IF(J493="","Ask GST status (readiness R2)","Escalate to founder: orders need verified GSTIN in current code — no tax advice")))</f>
        <v/>
      </c>
      <c r="AG493">
        <f>IF(AND(G493&lt;&gt;"",L493&lt;&gt;""),L493-G493,"")</f>
        <v/>
      </c>
      <c r="AH493">
        <f>IF(AND(L493&lt;&gt;"",N493&lt;&gt;""),N493-L493,"")</f>
        <v/>
      </c>
      <c r="AI493">
        <f>IF(AND(N493&lt;&gt;"",AA493&lt;&gt;""),AA493-N493,"")</f>
        <v/>
      </c>
      <c r="AJ493">
        <f>IF(AND(L493&lt;&gt;"",N493&lt;&gt;"",Q493&lt;&gt;""),"Qualifies (if FP-QUAL adopted)","")</f>
        <v/>
      </c>
    </row>
    <row r="494">
      <c r="G494" s="9" t="n"/>
      <c r="H494" s="9" t="n"/>
      <c r="K494" s="9" t="n"/>
      <c r="L494" s="9" t="n"/>
      <c r="M494" s="9" t="n"/>
      <c r="N494" s="9" t="n"/>
      <c r="O494" s="9" t="n"/>
      <c r="Q494" s="9" t="n"/>
      <c r="R494" s="9" t="n"/>
      <c r="W494" s="9" t="n"/>
      <c r="X494" s="9" t="n"/>
      <c r="Z494">
        <f>IF(A494="","",IF(AND(N494&lt;&gt;"",O494&lt;&gt;"",Q494&lt;&gt;"",R494&lt;&gt;"",S494="Y"),"YES","no"))</f>
        <v/>
      </c>
      <c r="AA494" s="9">
        <f>IF(Z494="YES",MAX(N494,O494,Q494,R494),"")</f>
        <v/>
      </c>
      <c r="AB494">
        <f>IF(A494="","",IF(X494&lt;&gt;"","13 Repeat activity",IF(W494&lt;&gt;"","12 First enquiry/order/booking",IF(Z494="YES","11 ACTIVATED",IF(Q494&lt;&gt;"","10 First listing live",IF(O494&lt;&gt;"","9 Profile completed",IF(N494&lt;&gt;"","8 Approved",IF(M494&lt;&gt;"","7 KYC submitted",IF(L494&lt;&gt;"","6 Registration completed",IF(K494&lt;&gt;"","5b Registration started",IF(H494&lt;&gt;"","5a Information sent",IF(G494&lt;&gt;"","5 Interested","—"))))))))))))</f>
        <v/>
      </c>
      <c r="AC494" s="10">
        <f>IF(A494="","",(COUNT(G494,H494,K494,L494,M494,N494,O494,Q494,R494)+(I494="Y")+(P494="Y")+(S494="Y"))/12)</f>
        <v/>
      </c>
      <c r="AD494">
        <f>IF(OR(A494="",COUNT(G494:X494)=0),"",TODAY()-MAX(G494,H494,K494,L494,M494,N494,O494,Q494,R494,W494,X494))</f>
        <v/>
      </c>
      <c r="AE494">
        <f>IF(A494="","",IF(AND(Z494&lt;&gt;"YES",AD494&lt;&gt;"",AD494&gt;THRESHOLDS!$B$12),"STUCK — act today",""))</f>
        <v/>
      </c>
      <c r="AF494">
        <f>IF(A494="","",IF(J494="Active (verified)","",IF(J494="","Ask GST status (readiness R2)","Escalate to founder: orders need verified GSTIN in current code — no tax advice")))</f>
        <v/>
      </c>
      <c r="AG494">
        <f>IF(AND(G494&lt;&gt;"",L494&lt;&gt;""),L494-G494,"")</f>
        <v/>
      </c>
      <c r="AH494">
        <f>IF(AND(L494&lt;&gt;"",N494&lt;&gt;""),N494-L494,"")</f>
        <v/>
      </c>
      <c r="AI494">
        <f>IF(AND(N494&lt;&gt;"",AA494&lt;&gt;""),AA494-N494,"")</f>
        <v/>
      </c>
      <c r="AJ494">
        <f>IF(AND(L494&lt;&gt;"",N494&lt;&gt;"",Q494&lt;&gt;""),"Qualifies (if FP-QUAL adopted)","")</f>
        <v/>
      </c>
    </row>
    <row r="495">
      <c r="G495" s="9" t="n"/>
      <c r="H495" s="9" t="n"/>
      <c r="K495" s="9" t="n"/>
      <c r="L495" s="9" t="n"/>
      <c r="M495" s="9" t="n"/>
      <c r="N495" s="9" t="n"/>
      <c r="O495" s="9" t="n"/>
      <c r="Q495" s="9" t="n"/>
      <c r="R495" s="9" t="n"/>
      <c r="W495" s="9" t="n"/>
      <c r="X495" s="9" t="n"/>
      <c r="Z495">
        <f>IF(A495="","",IF(AND(N495&lt;&gt;"",O495&lt;&gt;"",Q495&lt;&gt;"",R495&lt;&gt;"",S495="Y"),"YES","no"))</f>
        <v/>
      </c>
      <c r="AA495" s="9">
        <f>IF(Z495="YES",MAX(N495,O495,Q495,R495),"")</f>
        <v/>
      </c>
      <c r="AB495">
        <f>IF(A495="","",IF(X495&lt;&gt;"","13 Repeat activity",IF(W495&lt;&gt;"","12 First enquiry/order/booking",IF(Z495="YES","11 ACTIVATED",IF(Q495&lt;&gt;"","10 First listing live",IF(O495&lt;&gt;"","9 Profile completed",IF(N495&lt;&gt;"","8 Approved",IF(M495&lt;&gt;"","7 KYC submitted",IF(L495&lt;&gt;"","6 Registration completed",IF(K495&lt;&gt;"","5b Registration started",IF(H495&lt;&gt;"","5a Information sent",IF(G495&lt;&gt;"","5 Interested","—"))))))))))))</f>
        <v/>
      </c>
      <c r="AC495" s="10">
        <f>IF(A495="","",(COUNT(G495,H495,K495,L495,M495,N495,O495,Q495,R495)+(I495="Y")+(P495="Y")+(S495="Y"))/12)</f>
        <v/>
      </c>
      <c r="AD495">
        <f>IF(OR(A495="",COUNT(G495:X495)=0),"",TODAY()-MAX(G495,H495,K495,L495,M495,N495,O495,Q495,R495,W495,X495))</f>
        <v/>
      </c>
      <c r="AE495">
        <f>IF(A495="","",IF(AND(Z495&lt;&gt;"YES",AD495&lt;&gt;"",AD495&gt;THRESHOLDS!$B$12),"STUCK — act today",""))</f>
        <v/>
      </c>
      <c r="AF495">
        <f>IF(A495="","",IF(J495="Active (verified)","",IF(J495="","Ask GST status (readiness R2)","Escalate to founder: orders need verified GSTIN in current code — no tax advice")))</f>
        <v/>
      </c>
      <c r="AG495">
        <f>IF(AND(G495&lt;&gt;"",L495&lt;&gt;""),L495-G495,"")</f>
        <v/>
      </c>
      <c r="AH495">
        <f>IF(AND(L495&lt;&gt;"",N495&lt;&gt;""),N495-L495,"")</f>
        <v/>
      </c>
      <c r="AI495">
        <f>IF(AND(N495&lt;&gt;"",AA495&lt;&gt;""),AA495-N495,"")</f>
        <v/>
      </c>
      <c r="AJ495">
        <f>IF(AND(L495&lt;&gt;"",N495&lt;&gt;"",Q495&lt;&gt;""),"Qualifies (if FP-QUAL adopted)","")</f>
        <v/>
      </c>
    </row>
    <row r="496">
      <c r="G496" s="9" t="n"/>
      <c r="H496" s="9" t="n"/>
      <c r="K496" s="9" t="n"/>
      <c r="L496" s="9" t="n"/>
      <c r="M496" s="9" t="n"/>
      <c r="N496" s="9" t="n"/>
      <c r="O496" s="9" t="n"/>
      <c r="Q496" s="9" t="n"/>
      <c r="R496" s="9" t="n"/>
      <c r="W496" s="9" t="n"/>
      <c r="X496" s="9" t="n"/>
      <c r="Z496">
        <f>IF(A496="","",IF(AND(N496&lt;&gt;"",O496&lt;&gt;"",Q496&lt;&gt;"",R496&lt;&gt;"",S496="Y"),"YES","no"))</f>
        <v/>
      </c>
      <c r="AA496" s="9">
        <f>IF(Z496="YES",MAX(N496,O496,Q496,R496),"")</f>
        <v/>
      </c>
      <c r="AB496">
        <f>IF(A496="","",IF(X496&lt;&gt;"","13 Repeat activity",IF(W496&lt;&gt;"","12 First enquiry/order/booking",IF(Z496="YES","11 ACTIVATED",IF(Q496&lt;&gt;"","10 First listing live",IF(O496&lt;&gt;"","9 Profile completed",IF(N496&lt;&gt;"","8 Approved",IF(M496&lt;&gt;"","7 KYC submitted",IF(L496&lt;&gt;"","6 Registration completed",IF(K496&lt;&gt;"","5b Registration started",IF(H496&lt;&gt;"","5a Information sent",IF(G496&lt;&gt;"","5 Interested","—"))))))))))))</f>
        <v/>
      </c>
      <c r="AC496" s="10">
        <f>IF(A496="","",(COUNT(G496,H496,K496,L496,M496,N496,O496,Q496,R496)+(I496="Y")+(P496="Y")+(S496="Y"))/12)</f>
        <v/>
      </c>
      <c r="AD496">
        <f>IF(OR(A496="",COUNT(G496:X496)=0),"",TODAY()-MAX(G496,H496,K496,L496,M496,N496,O496,Q496,R496,W496,X496))</f>
        <v/>
      </c>
      <c r="AE496">
        <f>IF(A496="","",IF(AND(Z496&lt;&gt;"YES",AD496&lt;&gt;"",AD496&gt;THRESHOLDS!$B$12),"STUCK — act today",""))</f>
        <v/>
      </c>
      <c r="AF496">
        <f>IF(A496="","",IF(J496="Active (verified)","",IF(J496="","Ask GST status (readiness R2)","Escalate to founder: orders need verified GSTIN in current code — no tax advice")))</f>
        <v/>
      </c>
      <c r="AG496">
        <f>IF(AND(G496&lt;&gt;"",L496&lt;&gt;""),L496-G496,"")</f>
        <v/>
      </c>
      <c r="AH496">
        <f>IF(AND(L496&lt;&gt;"",N496&lt;&gt;""),N496-L496,"")</f>
        <v/>
      </c>
      <c r="AI496">
        <f>IF(AND(N496&lt;&gt;"",AA496&lt;&gt;""),AA496-N496,"")</f>
        <v/>
      </c>
      <c r="AJ496">
        <f>IF(AND(L496&lt;&gt;"",N496&lt;&gt;"",Q496&lt;&gt;""),"Qualifies (if FP-QUAL adopted)","")</f>
        <v/>
      </c>
    </row>
    <row r="497">
      <c r="G497" s="9" t="n"/>
      <c r="H497" s="9" t="n"/>
      <c r="K497" s="9" t="n"/>
      <c r="L497" s="9" t="n"/>
      <c r="M497" s="9" t="n"/>
      <c r="N497" s="9" t="n"/>
      <c r="O497" s="9" t="n"/>
      <c r="Q497" s="9" t="n"/>
      <c r="R497" s="9" t="n"/>
      <c r="W497" s="9" t="n"/>
      <c r="X497" s="9" t="n"/>
      <c r="Z497">
        <f>IF(A497="","",IF(AND(N497&lt;&gt;"",O497&lt;&gt;"",Q497&lt;&gt;"",R497&lt;&gt;"",S497="Y"),"YES","no"))</f>
        <v/>
      </c>
      <c r="AA497" s="9">
        <f>IF(Z497="YES",MAX(N497,O497,Q497,R497),"")</f>
        <v/>
      </c>
      <c r="AB497">
        <f>IF(A497="","",IF(X497&lt;&gt;"","13 Repeat activity",IF(W497&lt;&gt;"","12 First enquiry/order/booking",IF(Z497="YES","11 ACTIVATED",IF(Q497&lt;&gt;"","10 First listing live",IF(O497&lt;&gt;"","9 Profile completed",IF(N497&lt;&gt;"","8 Approved",IF(M497&lt;&gt;"","7 KYC submitted",IF(L497&lt;&gt;"","6 Registration completed",IF(K497&lt;&gt;"","5b Registration started",IF(H497&lt;&gt;"","5a Information sent",IF(G497&lt;&gt;"","5 Interested","—"))))))))))))</f>
        <v/>
      </c>
      <c r="AC497" s="10">
        <f>IF(A497="","",(COUNT(G497,H497,K497,L497,M497,N497,O497,Q497,R497)+(I497="Y")+(P497="Y")+(S497="Y"))/12)</f>
        <v/>
      </c>
      <c r="AD497">
        <f>IF(OR(A497="",COUNT(G497:X497)=0),"",TODAY()-MAX(G497,H497,K497,L497,M497,N497,O497,Q497,R497,W497,X497))</f>
        <v/>
      </c>
      <c r="AE497">
        <f>IF(A497="","",IF(AND(Z497&lt;&gt;"YES",AD497&lt;&gt;"",AD497&gt;THRESHOLDS!$B$12),"STUCK — act today",""))</f>
        <v/>
      </c>
      <c r="AF497">
        <f>IF(A497="","",IF(J497="Active (verified)","",IF(J497="","Ask GST status (readiness R2)","Escalate to founder: orders need verified GSTIN in current code — no tax advice")))</f>
        <v/>
      </c>
      <c r="AG497">
        <f>IF(AND(G497&lt;&gt;"",L497&lt;&gt;""),L497-G497,"")</f>
        <v/>
      </c>
      <c r="AH497">
        <f>IF(AND(L497&lt;&gt;"",N497&lt;&gt;""),N497-L497,"")</f>
        <v/>
      </c>
      <c r="AI497">
        <f>IF(AND(N497&lt;&gt;"",AA497&lt;&gt;""),AA497-N497,"")</f>
        <v/>
      </c>
      <c r="AJ497">
        <f>IF(AND(L497&lt;&gt;"",N497&lt;&gt;"",Q497&lt;&gt;""),"Qualifies (if FP-QUAL adopted)","")</f>
        <v/>
      </c>
    </row>
    <row r="498">
      <c r="G498" s="9" t="n"/>
      <c r="H498" s="9" t="n"/>
      <c r="K498" s="9" t="n"/>
      <c r="L498" s="9" t="n"/>
      <c r="M498" s="9" t="n"/>
      <c r="N498" s="9" t="n"/>
      <c r="O498" s="9" t="n"/>
      <c r="Q498" s="9" t="n"/>
      <c r="R498" s="9" t="n"/>
      <c r="W498" s="9" t="n"/>
      <c r="X498" s="9" t="n"/>
      <c r="Z498">
        <f>IF(A498="","",IF(AND(N498&lt;&gt;"",O498&lt;&gt;"",Q498&lt;&gt;"",R498&lt;&gt;"",S498="Y"),"YES","no"))</f>
        <v/>
      </c>
      <c r="AA498" s="9">
        <f>IF(Z498="YES",MAX(N498,O498,Q498,R498),"")</f>
        <v/>
      </c>
      <c r="AB498">
        <f>IF(A498="","",IF(X498&lt;&gt;"","13 Repeat activity",IF(W498&lt;&gt;"","12 First enquiry/order/booking",IF(Z498="YES","11 ACTIVATED",IF(Q498&lt;&gt;"","10 First listing live",IF(O498&lt;&gt;"","9 Profile completed",IF(N498&lt;&gt;"","8 Approved",IF(M498&lt;&gt;"","7 KYC submitted",IF(L498&lt;&gt;"","6 Registration completed",IF(K498&lt;&gt;"","5b Registration started",IF(H498&lt;&gt;"","5a Information sent",IF(G498&lt;&gt;"","5 Interested","—"))))))))))))</f>
        <v/>
      </c>
      <c r="AC498" s="10">
        <f>IF(A498="","",(COUNT(G498,H498,K498,L498,M498,N498,O498,Q498,R498)+(I498="Y")+(P498="Y")+(S498="Y"))/12)</f>
        <v/>
      </c>
      <c r="AD498">
        <f>IF(OR(A498="",COUNT(G498:X498)=0),"",TODAY()-MAX(G498,H498,K498,L498,M498,N498,O498,Q498,R498,W498,X498))</f>
        <v/>
      </c>
      <c r="AE498">
        <f>IF(A498="","",IF(AND(Z498&lt;&gt;"YES",AD498&lt;&gt;"",AD498&gt;THRESHOLDS!$B$12),"STUCK — act today",""))</f>
        <v/>
      </c>
      <c r="AF498">
        <f>IF(A498="","",IF(J498="Active (verified)","",IF(J498="","Ask GST status (readiness R2)","Escalate to founder: orders need verified GSTIN in current code — no tax advice")))</f>
        <v/>
      </c>
      <c r="AG498">
        <f>IF(AND(G498&lt;&gt;"",L498&lt;&gt;""),L498-G498,"")</f>
        <v/>
      </c>
      <c r="AH498">
        <f>IF(AND(L498&lt;&gt;"",N498&lt;&gt;""),N498-L498,"")</f>
        <v/>
      </c>
      <c r="AI498">
        <f>IF(AND(N498&lt;&gt;"",AA498&lt;&gt;""),AA498-N498,"")</f>
        <v/>
      </c>
      <c r="AJ498">
        <f>IF(AND(L498&lt;&gt;"",N498&lt;&gt;"",Q498&lt;&gt;""),"Qualifies (if FP-QUAL adopted)","")</f>
        <v/>
      </c>
    </row>
    <row r="499">
      <c r="G499" s="9" t="n"/>
      <c r="H499" s="9" t="n"/>
      <c r="K499" s="9" t="n"/>
      <c r="L499" s="9" t="n"/>
      <c r="M499" s="9" t="n"/>
      <c r="N499" s="9" t="n"/>
      <c r="O499" s="9" t="n"/>
      <c r="Q499" s="9" t="n"/>
      <c r="R499" s="9" t="n"/>
      <c r="W499" s="9" t="n"/>
      <c r="X499" s="9" t="n"/>
      <c r="Z499">
        <f>IF(A499="","",IF(AND(N499&lt;&gt;"",O499&lt;&gt;"",Q499&lt;&gt;"",R499&lt;&gt;"",S499="Y"),"YES","no"))</f>
        <v/>
      </c>
      <c r="AA499" s="9">
        <f>IF(Z499="YES",MAX(N499,O499,Q499,R499),"")</f>
        <v/>
      </c>
      <c r="AB499">
        <f>IF(A499="","",IF(X499&lt;&gt;"","13 Repeat activity",IF(W499&lt;&gt;"","12 First enquiry/order/booking",IF(Z499="YES","11 ACTIVATED",IF(Q499&lt;&gt;"","10 First listing live",IF(O499&lt;&gt;"","9 Profile completed",IF(N499&lt;&gt;"","8 Approved",IF(M499&lt;&gt;"","7 KYC submitted",IF(L499&lt;&gt;"","6 Registration completed",IF(K499&lt;&gt;"","5b Registration started",IF(H499&lt;&gt;"","5a Information sent",IF(G499&lt;&gt;"","5 Interested","—"))))))))))))</f>
        <v/>
      </c>
      <c r="AC499" s="10">
        <f>IF(A499="","",(COUNT(G499,H499,K499,L499,M499,N499,O499,Q499,R499)+(I499="Y")+(P499="Y")+(S499="Y"))/12)</f>
        <v/>
      </c>
      <c r="AD499">
        <f>IF(OR(A499="",COUNT(G499:X499)=0),"",TODAY()-MAX(G499,H499,K499,L499,M499,N499,O499,Q499,R499,W499,X499))</f>
        <v/>
      </c>
      <c r="AE499">
        <f>IF(A499="","",IF(AND(Z499&lt;&gt;"YES",AD499&lt;&gt;"",AD499&gt;THRESHOLDS!$B$12),"STUCK — act today",""))</f>
        <v/>
      </c>
      <c r="AF499">
        <f>IF(A499="","",IF(J499="Active (verified)","",IF(J499="","Ask GST status (readiness R2)","Escalate to founder: orders need verified GSTIN in current code — no tax advice")))</f>
        <v/>
      </c>
      <c r="AG499">
        <f>IF(AND(G499&lt;&gt;"",L499&lt;&gt;""),L499-G499,"")</f>
        <v/>
      </c>
      <c r="AH499">
        <f>IF(AND(L499&lt;&gt;"",N499&lt;&gt;""),N499-L499,"")</f>
        <v/>
      </c>
      <c r="AI499">
        <f>IF(AND(N499&lt;&gt;"",AA499&lt;&gt;""),AA499-N499,"")</f>
        <v/>
      </c>
      <c r="AJ499">
        <f>IF(AND(L499&lt;&gt;"",N499&lt;&gt;"",Q499&lt;&gt;""),"Qualifies (if FP-QUAL adopted)","")</f>
        <v/>
      </c>
    </row>
    <row r="500">
      <c r="G500" s="9" t="n"/>
      <c r="H500" s="9" t="n"/>
      <c r="K500" s="9" t="n"/>
      <c r="L500" s="9" t="n"/>
      <c r="M500" s="9" t="n"/>
      <c r="N500" s="9" t="n"/>
      <c r="O500" s="9" t="n"/>
      <c r="Q500" s="9" t="n"/>
      <c r="R500" s="9" t="n"/>
      <c r="W500" s="9" t="n"/>
      <c r="X500" s="9" t="n"/>
      <c r="Z500">
        <f>IF(A500="","",IF(AND(N500&lt;&gt;"",O500&lt;&gt;"",Q500&lt;&gt;"",R500&lt;&gt;"",S500="Y"),"YES","no"))</f>
        <v/>
      </c>
      <c r="AA500" s="9">
        <f>IF(Z500="YES",MAX(N500,O500,Q500,R500),"")</f>
        <v/>
      </c>
      <c r="AB500">
        <f>IF(A500="","",IF(X500&lt;&gt;"","13 Repeat activity",IF(W500&lt;&gt;"","12 First enquiry/order/booking",IF(Z500="YES","11 ACTIVATED",IF(Q500&lt;&gt;"","10 First listing live",IF(O500&lt;&gt;"","9 Profile completed",IF(N500&lt;&gt;"","8 Approved",IF(M500&lt;&gt;"","7 KYC submitted",IF(L500&lt;&gt;"","6 Registration completed",IF(K500&lt;&gt;"","5b Registration started",IF(H500&lt;&gt;"","5a Information sent",IF(G500&lt;&gt;"","5 Interested","—"))))))))))))</f>
        <v/>
      </c>
      <c r="AC500" s="10">
        <f>IF(A500="","",(COUNT(G500,H500,K500,L500,M500,N500,O500,Q500,R500)+(I500="Y")+(P500="Y")+(S500="Y"))/12)</f>
        <v/>
      </c>
      <c r="AD500">
        <f>IF(OR(A500="",COUNT(G500:X500)=0),"",TODAY()-MAX(G500,H500,K500,L500,M500,N500,O500,Q500,R500,W500,X500))</f>
        <v/>
      </c>
      <c r="AE500">
        <f>IF(A500="","",IF(AND(Z500&lt;&gt;"YES",AD500&lt;&gt;"",AD500&gt;THRESHOLDS!$B$12),"STUCK — act today",""))</f>
        <v/>
      </c>
      <c r="AF500">
        <f>IF(A500="","",IF(J500="Active (verified)","",IF(J500="","Ask GST status (readiness R2)","Escalate to founder: orders need verified GSTIN in current code — no tax advice")))</f>
        <v/>
      </c>
      <c r="AG500">
        <f>IF(AND(G500&lt;&gt;"",L500&lt;&gt;""),L500-G500,"")</f>
        <v/>
      </c>
      <c r="AH500">
        <f>IF(AND(L500&lt;&gt;"",N500&lt;&gt;""),N500-L500,"")</f>
        <v/>
      </c>
      <c r="AI500">
        <f>IF(AND(N500&lt;&gt;"",AA500&lt;&gt;""),AA500-N500,"")</f>
        <v/>
      </c>
      <c r="AJ500">
        <f>IF(AND(L500&lt;&gt;"",N500&lt;&gt;"",Q500&lt;&gt;""),"Qualifies (if FP-QUAL adopted)","")</f>
        <v/>
      </c>
    </row>
    <row r="501">
      <c r="G501" s="9" t="n"/>
      <c r="H501" s="9" t="n"/>
      <c r="K501" s="9" t="n"/>
      <c r="L501" s="9" t="n"/>
      <c r="M501" s="9" t="n"/>
      <c r="N501" s="9" t="n"/>
      <c r="O501" s="9" t="n"/>
      <c r="Q501" s="9" t="n"/>
      <c r="R501" s="9" t="n"/>
      <c r="W501" s="9" t="n"/>
      <c r="X501" s="9" t="n"/>
      <c r="Z501">
        <f>IF(A501="","",IF(AND(N501&lt;&gt;"",O501&lt;&gt;"",Q501&lt;&gt;"",R501&lt;&gt;"",S501="Y"),"YES","no"))</f>
        <v/>
      </c>
      <c r="AA501" s="9">
        <f>IF(Z501="YES",MAX(N501,O501,Q501,R501),"")</f>
        <v/>
      </c>
      <c r="AB501">
        <f>IF(A501="","",IF(X501&lt;&gt;"","13 Repeat activity",IF(W501&lt;&gt;"","12 First enquiry/order/booking",IF(Z501="YES","11 ACTIVATED",IF(Q501&lt;&gt;"","10 First listing live",IF(O501&lt;&gt;"","9 Profile completed",IF(N501&lt;&gt;"","8 Approved",IF(M501&lt;&gt;"","7 KYC submitted",IF(L501&lt;&gt;"","6 Registration completed",IF(K501&lt;&gt;"","5b Registration started",IF(H501&lt;&gt;"","5a Information sent",IF(G501&lt;&gt;"","5 Interested","—"))))))))))))</f>
        <v/>
      </c>
      <c r="AC501" s="10">
        <f>IF(A501="","",(COUNT(G501,H501,K501,L501,M501,N501,O501,Q501,R501)+(I501="Y")+(P501="Y")+(S501="Y"))/12)</f>
        <v/>
      </c>
      <c r="AD501">
        <f>IF(OR(A501="",COUNT(G501:X501)=0),"",TODAY()-MAX(G501,H501,K501,L501,M501,N501,O501,Q501,R501,W501,X501))</f>
        <v/>
      </c>
      <c r="AE501">
        <f>IF(A501="","",IF(AND(Z501&lt;&gt;"YES",AD501&lt;&gt;"",AD501&gt;THRESHOLDS!$B$12),"STUCK — act today",""))</f>
        <v/>
      </c>
      <c r="AF501">
        <f>IF(A501="","",IF(J501="Active (verified)","",IF(J501="","Ask GST status (readiness R2)","Escalate to founder: orders need verified GSTIN in current code — no tax advice")))</f>
        <v/>
      </c>
      <c r="AG501">
        <f>IF(AND(G501&lt;&gt;"",L501&lt;&gt;""),L501-G501,"")</f>
        <v/>
      </c>
      <c r="AH501">
        <f>IF(AND(L501&lt;&gt;"",N501&lt;&gt;""),N501-L501,"")</f>
        <v/>
      </c>
      <c r="AI501">
        <f>IF(AND(N501&lt;&gt;"",AA501&lt;&gt;""),AA501-N501,"")</f>
        <v/>
      </c>
      <c r="AJ501">
        <f>IF(AND(L501&lt;&gt;"",N501&lt;&gt;"",Q501&lt;&gt;""),"Qualifies (if FP-QUAL adopted)","")</f>
        <v/>
      </c>
    </row>
  </sheetData>
  <autoFilter ref="A1:AJ501"/>
  <conditionalFormatting sqref="AE2:AE501">
    <cfRule type="expression" priority="1" dxfId="0">
      <formula>LEFT(AE2,5)="STUCK"</formula>
    </cfRule>
  </conditionalFormatting>
  <conditionalFormatting sqref="Z2:Z501">
    <cfRule type="expression" priority="2" dxfId="1">
      <formula>Z2="YES"</formula>
    </cfRule>
  </conditionalFormatting>
  <dataValidations count="4">
    <dataValidation sqref="C2:C501" showDropDown="0" showInputMessage="0" showErrorMessage="0" allowBlank="1" type="list">
      <formula1>LISTS!$A$2:$A$7</formula1>
    </dataValidation>
    <dataValidation sqref="I2:I501 P2:P501 S2:S501 T2:T501 U2:U501 V2:V501" showDropDown="0" showInputMessage="0" showErrorMessage="0" allowBlank="1" type="list">
      <formula1>LISTS!$B$2:$B$3</formula1>
    </dataValidation>
    <dataValidation sqref="J2:J501" showDropDown="0" showInputMessage="0" showErrorMessage="0" allowBlank="1" type="list">
      <formula1>LISTS!$C$2:$C$5</formula1>
    </dataValidation>
    <dataValidation sqref="G2:G501 H2:H501 K2:K501 L2:L501 M2:M501 N2:N501 O2:O501 Q2:Q501 R2:R501 W2:W501 X2:X501" showDropDown="0" showInputMessage="0" showErrorMessage="1" allowBlank="1" error="Enter a date (yyyy-mm-dd)" type="date" operator="greaterThan">
      <formula1>DATE(2026,1,1)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22" customWidth="1" min="8" max="8"/>
  </cols>
  <sheetData>
    <row r="1">
      <c r="A1" s="3" t="inlineStr">
        <is>
          <t>Conversion KPIs (cumulative over TRACKER; filter TRACKER by Interested date for a weekly cohort view)</t>
        </is>
      </c>
    </row>
    <row r="2">
      <c r="A2" t="inlineStr">
        <is>
          <t>Thresholds are diagnostic TEST thresholds — see THRESHOLDS. "Insufficient data" when the earlier stage has fewer than the minimum cohort size.</t>
        </is>
      </c>
    </row>
    <row r="4">
      <c r="A4" s="4" t="inlineStr">
        <is>
          <t>Stage</t>
        </is>
      </c>
      <c r="B4" s="4" t="inlineStr">
        <is>
          <t>Count</t>
        </is>
      </c>
    </row>
    <row r="5">
      <c r="A5" t="inlineStr">
        <is>
          <t>Interested</t>
        </is>
      </c>
      <c r="B5">
        <f>COUNT(TRACKER!G2:G501)</f>
        <v/>
      </c>
    </row>
    <row r="6">
      <c r="A6" t="inlineStr">
        <is>
          <t>Registration completed</t>
        </is>
      </c>
      <c r="B6">
        <f>COUNT(TRACKER!L2:L501)</f>
        <v/>
      </c>
    </row>
    <row r="7">
      <c r="A7" t="inlineStr">
        <is>
          <t>Approved (KYC + store)</t>
        </is>
      </c>
      <c r="B7">
        <f>COUNT(TRACKER!N2:N501)</f>
        <v/>
      </c>
    </row>
    <row r="8">
      <c r="A8" t="inlineStr">
        <is>
          <t>Profile completed</t>
        </is>
      </c>
      <c r="B8">
        <f>COUNT(TRACKER!O2:O501)</f>
        <v/>
      </c>
    </row>
    <row r="9">
      <c r="A9" t="inlineStr">
        <is>
          <t>First listing live</t>
        </is>
      </c>
      <c r="B9">
        <f>COUNT(TRACKER!Q2:Q501)</f>
        <v/>
      </c>
    </row>
    <row r="10">
      <c r="A10" t="inlineStr">
        <is>
          <t>ACTIVATED</t>
        </is>
      </c>
      <c r="B10">
        <f>COUNTIF(TRACKER!Z2:Z501,"YES")</f>
        <v/>
      </c>
    </row>
    <row r="11">
      <c r="A11" t="inlineStr">
        <is>
          <t>First enquiry/order/booking</t>
        </is>
      </c>
      <c r="B11">
        <f>COUNT(TRACKER!W2:W501)</f>
        <v/>
      </c>
    </row>
    <row r="12">
      <c r="A12" t="inlineStr">
        <is>
          <t>Repeat activity</t>
        </is>
      </c>
      <c r="B12">
        <f>COUNT(TRACKER!X2:X501)</f>
        <v/>
      </c>
    </row>
    <row r="14">
      <c r="A14" s="4" t="inlineStr">
        <is>
          <t>Conversion</t>
        </is>
      </c>
      <c r="B14" s="4" t="inlineStr">
        <is>
          <t>Rate</t>
        </is>
      </c>
      <c r="C14" s="4" t="inlineStr">
        <is>
          <t>Investigate below (test)</t>
        </is>
      </c>
      <c r="D14" s="4" t="inlineStr">
        <is>
          <t>Healthy at/above (test)</t>
        </is>
      </c>
      <c r="E14" s="4" t="inlineStr">
        <is>
          <t>Status</t>
        </is>
      </c>
    </row>
    <row r="15">
      <c r="A15" t="inlineStr">
        <is>
          <t>Interested → Registration completed</t>
        </is>
      </c>
      <c r="B15" s="10">
        <f>IF(B5=0,"",B6/B5)</f>
        <v/>
      </c>
      <c r="C15" s="10">
        <f>THRESHOLDS!$B$3</f>
        <v/>
      </c>
      <c r="D15" s="10">
        <f>THRESHOLDS!$C$3</f>
        <v/>
      </c>
      <c r="E15">
        <f>IF(B5&lt;THRESHOLDS!$B$11,"Insufficient data",IF(B15&lt;C15,"INVESTIGATE",IF(B15&gt;=D15,"Healthy signal","Watch")))</f>
        <v/>
      </c>
    </row>
    <row r="16">
      <c r="A16" t="inlineStr">
        <is>
          <t>Registration → Approved</t>
        </is>
      </c>
      <c r="B16" s="10">
        <f>IF(B6=0,"",B7/B6)</f>
        <v/>
      </c>
      <c r="C16" s="10">
        <f>THRESHOLDS!$B$4</f>
        <v/>
      </c>
      <c r="D16" s="10">
        <f>THRESHOLDS!$C$4</f>
        <v/>
      </c>
      <c r="E16">
        <f>IF(B6&lt;THRESHOLDS!$B$11,"Insufficient data",IF(B16&lt;C16,"INVESTIGATE",IF(B16&gt;=D16,"Healthy signal","Watch")))</f>
        <v/>
      </c>
    </row>
    <row r="17">
      <c r="A17" t="inlineStr">
        <is>
          <t>Approved → Profile completed</t>
        </is>
      </c>
      <c r="B17" s="10">
        <f>IF(B7=0,"",B8/B7)</f>
        <v/>
      </c>
      <c r="C17" s="10">
        <f>THRESHOLDS!$B$5</f>
        <v/>
      </c>
      <c r="D17" s="10">
        <f>THRESHOLDS!$C$5</f>
        <v/>
      </c>
      <c r="E17">
        <f>IF(B7&lt;THRESHOLDS!$B$11,"Insufficient data",IF(B17&lt;C17,"INVESTIGATE",IF(B17&gt;=D17,"Healthy signal","Watch")))</f>
        <v/>
      </c>
    </row>
    <row r="18">
      <c r="A18" t="inlineStr">
        <is>
          <t>Profile → First listing</t>
        </is>
      </c>
      <c r="B18" s="10">
        <f>IF(B8=0,"",B9/B8)</f>
        <v/>
      </c>
      <c r="C18" s="10">
        <f>THRESHOLDS!$B$6</f>
        <v/>
      </c>
      <c r="D18" s="10">
        <f>THRESHOLDS!$C$6</f>
        <v/>
      </c>
      <c r="E18">
        <f>IF(B8&lt;THRESHOLDS!$B$11,"Insufficient data",IF(B18&lt;C18,"INVESTIGATE",IF(B18&gt;=D18,"Healthy signal","Watch")))</f>
        <v/>
      </c>
    </row>
    <row r="19">
      <c r="A19" t="inlineStr">
        <is>
          <t>First listing → Activated</t>
        </is>
      </c>
      <c r="B19" s="10">
        <f>IF(B9=0,"",B10/B9)</f>
        <v/>
      </c>
      <c r="C19" s="10">
        <f>THRESHOLDS!$B$7</f>
        <v/>
      </c>
      <c r="D19" s="10">
        <f>THRESHOLDS!$C$7</f>
        <v/>
      </c>
      <c r="E19">
        <f>IF(B9&lt;THRESHOLDS!$B$11,"Insufficient data",IF(B19&lt;C19,"INVESTIGATE",IF(B19&gt;=D19,"Healthy signal","Watch")))</f>
        <v/>
      </c>
    </row>
    <row r="20">
      <c r="A20" t="inlineStr">
        <is>
          <t>Activated → First transaction</t>
        </is>
      </c>
      <c r="B20" s="10">
        <f>IF(B10=0,"",B11/B10)</f>
        <v/>
      </c>
      <c r="E20">
        <f>IF(B10&lt;THRESHOLDS!$B$11,"Insufficient data","Measure — no threshold yet")</f>
        <v/>
      </c>
    </row>
    <row r="21">
      <c r="A21" t="inlineStr">
        <is>
          <t>First transaction → Repeat</t>
        </is>
      </c>
      <c r="B21" s="10">
        <f>IF(B11=0,"",B12/B11)</f>
        <v/>
      </c>
      <c r="E21">
        <f>IF(B11&lt;THRESHOLDS!$B$11,"Insufficient data","Measure — no threshold yet")</f>
        <v/>
      </c>
    </row>
    <row r="22">
      <c r="A22" t="inlineStr">
        <is>
          <t>Interested → Activated (overall)</t>
        </is>
      </c>
      <c r="B22" s="10">
        <f>IF(B5=0,"",B10/B5)</f>
        <v/>
      </c>
      <c r="C22" s="10">
        <f>THRESHOLDS!$B$10</f>
        <v/>
      </c>
      <c r="D22" s="10">
        <f>THRESHOLDS!$C$10</f>
        <v/>
      </c>
      <c r="E22">
        <f>IF(B5&lt;THRESHOLDS!$B$11,"Insufficient data",IF(B22&lt;C22,"INVESTIGATE",IF(B22&gt;=D22,"Healthy signal","Watch")))</f>
        <v/>
      </c>
    </row>
    <row r="24">
      <c r="A24" t="inlineStr">
        <is>
          <t>Median days registration → approved</t>
        </is>
      </c>
      <c r="B24">
        <f>IF(COUNT(TRACKER!AH2:AH501)=0,"",MEDIAN(TRACKER!AH2:AH501))</f>
        <v/>
      </c>
      <c r="E24">
        <f>IF(B24="","",IF(B24&gt;THRESHOLDS!$B$13,"INVESTIGATE","OK"))</f>
        <v/>
      </c>
    </row>
    <row r="25">
      <c r="A25" t="inlineStr">
        <is>
          <t>Median days interested → registered</t>
        </is>
      </c>
      <c r="B25">
        <f>IF(COUNT(TRACKER!AG2:AG501)=0,"",MEDIAN(TRACKER!AG2:AG501))</f>
        <v/>
      </c>
    </row>
    <row r="26">
      <c r="A26" t="inlineStr">
        <is>
          <t>Median days approved → activated</t>
        </is>
      </c>
      <c r="B26">
        <f>IF(COUNT(TRACKER!AI2:AI501)=0,"",MEDIAN(TRACKER!AI2:AI501))</f>
        <v/>
      </c>
    </row>
    <row r="27">
      <c r="A27" t="inlineStr">
        <is>
          <t>Professionals currently STUCK</t>
        </is>
      </c>
      <c r="B27">
        <f>COUNTIF(TRACKER!AE2:AE501,"STUCK*")</f>
        <v/>
      </c>
    </row>
    <row r="28">
      <c r="A28" t="inlineStr">
        <is>
          <t>GST status not verified (activated or later)</t>
        </is>
      </c>
      <c r="B28">
        <f>COUNTIFS(TRACKER!Z2:Z501,"YES",TRACKER!J2:J501,"&lt;&gt;Active (verified)")</f>
        <v/>
      </c>
    </row>
    <row r="29">
      <c r="A29" t="inlineStr">
        <is>
          <t>Consent to be named (share of activated)</t>
        </is>
      </c>
      <c r="B29" s="10">
        <f>IF(B10=0,"",COUNTIFS(TRACKER!Z2:Z501,"YES",TRACKER!T2:T501,"Y")/B10)</f>
        <v/>
      </c>
    </row>
    <row r="30">
      <c r="A30" t="inlineStr">
        <is>
          <t>Founding qualifiers under proposed FP-QUAL (cap 500)</t>
        </is>
      </c>
      <c r="B30">
        <f>COUNTIF(TRACKER!AJ2:AJ501,"Qualifies*")</f>
        <v/>
      </c>
    </row>
    <row r="33">
      <c r="A33" s="11" t="inlineStr">
        <is>
          <t>By category</t>
        </is>
      </c>
    </row>
    <row r="34">
      <c r="A34" s="4" t="inlineStr">
        <is>
          <t>Category</t>
        </is>
      </c>
      <c r="B34" s="4" t="inlineStr">
        <is>
          <t>Interested</t>
        </is>
      </c>
      <c r="C34" s="4" t="inlineStr">
        <is>
          <t>Registered</t>
        </is>
      </c>
      <c r="D34" s="4" t="inlineStr">
        <is>
          <t>Approved</t>
        </is>
      </c>
      <c r="E34" s="4" t="inlineStr">
        <is>
          <t>Activated</t>
        </is>
      </c>
      <c r="F34" s="4" t="inlineStr">
        <is>
          <t>Transacting</t>
        </is>
      </c>
      <c r="G34" s="4" t="inlineStr">
        <is>
          <t>Interested → Activated</t>
        </is>
      </c>
      <c r="H34" s="4" t="inlineStr">
        <is>
          <t>Share of all activated</t>
        </is>
      </c>
    </row>
    <row r="35">
      <c r="A35" t="inlineStr">
        <is>
          <t>Fashion &amp; Lifestyle</t>
        </is>
      </c>
      <c r="B35">
        <f>COUNTIFS(TRACKER!C2:C501,A35,TRACKER!G2:G501,"&lt;&gt;")</f>
        <v/>
      </c>
      <c r="C35">
        <f>COUNTIFS(TRACKER!C2:C501,A35,TRACKER!L2:L501,"&lt;&gt;")</f>
        <v/>
      </c>
      <c r="D35">
        <f>COUNTIFS(TRACKER!C2:C501,A35,TRACKER!N2:N501,"&lt;&gt;")</f>
        <v/>
      </c>
      <c r="E35">
        <f>COUNTIFS(TRACKER!C2:C501,A35,TRACKER!Z2:Z501,"YES")</f>
        <v/>
      </c>
      <c r="F35">
        <f>COUNTIFS(TRACKER!C2:C501,A35,TRACKER!W2:W501,"&lt;&gt;")</f>
        <v/>
      </c>
      <c r="G35" s="10">
        <f>IF(B35=0,"",E35/B35)</f>
        <v/>
      </c>
      <c r="H35" s="10">
        <f>IF($B$10=0,"",E35/$B$10)</f>
        <v/>
      </c>
    </row>
    <row r="36">
      <c r="A36" t="inlineStr">
        <is>
          <t>Space &amp; Design</t>
        </is>
      </c>
      <c r="B36">
        <f>COUNTIFS(TRACKER!C2:C501,A36,TRACKER!G2:G501,"&lt;&gt;")</f>
        <v/>
      </c>
      <c r="C36">
        <f>COUNTIFS(TRACKER!C2:C501,A36,TRACKER!L2:L501,"&lt;&gt;")</f>
        <v/>
      </c>
      <c r="D36">
        <f>COUNTIFS(TRACKER!C2:C501,A36,TRACKER!N2:N501,"&lt;&gt;")</f>
        <v/>
      </c>
      <c r="E36">
        <f>COUNTIFS(TRACKER!C2:C501,A36,TRACKER!Z2:Z501,"YES")</f>
        <v/>
      </c>
      <c r="F36">
        <f>COUNTIFS(TRACKER!C2:C501,A36,TRACKER!W2:W501,"&lt;&gt;")</f>
        <v/>
      </c>
      <c r="G36" s="10">
        <f>IF(B36=0,"",E36/B36)</f>
        <v/>
      </c>
      <c r="H36" s="10">
        <f>IF($B$10=0,"",E36/$B$10)</f>
        <v/>
      </c>
    </row>
    <row r="37">
      <c r="A37" t="inlineStr">
        <is>
          <t>Digital &amp; Visual Arts</t>
        </is>
      </c>
      <c r="B37">
        <f>COUNTIFS(TRACKER!C2:C501,A37,TRACKER!G2:G501,"&lt;&gt;")</f>
        <v/>
      </c>
      <c r="C37">
        <f>COUNTIFS(TRACKER!C2:C501,A37,TRACKER!L2:L501,"&lt;&gt;")</f>
        <v/>
      </c>
      <c r="D37">
        <f>COUNTIFS(TRACKER!C2:C501,A37,TRACKER!N2:N501,"&lt;&gt;")</f>
        <v/>
      </c>
      <c r="E37">
        <f>COUNTIFS(TRACKER!C2:C501,A37,TRACKER!Z2:Z501,"YES")</f>
        <v/>
      </c>
      <c r="F37">
        <f>COUNTIFS(TRACKER!C2:C501,A37,TRACKER!W2:W501,"&lt;&gt;")</f>
        <v/>
      </c>
      <c r="G37" s="10">
        <f>IF(B37=0,"",E37/B37)</f>
        <v/>
      </c>
      <c r="H37" s="10">
        <f>IF($B$10=0,"",E37/$B$10)</f>
        <v/>
      </c>
    </row>
    <row r="38">
      <c r="A38" t="inlineStr">
        <is>
          <t>Beauty &amp; Makeup</t>
        </is>
      </c>
      <c r="B38">
        <f>COUNTIFS(TRACKER!C2:C501,A38,TRACKER!G2:G501,"&lt;&gt;")</f>
        <v/>
      </c>
      <c r="C38">
        <f>COUNTIFS(TRACKER!C2:C501,A38,TRACKER!L2:L501,"&lt;&gt;")</f>
        <v/>
      </c>
      <c r="D38">
        <f>COUNTIFS(TRACKER!C2:C501,A38,TRACKER!N2:N501,"&lt;&gt;")</f>
        <v/>
      </c>
      <c r="E38">
        <f>COUNTIFS(TRACKER!C2:C501,A38,TRACKER!Z2:Z501,"YES")</f>
        <v/>
      </c>
      <c r="F38">
        <f>COUNTIFS(TRACKER!C2:C501,A38,TRACKER!W2:W501,"&lt;&gt;")</f>
        <v/>
      </c>
      <c r="G38" s="10">
        <f>IF(B38=0,"",E38/B38)</f>
        <v/>
      </c>
      <c r="H38" s="10">
        <f>IF($B$10=0,"",E38/$B$10)</f>
        <v/>
      </c>
    </row>
    <row r="39">
      <c r="A39" t="inlineStr">
        <is>
          <t>Lens &amp; Motion</t>
        </is>
      </c>
      <c r="B39">
        <f>COUNTIFS(TRACKER!C2:C501,A39,TRACKER!G2:G501,"&lt;&gt;")</f>
        <v/>
      </c>
      <c r="C39">
        <f>COUNTIFS(TRACKER!C2:C501,A39,TRACKER!L2:L501,"&lt;&gt;")</f>
        <v/>
      </c>
      <c r="D39">
        <f>COUNTIFS(TRACKER!C2:C501,A39,TRACKER!N2:N501,"&lt;&gt;")</f>
        <v/>
      </c>
      <c r="E39">
        <f>COUNTIFS(TRACKER!C2:C501,A39,TRACKER!Z2:Z501,"YES")</f>
        <v/>
      </c>
      <c r="F39">
        <f>COUNTIFS(TRACKER!C2:C501,A39,TRACKER!W2:W501,"&lt;&gt;")</f>
        <v/>
      </c>
      <c r="G39" s="10">
        <f>IF(B39=0,"",E39/B39)</f>
        <v/>
      </c>
      <c r="H39" s="10">
        <f>IF($B$10=0,"",E39/$B$10)</f>
        <v/>
      </c>
    </row>
    <row r="40">
      <c r="A40" t="inlineStr">
        <is>
          <t>Content &amp; Media</t>
        </is>
      </c>
      <c r="B40">
        <f>COUNTIFS(TRACKER!C2:C501,A40,TRACKER!G2:G501,"&lt;&gt;")</f>
        <v/>
      </c>
      <c r="C40">
        <f>COUNTIFS(TRACKER!C2:C501,A40,TRACKER!L2:L501,"&lt;&gt;")</f>
        <v/>
      </c>
      <c r="D40">
        <f>COUNTIFS(TRACKER!C2:C501,A40,TRACKER!N2:N501,"&lt;&gt;")</f>
        <v/>
      </c>
      <c r="E40">
        <f>COUNTIFS(TRACKER!C2:C501,A40,TRACKER!Z2:Z501,"YES")</f>
        <v/>
      </c>
      <c r="F40">
        <f>COUNTIFS(TRACKER!C2:C501,A40,TRACKER!W2:W501,"&lt;&gt;")</f>
        <v/>
      </c>
      <c r="G40" s="10">
        <f>IF(B40=0,"",E40/B40)</f>
        <v/>
      </c>
      <c r="H40" s="10">
        <f>IF($B$10=0,"",E40/$B$10)</f>
        <v/>
      </c>
    </row>
    <row r="42">
      <c r="A42" s="12" t="inlineStr">
        <is>
          <t>Guardrail: no category above 30% of activated (recommendation).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30" customWidth="1" min="4" max="4"/>
    <col width="22" customWidth="1" min="5" max="5"/>
    <col width="36" customWidth="1" min="6" max="6"/>
  </cols>
  <sheetData>
    <row r="1">
      <c r="A1" s="4" t="inlineStr">
        <is>
          <t>Code</t>
        </is>
      </c>
      <c r="B1" s="4" t="inlineStr">
        <is>
          <t>Block</t>
        </is>
      </c>
      <c r="C1" s="4" t="inlineStr">
        <is>
          <t>Item</t>
        </is>
      </c>
      <c r="D1" s="4" t="inlineStr">
        <is>
          <t>Evidence</t>
        </is>
      </c>
      <c r="E1" s="4" t="inlineStr">
        <is>
          <t>Owner</t>
        </is>
      </c>
      <c r="F1" s="4" t="inlineStr">
        <is>
          <t>Requirement status</t>
        </is>
      </c>
    </row>
    <row r="2">
      <c r="A2" s="13" t="inlineStr">
        <is>
          <t>ON-01</t>
        </is>
      </c>
      <c r="B2" s="13" t="inlineStr">
        <is>
          <t>Onboarding</t>
        </is>
      </c>
      <c r="C2" s="13" t="inlineStr">
        <is>
          <t>Interest recorded with date and source message ID</t>
        </is>
      </c>
      <c r="D2" s="13" t="inlineStr">
        <is>
          <t>Tracker entry</t>
        </is>
      </c>
      <c r="E2" s="13" t="inlineStr">
        <is>
          <t>Onboarding lead</t>
        </is>
      </c>
      <c r="F2" s="13" t="inlineStr">
        <is>
          <t>Required</t>
        </is>
      </c>
    </row>
    <row r="3">
      <c r="A3" s="13" t="inlineStr">
        <is>
          <t>ON-02</t>
        </is>
      </c>
      <c r="B3" s="13" t="inlineStr">
        <is>
          <t>Onboarding</t>
        </is>
      </c>
      <c r="C3" s="13" t="inlineStr">
        <is>
          <t>Information note sent (interim note until seller terms approved)</t>
        </is>
      </c>
      <c r="D3" s="13" t="inlineStr">
        <is>
          <t>Sent copy</t>
        </is>
      </c>
      <c r="E3" s="13" t="inlineStr">
        <is>
          <t>Onboarding lead</t>
        </is>
      </c>
      <c r="F3" s="13" t="inlineStr">
        <is>
          <t>Required</t>
        </is>
      </c>
    </row>
    <row r="4">
      <c r="A4" s="13" t="inlineStr">
        <is>
          <t>ON-03</t>
        </is>
      </c>
      <c r="B4" s="13" t="inlineStr">
        <is>
          <t>Onboarding</t>
        </is>
      </c>
      <c r="C4" s="13" t="inlineStr">
        <is>
          <t>Readiness check R1–R7 completed</t>
        </is>
      </c>
      <c r="D4" s="13" t="inlineStr">
        <is>
          <t>Notes in tracker</t>
        </is>
      </c>
      <c r="E4" s="13" t="inlineStr">
        <is>
          <t>Onboarding lead</t>
        </is>
      </c>
      <c r="F4" s="13" t="inlineStr">
        <is>
          <t>Required</t>
        </is>
      </c>
    </row>
    <row r="5">
      <c r="A5" s="13" t="inlineStr">
        <is>
          <t>ON-04</t>
        </is>
      </c>
      <c r="B5" s="13" t="inlineStr">
        <is>
          <t>Onboarding</t>
        </is>
      </c>
      <c r="C5" s="13" t="inlineStr">
        <is>
          <t>Registration link sent (web path recommended until SUB-06 aligned)</t>
        </is>
      </c>
      <c r="D5" s="13" t="inlineStr">
        <is>
          <t>Message</t>
        </is>
      </c>
      <c r="E5" s="13" t="inlineStr">
        <is>
          <t>Onboarding lead</t>
        </is>
      </c>
      <c r="F5" s="13" t="inlineStr">
        <is>
          <t>CONFIRM path</t>
        </is>
      </c>
    </row>
    <row r="6">
      <c r="A6" s="13" t="inlineStr">
        <is>
          <t>RG-05</t>
        </is>
      </c>
      <c r="B6" s="13" t="inlineStr">
        <is>
          <t>Registration</t>
        </is>
      </c>
      <c r="C6" s="13" t="inlineStr">
        <is>
          <t>Registration completed, ₹1 + GST paid online</t>
        </is>
      </c>
      <c r="D6" s="13" t="inlineStr">
        <is>
          <t>Admin record / payment confirmation</t>
        </is>
      </c>
      <c r="E6" s="13" t="inlineStr">
        <is>
          <t>Onboarding lead</t>
        </is>
      </c>
      <c r="F6" s="13" t="inlineStr">
        <is>
          <t>Decided (SUB-01); EV-01 a</t>
        </is>
      </c>
    </row>
    <row r="7">
      <c r="A7" s="13" t="inlineStr">
        <is>
          <t>KY-06</t>
        </is>
      </c>
      <c r="B7" s="13" t="inlineStr">
        <is>
          <t>KYC</t>
        </is>
      </c>
      <c r="C7" s="13" t="inlineStr">
        <is>
          <t>Legal and business names match</t>
        </is>
      </c>
      <c r="D7" s="13" t="inlineStr">
        <is>
          <t>Admin</t>
        </is>
      </c>
      <c r="E7" s="13" t="inlineStr">
        <is>
          <t>Onboarding lead</t>
        </is>
      </c>
      <c r="F7" s="13" t="inlineStr">
        <is>
          <t>CONFIRM (Q-KYC)</t>
        </is>
      </c>
    </row>
    <row r="8">
      <c r="A8" s="13" t="inlineStr">
        <is>
          <t>KY-07</t>
        </is>
      </c>
      <c r="B8" s="13" t="inlineStr">
        <is>
          <t>KYC</t>
        </is>
      </c>
      <c r="C8" s="13" t="inlineStr">
        <is>
          <t>PAN provided/verified</t>
        </is>
      </c>
      <c r="D8" s="13" t="inlineStr">
        <is>
          <t>Admin</t>
        </is>
      </c>
      <c r="E8" s="13" t="inlineStr">
        <is>
          <t>Onboarding lead</t>
        </is>
      </c>
      <c r="F8" s="13" t="inlineStr">
        <is>
          <t>CONFIRM (CA-KYC)</t>
        </is>
      </c>
    </row>
    <row r="9">
      <c r="A9" s="13" t="inlineStr">
        <is>
          <t>KY-08</t>
        </is>
      </c>
      <c r="B9" s="13" t="inlineStr">
        <is>
          <t>KYC</t>
        </is>
      </c>
      <c r="C9" s="13" t="inlineStr">
        <is>
          <t>GSTIN status recorded; verified/active needed for orders in current code</t>
        </is>
      </c>
      <c r="D9" s="13" t="inlineStr">
        <is>
          <t>Admin / tracker column J</t>
        </is>
      </c>
      <c r="E9" s="13" t="inlineStr">
        <is>
          <t>Onboarding lead</t>
        </is>
      </c>
      <c r="F9" s="13" t="inlineStr">
        <is>
          <t>Code (EV-01 c); policy OPEN (CA-KYC)</t>
        </is>
      </c>
    </row>
    <row r="10">
      <c r="A10" s="13" t="inlineStr">
        <is>
          <t>KY-09</t>
        </is>
      </c>
      <c r="B10" s="13" t="inlineStr">
        <is>
          <t>KYC</t>
        </is>
      </c>
      <c r="C10" s="13" t="inlineStr">
        <is>
          <t>Bank account for payouts (name match)</t>
        </is>
      </c>
      <c r="D10" s="13" t="inlineStr">
        <is>
          <t>Admin</t>
        </is>
      </c>
      <c r="E10" s="13" t="inlineStr">
        <is>
          <t>Onboarding lead</t>
        </is>
      </c>
      <c r="F10" s="13" t="inlineStr">
        <is>
          <t>CONFIRM</t>
        </is>
      </c>
    </row>
    <row r="11">
      <c r="A11" s="13" t="inlineStr">
        <is>
          <t>KY-10</t>
        </is>
      </c>
      <c r="B11" s="13" t="inlineStr">
        <is>
          <t>KYC</t>
        </is>
      </c>
      <c r="C11" s="13" t="inlineStr">
        <is>
          <t>Address / city</t>
        </is>
      </c>
      <c r="D11" s="13" t="inlineStr">
        <is>
          <t>Admin</t>
        </is>
      </c>
      <c r="E11" s="13" t="inlineStr">
        <is>
          <t>Onboarding lead</t>
        </is>
      </c>
      <c r="F11" s="13" t="inlineStr">
        <is>
          <t>CONFIRM</t>
        </is>
      </c>
    </row>
    <row r="12">
      <c r="A12" s="13" t="inlineStr">
        <is>
          <t>KY-11</t>
        </is>
      </c>
      <c r="B12" s="13" t="inlineStr">
        <is>
          <t>KYC</t>
        </is>
      </c>
      <c r="C12" s="13" t="inlineStr">
        <is>
          <t>Category selected correctly</t>
        </is>
      </c>
      <c r="D12" s="13" t="inlineStr">
        <is>
          <t>Admin</t>
        </is>
      </c>
      <c r="E12" s="13" t="inlineStr">
        <is>
          <t>Onboarding lead</t>
        </is>
      </c>
      <c r="F12" s="13" t="inlineStr">
        <is>
          <t>Required (category drives features)</t>
        </is>
      </c>
    </row>
    <row r="13">
      <c r="A13" s="13" t="inlineStr">
        <is>
          <t>AP-12</t>
        </is>
      </c>
      <c r="B13" s="13" t="inlineStr">
        <is>
          <t>Approval</t>
        </is>
      </c>
      <c r="C13" s="13" t="inlineStr">
        <is>
          <t>Store approved (required for product creation)</t>
        </is>
      </c>
      <c r="D13" s="13" t="inlineStr">
        <is>
          <t>Admin</t>
        </is>
      </c>
      <c r="E13" s="13" t="inlineStr">
        <is>
          <t>Admin</t>
        </is>
      </c>
      <c r="F13" s="13" t="inlineStr">
        <is>
          <t>Code (EV-01 b)</t>
        </is>
      </c>
    </row>
    <row r="14">
      <c r="A14" s="13" t="inlineStr">
        <is>
          <t>PR-13</t>
        </is>
      </c>
      <c r="B14" s="13" t="inlineStr">
        <is>
          <t>Profile</t>
        </is>
      </c>
      <c r="C14" s="13" t="inlineStr">
        <is>
          <t>Name/studio name as used publicly</t>
        </is>
      </c>
      <c r="D14" s="13" t="inlineStr">
        <is>
          <t>Profile</t>
        </is>
      </c>
      <c r="E14" s="13" t="inlineStr">
        <is>
          <t>Onboarding lead</t>
        </is>
      </c>
      <c r="F14" s="13" t="inlineStr">
        <is>
          <t>Required</t>
        </is>
      </c>
    </row>
    <row r="15">
      <c r="A15" s="13" t="inlineStr">
        <is>
          <t>PR-14</t>
        </is>
      </c>
      <c r="B15" s="13" t="inlineStr">
        <is>
          <t>Profile</t>
        </is>
      </c>
      <c r="C15" s="13" t="inlineStr">
        <is>
          <t>City and service area</t>
        </is>
      </c>
      <c r="D15" s="13" t="inlineStr">
        <is>
          <t>Profile</t>
        </is>
      </c>
      <c r="E15" s="13" t="inlineStr">
        <is>
          <t>Onboarding lead</t>
        </is>
      </c>
      <c r="F15" s="13" t="inlineStr">
        <is>
          <t>Required</t>
        </is>
      </c>
    </row>
    <row r="16">
      <c r="A16" s="13" t="inlineStr">
        <is>
          <t>PR-15</t>
        </is>
      </c>
      <c r="B16" s="13" t="inlineStr">
        <is>
          <t>Profile</t>
        </is>
      </c>
      <c r="C16" s="13" t="inlineStr">
        <is>
          <t>Profile photo or logo (their own)</t>
        </is>
      </c>
      <c r="D16" s="13" t="inlineStr">
        <is>
          <t>Profile</t>
        </is>
      </c>
      <c r="E16" s="13" t="inlineStr">
        <is>
          <t>Onboarding lead</t>
        </is>
      </c>
      <c r="F16" s="13" t="inlineStr">
        <is>
          <t>Required</t>
        </is>
      </c>
    </row>
    <row r="17">
      <c r="A17" s="13" t="inlineStr">
        <is>
          <t>PR-16</t>
        </is>
      </c>
      <c r="B17" s="13" t="inlineStr">
        <is>
          <t>Profile</t>
        </is>
      </c>
      <c r="C17" s="13" t="inlineStr">
        <is>
          <t>Professional description in their words (approved by them)</t>
        </is>
      </c>
      <c r="D17" s="13" t="inlineStr">
        <is>
          <t>Profile</t>
        </is>
      </c>
      <c r="E17" s="13" t="inlineStr">
        <is>
          <t>Onboarding lead</t>
        </is>
      </c>
      <c r="F17" s="13" t="inlineStr">
        <is>
          <t>Required</t>
        </is>
      </c>
    </row>
    <row r="18">
      <c r="A18" s="13" t="inlineStr">
        <is>
          <t>PR-17</t>
        </is>
      </c>
      <c r="B18" s="13" t="inlineStr">
        <is>
          <t>Profile</t>
        </is>
      </c>
      <c r="C18" s="13" t="inlineStr">
        <is>
          <t>What they offer (products / services / designs / commissions)</t>
        </is>
      </c>
      <c r="D18" s="13" t="inlineStr">
        <is>
          <t>Profile</t>
        </is>
      </c>
      <c r="E18" s="13" t="inlineStr">
        <is>
          <t>Onboarding lead</t>
        </is>
      </c>
      <c r="F18" s="13" t="inlineStr">
        <is>
          <t>Required</t>
        </is>
      </c>
    </row>
    <row r="19">
      <c r="A19" s="13" t="inlineStr">
        <is>
          <t>PR-18</t>
        </is>
      </c>
      <c r="B19" s="13" t="inlineStr">
        <is>
          <t>Profile</t>
        </is>
      </c>
      <c r="C19" s="13" t="inlineStr">
        <is>
          <t>Relevant policies acknowledged — approved text only</t>
        </is>
      </c>
      <c r="D19" s="13" t="inlineStr">
        <is>
          <t>Profile</t>
        </is>
      </c>
      <c r="E19" s="13" t="inlineStr">
        <is>
          <t>Onboarding lead</t>
        </is>
      </c>
      <c r="F19" s="13" t="inlineStr">
        <is>
          <t>Pending Seller Policy approval</t>
        </is>
      </c>
    </row>
    <row r="20">
      <c r="A20" s="13" t="inlineStr">
        <is>
          <t>PR-19</t>
        </is>
      </c>
      <c r="B20" s="13" t="inlineStr">
        <is>
          <t>Profile</t>
        </is>
      </c>
      <c r="C20" s="13" t="inlineStr">
        <is>
          <t>Consent-to-be-named recorded (Y/N)</t>
        </is>
      </c>
      <c r="D20" s="13" t="inlineStr">
        <is>
          <t>Tracker column T</t>
        </is>
      </c>
      <c r="E20" s="13" t="inlineStr">
        <is>
          <t>Onboarding lead</t>
        </is>
      </c>
      <c r="F20" s="13" t="inlineStr">
        <is>
          <t>Required (NAME-CONSENT)</t>
        </is>
      </c>
    </row>
    <row r="21">
      <c r="A21" s="13" t="inlineStr">
        <is>
          <t>PF-20</t>
        </is>
      </c>
      <c r="B21" s="13" t="inlineStr">
        <is>
          <t>Portfolio</t>
        </is>
      </c>
      <c r="C21" s="13" t="inlineStr">
        <is>
          <t>≥ 6 images of their own work (recommendation)</t>
        </is>
      </c>
      <c r="D21" s="13" t="inlineStr">
        <is>
          <t>Profile</t>
        </is>
      </c>
      <c r="E21" s="13" t="inlineStr">
        <is>
          <t>Onboarding lead</t>
        </is>
      </c>
      <c r="F21" s="13" t="inlineStr">
        <is>
          <t>Recommendation</t>
        </is>
      </c>
    </row>
    <row r="22">
      <c r="A22" s="13" t="inlineStr">
        <is>
          <t>PF-21</t>
        </is>
      </c>
      <c r="B22" s="13" t="inlineStr">
        <is>
          <t>Portfolio</t>
        </is>
      </c>
      <c r="C22" s="13" t="inlineStr">
        <is>
          <t>Rights to images; credits for collaborators</t>
        </is>
      </c>
      <c r="D22" s="13" t="inlineStr">
        <is>
          <t>Professional confirms</t>
        </is>
      </c>
      <c r="E22" s="13" t="inlineStr">
        <is>
          <t>Professional</t>
        </is>
      </c>
      <c r="F22" s="13" t="inlineStr">
        <is>
          <t>Required</t>
        </is>
      </c>
    </row>
    <row r="23">
      <c r="A23" s="13" t="inlineStr">
        <is>
          <t>PF-22</t>
        </is>
      </c>
      <c r="B23" s="13" t="inlineStr">
        <is>
          <t>Portfolio</t>
        </is>
      </c>
      <c r="C23" s="13" t="inlineStr">
        <is>
          <t>No AI/misleading images presented as real work</t>
        </is>
      </c>
      <c r="D23" s="13" t="inlineStr">
        <is>
          <t>Review</t>
        </is>
      </c>
      <c r="E23" s="13" t="inlineStr">
        <is>
          <t>Onboarding lead</t>
        </is>
      </c>
      <c r="F23" s="13" t="inlineStr">
        <is>
          <t>E3 principle</t>
        </is>
      </c>
    </row>
    <row r="24">
      <c r="A24" s="13" t="inlineStr">
        <is>
          <t>PF-23</t>
        </is>
      </c>
      <c r="B24" s="13" t="inlineStr">
        <is>
          <t>Portfolio</t>
        </is>
      </c>
      <c r="C24" s="13" t="inlineStr">
        <is>
          <t>Captions describe the work</t>
        </is>
      </c>
      <c r="D24" s="13" t="inlineStr">
        <is>
          <t>Profile</t>
        </is>
      </c>
      <c r="E24" s="13" t="inlineStr">
        <is>
          <t>Onboarding lead</t>
        </is>
      </c>
      <c r="F24" s="13" t="inlineStr">
        <is>
          <t>Recommendation</t>
        </is>
      </c>
    </row>
    <row r="25">
      <c r="A25" s="13" t="inlineStr">
        <is>
          <t>LI-24</t>
        </is>
      </c>
      <c r="B25" s="13" t="inlineStr">
        <is>
          <t>First listing</t>
        </is>
      </c>
      <c r="C25" s="13" t="inlineStr">
        <is>
          <t>Listing type allowed for category (products: F&amp;L, S&amp;D, DVA only)</t>
        </is>
      </c>
      <c r="D25" s="13" t="inlineStr">
        <is>
          <t>Listing</t>
        </is>
      </c>
      <c r="E25" s="13" t="inlineStr">
        <is>
          <t>Onboarding lead</t>
        </is>
      </c>
      <c r="F25" s="13" t="inlineStr">
        <is>
          <t>Code (EV-01 b)</t>
        </is>
      </c>
    </row>
    <row r="26">
      <c r="A26" s="13" t="inlineStr">
        <is>
          <t>LI-25</t>
        </is>
      </c>
      <c r="B26" s="13" t="inlineStr">
        <is>
          <t>First listing</t>
        </is>
      </c>
      <c r="C26" s="13" t="inlineStr">
        <is>
          <t>Clear title, ≥ 3 images, price</t>
        </is>
      </c>
      <c r="D26" s="13" t="inlineStr">
        <is>
          <t>Listing</t>
        </is>
      </c>
      <c r="E26" s="13" t="inlineStr">
        <is>
          <t>Onboarding lead</t>
        </is>
      </c>
      <c r="F26" s="13" t="inlineStr">
        <is>
          <t>Required</t>
        </is>
      </c>
    </row>
    <row r="27">
      <c r="A27" s="13" t="inlineStr">
        <is>
          <t>LI-26</t>
        </is>
      </c>
      <c r="B27" s="13" t="inlineStr">
        <is>
          <t>First listing</t>
        </is>
      </c>
      <c r="C27" s="13" t="inlineStr">
        <is>
          <t>Products: size/materials; MTO vs ready stock; dispatch readiness (48h; consequence OPEN)</t>
        </is>
      </c>
      <c r="D27" s="13" t="inlineStr">
        <is>
          <t>Listing</t>
        </is>
      </c>
      <c r="E27" s="13" t="inlineStr">
        <is>
          <t>Onboarding lead</t>
        </is>
      </c>
      <c r="F27" s="13" t="inlineStr">
        <is>
          <t>Q-DISPATCH open</t>
        </is>
      </c>
    </row>
    <row r="28">
      <c r="A28" s="13" t="inlineStr">
        <is>
          <t>LI-27</t>
        </is>
      </c>
      <c r="B28" s="13" t="inlineStr">
        <is>
          <t>First listing</t>
        </is>
      </c>
      <c r="C28" s="13" t="inlineStr">
        <is>
          <t>Services: inclusions, duration, location, lead time; booking features per launch config/plan</t>
        </is>
      </c>
      <c r="D28" s="13" t="inlineStr">
        <is>
          <t>Listing</t>
        </is>
      </c>
      <c r="E28" s="13" t="inlineStr">
        <is>
          <t>Onboarding lead</t>
        </is>
      </c>
      <c r="F28" s="13" t="inlineStr">
        <is>
          <t>CONFIRM (EV-09; 23 C3)</t>
        </is>
      </c>
    </row>
    <row r="29">
      <c r="A29" s="13" t="inlineStr">
        <is>
          <t>LI-28</t>
        </is>
      </c>
      <c r="B29" s="13" t="inlineStr">
        <is>
          <t>First listing</t>
        </is>
      </c>
      <c r="C29" s="13" t="inlineStr">
        <is>
          <t>Visible from a customer view</t>
        </is>
      </c>
      <c r="D29" s="13" t="inlineStr">
        <is>
          <t>Screenshot</t>
        </is>
      </c>
      <c r="E29" s="13" t="inlineStr">
        <is>
          <t>Onboarding lead</t>
        </is>
      </c>
      <c r="F29" s="13" t="inlineStr">
        <is>
          <t>Required</t>
        </is>
      </c>
    </row>
    <row r="30">
      <c r="A30" s="13" t="inlineStr">
        <is>
          <t>PO-29</t>
        </is>
      </c>
      <c r="B30" s="13" t="inlineStr">
        <is>
          <t>Payout</t>
        </is>
      </c>
      <c r="C30" s="13" t="inlineStr">
        <is>
          <t>Bank details verified</t>
        </is>
      </c>
      <c r="D30" s="13" t="inlineStr">
        <is>
          <t>Admin</t>
        </is>
      </c>
      <c r="E30" s="13" t="inlineStr">
        <is>
          <t>Onboarding lead</t>
        </is>
      </c>
      <c r="F30" s="13" t="inlineStr">
        <is>
          <t>CONFIRM</t>
        </is>
      </c>
    </row>
    <row r="31">
      <c r="A31" s="13" t="inlineStr">
        <is>
          <t>PO-30</t>
        </is>
      </c>
      <c r="B31" s="13" t="inlineStr">
        <is>
          <t>Payout</t>
        </is>
      </c>
      <c r="C31" s="13" t="inlineStr">
        <is>
          <t>U-1 resolved before describing withdrawals</t>
        </is>
      </c>
      <c r="D31" s="13" t="inlineStr">
        <is>
          <t>Founder decision</t>
        </is>
      </c>
      <c r="E31" s="13" t="inlineStr">
        <is>
          <t>Founder</t>
        </is>
      </c>
      <c r="F31" s="13" t="inlineStr">
        <is>
          <t>OPEN (U-1)</t>
        </is>
      </c>
    </row>
    <row r="32">
      <c r="A32" s="13" t="inlineStr">
        <is>
          <t>AC-31</t>
        </is>
      </c>
      <c r="B32" s="13" t="inlineStr">
        <is>
          <t>Activation</t>
        </is>
      </c>
      <c r="C32" s="13" t="inlineStr">
        <is>
          <t>Approved + profile + first listing + payout details + good standing</t>
        </is>
      </c>
      <c r="D32" s="13" t="inlineStr">
        <is>
          <t>Tracker formula</t>
        </is>
      </c>
      <c r="E32" s="13" t="inlineStr">
        <is>
          <t>Founder sign-off weekly</t>
        </is>
      </c>
      <c r="F32" s="13" t="inlineStr">
        <is>
          <t>Definition</t>
        </is>
      </c>
    </row>
    <row r="33">
      <c r="A33" s="13" t="inlineStr">
        <is>
          <t>AC-32</t>
        </is>
      </c>
      <c r="B33" s="13" t="inlineStr">
        <is>
          <t>Activation</t>
        </is>
      </c>
      <c r="C33" s="13" t="inlineStr">
        <is>
          <t>Founding qualification checked (once FP-QUAL decided); founding welcome</t>
        </is>
      </c>
      <c r="D33" s="13" t="inlineStr">
        <is>
          <t>Message</t>
        </is>
      </c>
      <c r="E33" s="13" t="inlineStr">
        <is>
          <t>Founder</t>
        </is>
      </c>
      <c r="F33" s="13" t="inlineStr">
        <is>
          <t>PROPOSED</t>
        </is>
      </c>
    </row>
    <row r="34">
      <c r="A34" s="13" t="inlineStr">
        <is>
          <t>AC-33</t>
        </is>
      </c>
      <c r="B34" s="13" t="inlineStr">
        <is>
          <t>Activation</t>
        </is>
      </c>
      <c r="C34" s="13" t="inlineStr">
        <is>
          <t>7-day post-activation check-in and survey</t>
        </is>
      </c>
      <c r="D34" s="13" t="inlineStr">
        <is>
          <t>Notes</t>
        </is>
      </c>
      <c r="E34" s="13" t="inlineStr">
        <is>
          <t>Onboarding lead</t>
        </is>
      </c>
      <c r="F34" s="13" t="inlineStr">
        <is>
          <t>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  <col width="14" customWidth="1" min="4" max="4"/>
    <col width="40" customWidth="1" min="5" max="5"/>
  </cols>
  <sheetData>
    <row r="1">
      <c r="A1" s="3" t="inlineStr">
        <is>
          <t>Onboarding checklist — one professional (print or copy this sheet)</t>
        </is>
      </c>
    </row>
    <row r="3">
      <c r="A3" t="inlineStr">
        <is>
          <t>Prospect / Seller ID</t>
        </is>
      </c>
      <c r="B3" s="6" t="n"/>
    </row>
    <row r="4">
      <c r="A4" t="inlineStr">
        <is>
          <t>Name</t>
        </is>
      </c>
      <c r="B4" s="6" t="n"/>
    </row>
    <row r="5">
      <c r="A5" t="inlineStr">
        <is>
          <t>Category / City</t>
        </is>
      </c>
      <c r="B5" s="6" t="n"/>
    </row>
    <row r="6">
      <c r="A6" t="inlineStr">
        <is>
          <t>Onboarding owner</t>
        </is>
      </c>
      <c r="B6" s="6" t="n"/>
    </row>
    <row r="8">
      <c r="A8" s="4" t="inlineStr">
        <is>
          <t>Code</t>
        </is>
      </c>
      <c r="B8" s="4" t="inlineStr">
        <is>
          <t>Item</t>
        </is>
      </c>
      <c r="C8" s="4" t="inlineStr">
        <is>
          <t>Done (Y/N)</t>
        </is>
      </c>
      <c r="D8" s="4" t="inlineStr">
        <is>
          <t>Date</t>
        </is>
      </c>
      <c r="E8" s="4" t="inlineStr">
        <is>
          <t>Note</t>
        </is>
      </c>
    </row>
    <row r="9">
      <c r="A9" t="inlineStr">
        <is>
          <t>ON-01</t>
        </is>
      </c>
      <c r="B9" t="inlineStr">
        <is>
          <t>Interest recorded with date and source message ID</t>
        </is>
      </c>
      <c r="C9" t="inlineStr"/>
      <c r="D9" t="inlineStr"/>
      <c r="E9" t="inlineStr"/>
    </row>
    <row r="10">
      <c r="A10" t="inlineStr">
        <is>
          <t>ON-02</t>
        </is>
      </c>
      <c r="B10" t="inlineStr">
        <is>
          <t>Information note sent (interim note until seller terms approved)</t>
        </is>
      </c>
      <c r="C10" t="inlineStr"/>
      <c r="D10" t="inlineStr"/>
      <c r="E10" t="inlineStr"/>
    </row>
    <row r="11">
      <c r="A11" t="inlineStr">
        <is>
          <t>ON-03</t>
        </is>
      </c>
      <c r="B11" t="inlineStr">
        <is>
          <t>Readiness check R1–R7 completed</t>
        </is>
      </c>
      <c r="C11" t="inlineStr"/>
      <c r="D11" t="inlineStr"/>
      <c r="E11" t="inlineStr"/>
    </row>
    <row r="12">
      <c r="A12" t="inlineStr">
        <is>
          <t>ON-04</t>
        </is>
      </c>
      <c r="B12" t="inlineStr">
        <is>
          <t>Registration link sent (web path recommended until SUB-06 aligned)</t>
        </is>
      </c>
      <c r="C12" t="inlineStr"/>
      <c r="D12" t="inlineStr"/>
      <c r="E12" t="inlineStr"/>
    </row>
    <row r="13">
      <c r="A13" t="inlineStr">
        <is>
          <t>RG-05</t>
        </is>
      </c>
      <c r="B13" t="inlineStr">
        <is>
          <t>Registration completed, ₹1 + GST paid online</t>
        </is>
      </c>
      <c r="C13" t="inlineStr"/>
      <c r="D13" t="inlineStr"/>
      <c r="E13" t="inlineStr"/>
    </row>
    <row r="14">
      <c r="A14" t="inlineStr">
        <is>
          <t>KY-06</t>
        </is>
      </c>
      <c r="B14" t="inlineStr">
        <is>
          <t>Legal and business names match</t>
        </is>
      </c>
      <c r="C14" t="inlineStr"/>
      <c r="D14" t="inlineStr"/>
      <c r="E14" t="inlineStr"/>
    </row>
    <row r="15">
      <c r="A15" t="inlineStr">
        <is>
          <t>KY-07</t>
        </is>
      </c>
      <c r="B15" t="inlineStr">
        <is>
          <t>PAN provided/verified</t>
        </is>
      </c>
      <c r="C15" t="inlineStr"/>
      <c r="D15" t="inlineStr"/>
      <c r="E15" t="inlineStr"/>
    </row>
    <row r="16">
      <c r="A16" t="inlineStr">
        <is>
          <t>KY-08</t>
        </is>
      </c>
      <c r="B16" t="inlineStr">
        <is>
          <t>GSTIN status recorded; verified/active needed for orders in current code</t>
        </is>
      </c>
      <c r="C16" t="inlineStr"/>
      <c r="D16" t="inlineStr"/>
      <c r="E16" t="inlineStr"/>
    </row>
    <row r="17">
      <c r="A17" t="inlineStr">
        <is>
          <t>KY-09</t>
        </is>
      </c>
      <c r="B17" t="inlineStr">
        <is>
          <t>Bank account for payouts (name match)</t>
        </is>
      </c>
      <c r="C17" t="inlineStr"/>
      <c r="D17" t="inlineStr"/>
      <c r="E17" t="inlineStr"/>
    </row>
    <row r="18">
      <c r="A18" t="inlineStr">
        <is>
          <t>KY-10</t>
        </is>
      </c>
      <c r="B18" t="inlineStr">
        <is>
          <t>Address / city</t>
        </is>
      </c>
      <c r="C18" t="inlineStr"/>
      <c r="D18" t="inlineStr"/>
      <c r="E18" t="inlineStr"/>
    </row>
    <row r="19">
      <c r="A19" t="inlineStr">
        <is>
          <t>KY-11</t>
        </is>
      </c>
      <c r="B19" t="inlineStr">
        <is>
          <t>Category selected correctly</t>
        </is>
      </c>
      <c r="C19" t="inlineStr"/>
      <c r="D19" t="inlineStr"/>
      <c r="E19" t="inlineStr"/>
    </row>
    <row r="20">
      <c r="A20" t="inlineStr">
        <is>
          <t>AP-12</t>
        </is>
      </c>
      <c r="B20" t="inlineStr">
        <is>
          <t>Store approved (required for product creation)</t>
        </is>
      </c>
      <c r="C20" t="inlineStr"/>
      <c r="D20" t="inlineStr"/>
      <c r="E20" t="inlineStr"/>
    </row>
    <row r="21">
      <c r="A21" t="inlineStr">
        <is>
          <t>PR-13</t>
        </is>
      </c>
      <c r="B21" t="inlineStr">
        <is>
          <t>Name/studio name as used publicly</t>
        </is>
      </c>
      <c r="C21" t="inlineStr"/>
      <c r="D21" t="inlineStr"/>
      <c r="E21" t="inlineStr"/>
    </row>
    <row r="22">
      <c r="A22" t="inlineStr">
        <is>
          <t>PR-14</t>
        </is>
      </c>
      <c r="B22" t="inlineStr">
        <is>
          <t>City and service area</t>
        </is>
      </c>
      <c r="C22" t="inlineStr"/>
      <c r="D22" t="inlineStr"/>
      <c r="E22" t="inlineStr"/>
    </row>
    <row r="23">
      <c r="A23" t="inlineStr">
        <is>
          <t>PR-15</t>
        </is>
      </c>
      <c r="B23" t="inlineStr">
        <is>
          <t>Profile photo or logo (their own)</t>
        </is>
      </c>
      <c r="C23" t="inlineStr"/>
      <c r="D23" t="inlineStr"/>
      <c r="E23" t="inlineStr"/>
    </row>
    <row r="24">
      <c r="A24" t="inlineStr">
        <is>
          <t>PR-16</t>
        </is>
      </c>
      <c r="B24" t="inlineStr">
        <is>
          <t>Professional description in their words (approved by them)</t>
        </is>
      </c>
      <c r="C24" t="inlineStr"/>
      <c r="D24" t="inlineStr"/>
      <c r="E24" t="inlineStr"/>
    </row>
    <row r="25">
      <c r="A25" t="inlineStr">
        <is>
          <t>PR-17</t>
        </is>
      </c>
      <c r="B25" t="inlineStr">
        <is>
          <t>What they offer (products / services / designs / commissions)</t>
        </is>
      </c>
      <c r="C25" t="inlineStr"/>
      <c r="D25" t="inlineStr"/>
      <c r="E25" t="inlineStr"/>
    </row>
    <row r="26">
      <c r="A26" t="inlineStr">
        <is>
          <t>PR-18</t>
        </is>
      </c>
      <c r="B26" t="inlineStr">
        <is>
          <t>Relevant policies acknowledged — approved text only</t>
        </is>
      </c>
      <c r="C26" t="inlineStr"/>
      <c r="D26" t="inlineStr"/>
      <c r="E26" t="inlineStr"/>
    </row>
    <row r="27">
      <c r="A27" t="inlineStr">
        <is>
          <t>PR-19</t>
        </is>
      </c>
      <c r="B27" t="inlineStr">
        <is>
          <t>Consent-to-be-named recorded (Y/N)</t>
        </is>
      </c>
      <c r="C27" t="inlineStr"/>
      <c r="D27" t="inlineStr"/>
      <c r="E27" t="inlineStr"/>
    </row>
    <row r="28">
      <c r="A28" t="inlineStr">
        <is>
          <t>PF-20</t>
        </is>
      </c>
      <c r="B28" t="inlineStr">
        <is>
          <t>≥ 6 images of their own work (recommendation)</t>
        </is>
      </c>
      <c r="C28" t="inlineStr"/>
      <c r="D28" t="inlineStr"/>
      <c r="E28" t="inlineStr"/>
    </row>
    <row r="29">
      <c r="A29" t="inlineStr">
        <is>
          <t>PF-21</t>
        </is>
      </c>
      <c r="B29" t="inlineStr">
        <is>
          <t>Rights to images; credits for collaborators</t>
        </is>
      </c>
      <c r="C29" t="inlineStr"/>
      <c r="D29" t="inlineStr"/>
      <c r="E29" t="inlineStr"/>
    </row>
    <row r="30">
      <c r="A30" t="inlineStr">
        <is>
          <t>PF-22</t>
        </is>
      </c>
      <c r="B30" t="inlineStr">
        <is>
          <t>No AI/misleading images presented as real work</t>
        </is>
      </c>
      <c r="C30" t="inlineStr"/>
      <c r="D30" t="inlineStr"/>
      <c r="E30" t="inlineStr"/>
    </row>
    <row r="31">
      <c r="A31" t="inlineStr">
        <is>
          <t>PF-23</t>
        </is>
      </c>
      <c r="B31" t="inlineStr">
        <is>
          <t>Captions describe the work</t>
        </is>
      </c>
      <c r="C31" t="inlineStr"/>
      <c r="D31" t="inlineStr"/>
      <c r="E31" t="inlineStr"/>
    </row>
    <row r="32">
      <c r="A32" t="inlineStr">
        <is>
          <t>LI-24</t>
        </is>
      </c>
      <c r="B32" t="inlineStr">
        <is>
          <t>Listing type allowed for category (products: F&amp;L, S&amp;D, DVA only)</t>
        </is>
      </c>
      <c r="C32" t="inlineStr"/>
      <c r="D32" t="inlineStr"/>
      <c r="E32" t="inlineStr"/>
    </row>
    <row r="33">
      <c r="A33" t="inlineStr">
        <is>
          <t>LI-25</t>
        </is>
      </c>
      <c r="B33" t="inlineStr">
        <is>
          <t>Clear title, ≥ 3 images, price</t>
        </is>
      </c>
      <c r="C33" t="inlineStr"/>
      <c r="D33" t="inlineStr"/>
      <c r="E33" t="inlineStr"/>
    </row>
    <row r="34">
      <c r="A34" t="inlineStr">
        <is>
          <t>LI-26</t>
        </is>
      </c>
      <c r="B34" t="inlineStr">
        <is>
          <t>Products: size/materials; MTO vs ready stock; dispatch readiness (48h; consequence OPEN)</t>
        </is>
      </c>
      <c r="C34" t="inlineStr"/>
      <c r="D34" t="inlineStr"/>
      <c r="E34" t="inlineStr"/>
    </row>
    <row r="35">
      <c r="A35" t="inlineStr">
        <is>
          <t>LI-27</t>
        </is>
      </c>
      <c r="B35" t="inlineStr">
        <is>
          <t>Services: inclusions, duration, location, lead time; booking features per launch config/plan</t>
        </is>
      </c>
      <c r="C35" t="inlineStr"/>
      <c r="D35" t="inlineStr"/>
      <c r="E35" t="inlineStr"/>
    </row>
    <row r="36">
      <c r="A36" t="inlineStr">
        <is>
          <t>LI-28</t>
        </is>
      </c>
      <c r="B36" t="inlineStr">
        <is>
          <t>Visible from a customer view</t>
        </is>
      </c>
      <c r="C36" t="inlineStr"/>
      <c r="D36" t="inlineStr"/>
      <c r="E36" t="inlineStr"/>
    </row>
    <row r="37">
      <c r="A37" t="inlineStr">
        <is>
          <t>PO-29</t>
        </is>
      </c>
      <c r="B37" t="inlineStr">
        <is>
          <t>Bank details verified</t>
        </is>
      </c>
      <c r="C37" t="inlineStr"/>
      <c r="D37" t="inlineStr"/>
      <c r="E37" t="inlineStr"/>
    </row>
    <row r="38">
      <c r="A38" t="inlineStr">
        <is>
          <t>PO-30</t>
        </is>
      </c>
      <c r="B38" t="inlineStr">
        <is>
          <t>U-1 resolved before describing withdrawals</t>
        </is>
      </c>
      <c r="C38" t="inlineStr"/>
      <c r="D38" t="inlineStr"/>
      <c r="E38" t="inlineStr"/>
    </row>
    <row r="39">
      <c r="A39" t="inlineStr">
        <is>
          <t>AC-31</t>
        </is>
      </c>
      <c r="B39" t="inlineStr">
        <is>
          <t>Approved + profile + first listing + payout details + good standing</t>
        </is>
      </c>
      <c r="C39" t="inlineStr"/>
      <c r="D39" t="inlineStr"/>
      <c r="E39" t="inlineStr"/>
    </row>
    <row r="40">
      <c r="A40" t="inlineStr">
        <is>
          <t>AC-32</t>
        </is>
      </c>
      <c r="B40" t="inlineStr">
        <is>
          <t>Founding qualification checked (once FP-QUAL decided); founding welcome</t>
        </is>
      </c>
      <c r="C40" t="inlineStr"/>
      <c r="D40" t="inlineStr"/>
      <c r="E40" t="inlineStr"/>
    </row>
    <row r="41">
      <c r="A41" t="inlineStr">
        <is>
          <t>AC-33</t>
        </is>
      </c>
      <c r="B41" t="inlineStr">
        <is>
          <t>7-day post-activation check-in and survey</t>
        </is>
      </c>
      <c r="C41" t="inlineStr"/>
      <c r="D41" t="inlineStr"/>
      <c r="E41" t="inlineStr"/>
    </row>
    <row r="43">
      <c r="A43" t="inlineStr">
        <is>
          <t>Completion</t>
        </is>
      </c>
      <c r="B43" s="10">
        <f>COUNTIF(C9:C41,"Y")/33</f>
        <v/>
      </c>
    </row>
  </sheetData>
  <dataValidations count="1">
    <dataValidation sqref="C9:C41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  <col width="18" customWidth="1" min="13" max="13"/>
  </cols>
  <sheetData>
    <row r="1">
      <c r="A1" s="4" t="inlineStr">
        <is>
          <t>Escalation ID</t>
        </is>
      </c>
      <c r="B1" s="4" t="inlineStr">
        <is>
          <t>Prospect / Seller ID</t>
        </is>
      </c>
      <c r="C1" s="4" t="inlineStr">
        <is>
          <t>Stage</t>
        </is>
      </c>
      <c r="D1" s="4" t="inlineStr">
        <is>
          <t>Issue</t>
        </is>
      </c>
      <c r="E1" s="4" t="inlineStr">
        <is>
          <t>Trigger type</t>
        </is>
      </c>
      <c r="F1" s="4" t="inlineStr">
        <is>
          <t>Level</t>
        </is>
      </c>
      <c r="G1" s="4" t="inlineStr">
        <is>
          <t>Owner</t>
        </is>
      </c>
      <c r="H1" s="4" t="inlineStr">
        <is>
          <t>Opened</t>
        </is>
      </c>
      <c r="I1" s="4" t="inlineStr">
        <is>
          <t>Professional last updated</t>
        </is>
      </c>
      <c r="J1" s="4" t="inlineStr">
        <is>
          <t>Closed</t>
        </is>
      </c>
      <c r="K1" s="4" t="inlineStr">
        <is>
          <t>Status</t>
        </is>
      </c>
      <c r="L1" s="4" t="inlineStr">
        <is>
          <t>Outcome</t>
        </is>
      </c>
      <c r="M1" s="4" t="inlineStr">
        <is>
          <t>Days open</t>
        </is>
      </c>
      <c r="O1" t="inlineStr">
        <is>
          <t>Triggers: payment failure · KYC rejection · store approval &gt; 3 business days · any GST question · off-platform contact request (SP-4a) · data/IP question · complaint · "I was told it was free"</t>
        </is>
      </c>
    </row>
    <row r="2">
      <c r="H2" s="9" t="n"/>
      <c r="I2" s="9" t="n"/>
      <c r="J2" s="9" t="n"/>
      <c r="M2">
        <f>IF(H2="","",IF(J2&lt;&gt;"",J2-H2,TODAY()-H2))</f>
        <v/>
      </c>
    </row>
    <row r="3">
      <c r="H3" s="9" t="n"/>
      <c r="I3" s="9" t="n"/>
      <c r="J3" s="9" t="n"/>
      <c r="M3">
        <f>IF(H3="","",IF(J3&lt;&gt;"",J3-H3,TODAY()-H3))</f>
        <v/>
      </c>
    </row>
    <row r="4">
      <c r="H4" s="9" t="n"/>
      <c r="I4" s="9" t="n"/>
      <c r="J4" s="9" t="n"/>
      <c r="M4">
        <f>IF(H4="","",IF(J4&lt;&gt;"",J4-H4,TODAY()-H4))</f>
        <v/>
      </c>
    </row>
    <row r="5">
      <c r="H5" s="9" t="n"/>
      <c r="I5" s="9" t="n"/>
      <c r="J5" s="9" t="n"/>
      <c r="M5">
        <f>IF(H5="","",IF(J5&lt;&gt;"",J5-H5,TODAY()-H5))</f>
        <v/>
      </c>
    </row>
    <row r="6">
      <c r="H6" s="9" t="n"/>
      <c r="I6" s="9" t="n"/>
      <c r="J6" s="9" t="n"/>
      <c r="M6">
        <f>IF(H6="","",IF(J6&lt;&gt;"",J6-H6,TODAY()-H6))</f>
        <v/>
      </c>
    </row>
    <row r="7">
      <c r="H7" s="9" t="n"/>
      <c r="I7" s="9" t="n"/>
      <c r="J7" s="9" t="n"/>
      <c r="M7">
        <f>IF(H7="","",IF(J7&lt;&gt;"",J7-H7,TODAY()-H7))</f>
        <v/>
      </c>
    </row>
    <row r="8">
      <c r="H8" s="9" t="n"/>
      <c r="I8" s="9" t="n"/>
      <c r="J8" s="9" t="n"/>
      <c r="M8">
        <f>IF(H8="","",IF(J8&lt;&gt;"",J8-H8,TODAY()-H8))</f>
        <v/>
      </c>
    </row>
    <row r="9">
      <c r="H9" s="9" t="n"/>
      <c r="I9" s="9" t="n"/>
      <c r="J9" s="9" t="n"/>
      <c r="M9">
        <f>IF(H9="","",IF(J9&lt;&gt;"",J9-H9,TODAY()-H9))</f>
        <v/>
      </c>
    </row>
    <row r="10">
      <c r="H10" s="9" t="n"/>
      <c r="I10" s="9" t="n"/>
      <c r="J10" s="9" t="n"/>
      <c r="M10">
        <f>IF(H10="","",IF(J10&lt;&gt;"",J10-H10,TODAY()-H10))</f>
        <v/>
      </c>
    </row>
    <row r="11">
      <c r="H11" s="9" t="n"/>
      <c r="I11" s="9" t="n"/>
      <c r="J11" s="9" t="n"/>
      <c r="M11">
        <f>IF(H11="","",IF(J11&lt;&gt;"",J11-H11,TODAY()-H11))</f>
        <v/>
      </c>
    </row>
    <row r="12">
      <c r="H12" s="9" t="n"/>
      <c r="I12" s="9" t="n"/>
      <c r="J12" s="9" t="n"/>
      <c r="M12">
        <f>IF(H12="","",IF(J12&lt;&gt;"",J12-H12,TODAY()-H12))</f>
        <v/>
      </c>
    </row>
    <row r="13">
      <c r="H13" s="9" t="n"/>
      <c r="I13" s="9" t="n"/>
      <c r="J13" s="9" t="n"/>
      <c r="M13">
        <f>IF(H13="","",IF(J13&lt;&gt;"",J13-H13,TODAY()-H13))</f>
        <v/>
      </c>
    </row>
    <row r="14">
      <c r="H14" s="9" t="n"/>
      <c r="I14" s="9" t="n"/>
      <c r="J14" s="9" t="n"/>
      <c r="M14">
        <f>IF(H14="","",IF(J14&lt;&gt;"",J14-H14,TODAY()-H14))</f>
        <v/>
      </c>
    </row>
    <row r="15">
      <c r="H15" s="9" t="n"/>
      <c r="I15" s="9" t="n"/>
      <c r="J15" s="9" t="n"/>
      <c r="M15">
        <f>IF(H15="","",IF(J15&lt;&gt;"",J15-H15,TODAY()-H15))</f>
        <v/>
      </c>
    </row>
    <row r="16">
      <c r="H16" s="9" t="n"/>
      <c r="I16" s="9" t="n"/>
      <c r="J16" s="9" t="n"/>
      <c r="M16">
        <f>IF(H16="","",IF(J16&lt;&gt;"",J16-H16,TODAY()-H16))</f>
        <v/>
      </c>
    </row>
    <row r="17">
      <c r="H17" s="9" t="n"/>
      <c r="I17" s="9" t="n"/>
      <c r="J17" s="9" t="n"/>
      <c r="M17">
        <f>IF(H17="","",IF(J17&lt;&gt;"",J17-H17,TODAY()-H17))</f>
        <v/>
      </c>
    </row>
    <row r="18">
      <c r="H18" s="9" t="n"/>
      <c r="I18" s="9" t="n"/>
      <c r="J18" s="9" t="n"/>
      <c r="M18">
        <f>IF(H18="","",IF(J18&lt;&gt;"",J18-H18,TODAY()-H18))</f>
        <v/>
      </c>
    </row>
    <row r="19">
      <c r="H19" s="9" t="n"/>
      <c r="I19" s="9" t="n"/>
      <c r="J19" s="9" t="n"/>
      <c r="M19">
        <f>IF(H19="","",IF(J19&lt;&gt;"",J19-H19,TODAY()-H19))</f>
        <v/>
      </c>
    </row>
    <row r="20">
      <c r="H20" s="9" t="n"/>
      <c r="I20" s="9" t="n"/>
      <c r="J20" s="9" t="n"/>
      <c r="M20">
        <f>IF(H20="","",IF(J20&lt;&gt;"",J20-H20,TODAY()-H20))</f>
        <v/>
      </c>
    </row>
    <row r="21">
      <c r="H21" s="9" t="n"/>
      <c r="I21" s="9" t="n"/>
      <c r="J21" s="9" t="n"/>
      <c r="M21">
        <f>IF(H21="","",IF(J21&lt;&gt;"",J21-H21,TODAY()-H21))</f>
        <v/>
      </c>
    </row>
    <row r="22">
      <c r="H22" s="9" t="n"/>
      <c r="I22" s="9" t="n"/>
      <c r="J22" s="9" t="n"/>
      <c r="M22">
        <f>IF(H22="","",IF(J22&lt;&gt;"",J22-H22,TODAY()-H22))</f>
        <v/>
      </c>
    </row>
    <row r="23">
      <c r="H23" s="9" t="n"/>
      <c r="I23" s="9" t="n"/>
      <c r="J23" s="9" t="n"/>
      <c r="M23">
        <f>IF(H23="","",IF(J23&lt;&gt;"",J23-H23,TODAY()-H23))</f>
        <v/>
      </c>
    </row>
    <row r="24">
      <c r="H24" s="9" t="n"/>
      <c r="I24" s="9" t="n"/>
      <c r="J24" s="9" t="n"/>
      <c r="M24">
        <f>IF(H24="","",IF(J24&lt;&gt;"",J24-H24,TODAY()-H24))</f>
        <v/>
      </c>
    </row>
    <row r="25">
      <c r="H25" s="9" t="n"/>
      <c r="I25" s="9" t="n"/>
      <c r="J25" s="9" t="n"/>
      <c r="M25">
        <f>IF(H25="","",IF(J25&lt;&gt;"",J25-H25,TODAY()-H25))</f>
        <v/>
      </c>
    </row>
    <row r="26">
      <c r="H26" s="9" t="n"/>
      <c r="I26" s="9" t="n"/>
      <c r="J26" s="9" t="n"/>
      <c r="M26">
        <f>IF(H26="","",IF(J26&lt;&gt;"",J26-H26,TODAY()-H26))</f>
        <v/>
      </c>
    </row>
    <row r="27">
      <c r="H27" s="9" t="n"/>
      <c r="I27" s="9" t="n"/>
      <c r="J27" s="9" t="n"/>
      <c r="M27">
        <f>IF(H27="","",IF(J27&lt;&gt;"",J27-H27,TODAY()-H27))</f>
        <v/>
      </c>
    </row>
    <row r="28">
      <c r="H28" s="9" t="n"/>
      <c r="I28" s="9" t="n"/>
      <c r="J28" s="9" t="n"/>
      <c r="M28">
        <f>IF(H28="","",IF(J28&lt;&gt;"",J28-H28,TODAY()-H28))</f>
        <v/>
      </c>
    </row>
    <row r="29">
      <c r="H29" s="9" t="n"/>
      <c r="I29" s="9" t="n"/>
      <c r="J29" s="9" t="n"/>
      <c r="M29">
        <f>IF(H29="","",IF(J29&lt;&gt;"",J29-H29,TODAY()-H29))</f>
        <v/>
      </c>
    </row>
    <row r="30">
      <c r="H30" s="9" t="n"/>
      <c r="I30" s="9" t="n"/>
      <c r="J30" s="9" t="n"/>
      <c r="M30">
        <f>IF(H30="","",IF(J30&lt;&gt;"",J30-H30,TODAY()-H30))</f>
        <v/>
      </c>
    </row>
    <row r="31">
      <c r="H31" s="9" t="n"/>
      <c r="I31" s="9" t="n"/>
      <c r="J31" s="9" t="n"/>
      <c r="M31">
        <f>IF(H31="","",IF(J31&lt;&gt;"",J31-H31,TODAY()-H31))</f>
        <v/>
      </c>
    </row>
    <row r="32">
      <c r="H32" s="9" t="n"/>
      <c r="I32" s="9" t="n"/>
      <c r="J32" s="9" t="n"/>
      <c r="M32">
        <f>IF(H32="","",IF(J32&lt;&gt;"",J32-H32,TODAY()-H32))</f>
        <v/>
      </c>
    </row>
    <row r="33">
      <c r="H33" s="9" t="n"/>
      <c r="I33" s="9" t="n"/>
      <c r="J33" s="9" t="n"/>
      <c r="M33">
        <f>IF(H33="","",IF(J33&lt;&gt;"",J33-H33,TODAY()-H33))</f>
        <v/>
      </c>
    </row>
    <row r="34">
      <c r="H34" s="9" t="n"/>
      <c r="I34" s="9" t="n"/>
      <c r="J34" s="9" t="n"/>
      <c r="M34">
        <f>IF(H34="","",IF(J34&lt;&gt;"",J34-H34,TODAY()-H34))</f>
        <v/>
      </c>
    </row>
    <row r="35">
      <c r="H35" s="9" t="n"/>
      <c r="I35" s="9" t="n"/>
      <c r="J35" s="9" t="n"/>
      <c r="M35">
        <f>IF(H35="","",IF(J35&lt;&gt;"",J35-H35,TODAY()-H35))</f>
        <v/>
      </c>
    </row>
    <row r="36">
      <c r="H36" s="9" t="n"/>
      <c r="I36" s="9" t="n"/>
      <c r="J36" s="9" t="n"/>
      <c r="M36">
        <f>IF(H36="","",IF(J36&lt;&gt;"",J36-H36,TODAY()-H36))</f>
        <v/>
      </c>
    </row>
    <row r="37">
      <c r="H37" s="9" t="n"/>
      <c r="I37" s="9" t="n"/>
      <c r="J37" s="9" t="n"/>
      <c r="M37">
        <f>IF(H37="","",IF(J37&lt;&gt;"",J37-H37,TODAY()-H37))</f>
        <v/>
      </c>
    </row>
    <row r="38">
      <c r="H38" s="9" t="n"/>
      <c r="I38" s="9" t="n"/>
      <c r="J38" s="9" t="n"/>
      <c r="M38">
        <f>IF(H38="","",IF(J38&lt;&gt;"",J38-H38,TODAY()-H38))</f>
        <v/>
      </c>
    </row>
    <row r="39">
      <c r="H39" s="9" t="n"/>
      <c r="I39" s="9" t="n"/>
      <c r="J39" s="9" t="n"/>
      <c r="M39">
        <f>IF(H39="","",IF(J39&lt;&gt;"",J39-H39,TODAY()-H39))</f>
        <v/>
      </c>
    </row>
    <row r="40">
      <c r="H40" s="9" t="n"/>
      <c r="I40" s="9" t="n"/>
      <c r="J40" s="9" t="n"/>
      <c r="M40">
        <f>IF(H40="","",IF(J40&lt;&gt;"",J40-H40,TODAY()-H40))</f>
        <v/>
      </c>
    </row>
    <row r="41">
      <c r="H41" s="9" t="n"/>
      <c r="I41" s="9" t="n"/>
      <c r="J41" s="9" t="n"/>
      <c r="M41">
        <f>IF(H41="","",IF(J41&lt;&gt;"",J41-H41,TODAY()-H41))</f>
        <v/>
      </c>
    </row>
    <row r="42">
      <c r="H42" s="9" t="n"/>
      <c r="I42" s="9" t="n"/>
      <c r="J42" s="9" t="n"/>
      <c r="M42">
        <f>IF(H42="","",IF(J42&lt;&gt;"",J42-H42,TODAY()-H42))</f>
        <v/>
      </c>
    </row>
    <row r="43">
      <c r="H43" s="9" t="n"/>
      <c r="I43" s="9" t="n"/>
      <c r="J43" s="9" t="n"/>
      <c r="M43">
        <f>IF(H43="","",IF(J43&lt;&gt;"",J43-H43,TODAY()-H43))</f>
        <v/>
      </c>
    </row>
    <row r="44">
      <c r="H44" s="9" t="n"/>
      <c r="I44" s="9" t="n"/>
      <c r="J44" s="9" t="n"/>
      <c r="M44">
        <f>IF(H44="","",IF(J44&lt;&gt;"",J44-H44,TODAY()-H44))</f>
        <v/>
      </c>
    </row>
    <row r="45">
      <c r="H45" s="9" t="n"/>
      <c r="I45" s="9" t="n"/>
      <c r="J45" s="9" t="n"/>
      <c r="M45">
        <f>IF(H45="","",IF(J45&lt;&gt;"",J45-H45,TODAY()-H45))</f>
        <v/>
      </c>
    </row>
    <row r="46">
      <c r="H46" s="9" t="n"/>
      <c r="I46" s="9" t="n"/>
      <c r="J46" s="9" t="n"/>
      <c r="M46">
        <f>IF(H46="","",IF(J46&lt;&gt;"",J46-H46,TODAY()-H46))</f>
        <v/>
      </c>
    </row>
    <row r="47">
      <c r="H47" s="9" t="n"/>
      <c r="I47" s="9" t="n"/>
      <c r="J47" s="9" t="n"/>
      <c r="M47">
        <f>IF(H47="","",IF(J47&lt;&gt;"",J47-H47,TODAY()-H47))</f>
        <v/>
      </c>
    </row>
    <row r="48">
      <c r="H48" s="9" t="n"/>
      <c r="I48" s="9" t="n"/>
      <c r="J48" s="9" t="n"/>
      <c r="M48">
        <f>IF(H48="","",IF(J48&lt;&gt;"",J48-H48,TODAY()-H48))</f>
        <v/>
      </c>
    </row>
    <row r="49">
      <c r="H49" s="9" t="n"/>
      <c r="I49" s="9" t="n"/>
      <c r="J49" s="9" t="n"/>
      <c r="M49">
        <f>IF(H49="","",IF(J49&lt;&gt;"",J49-H49,TODAY()-H49))</f>
        <v/>
      </c>
    </row>
    <row r="50">
      <c r="H50" s="9" t="n"/>
      <c r="I50" s="9" t="n"/>
      <c r="J50" s="9" t="n"/>
      <c r="M50">
        <f>IF(H50="","",IF(J50&lt;&gt;"",J50-H50,TODAY()-H50))</f>
        <v/>
      </c>
    </row>
    <row r="51">
      <c r="H51" s="9" t="n"/>
      <c r="I51" s="9" t="n"/>
      <c r="J51" s="9" t="n"/>
      <c r="M51">
        <f>IF(H51="","",IF(J51&lt;&gt;"",J51-H51,TODAY()-H51))</f>
        <v/>
      </c>
    </row>
    <row r="52">
      <c r="H52" s="9" t="n"/>
      <c r="I52" s="9" t="n"/>
      <c r="J52" s="9" t="n"/>
      <c r="M52">
        <f>IF(H52="","",IF(J52&lt;&gt;"",J52-H52,TODAY()-H52))</f>
        <v/>
      </c>
    </row>
    <row r="53">
      <c r="H53" s="9" t="n"/>
      <c r="I53" s="9" t="n"/>
      <c r="J53" s="9" t="n"/>
      <c r="M53">
        <f>IF(H53="","",IF(J53&lt;&gt;"",J53-H53,TODAY()-H53))</f>
        <v/>
      </c>
    </row>
    <row r="54">
      <c r="H54" s="9" t="n"/>
      <c r="I54" s="9" t="n"/>
      <c r="J54" s="9" t="n"/>
      <c r="M54">
        <f>IF(H54="","",IF(J54&lt;&gt;"",J54-H54,TODAY()-H54))</f>
        <v/>
      </c>
    </row>
    <row r="55">
      <c r="H55" s="9" t="n"/>
      <c r="I55" s="9" t="n"/>
      <c r="J55" s="9" t="n"/>
      <c r="M55">
        <f>IF(H55="","",IF(J55&lt;&gt;"",J55-H55,TODAY()-H55))</f>
        <v/>
      </c>
    </row>
    <row r="56">
      <c r="H56" s="9" t="n"/>
      <c r="I56" s="9" t="n"/>
      <c r="J56" s="9" t="n"/>
      <c r="M56">
        <f>IF(H56="","",IF(J56&lt;&gt;"",J56-H56,TODAY()-H56))</f>
        <v/>
      </c>
    </row>
    <row r="57">
      <c r="H57" s="9" t="n"/>
      <c r="I57" s="9" t="n"/>
      <c r="J57" s="9" t="n"/>
      <c r="M57">
        <f>IF(H57="","",IF(J57&lt;&gt;"",J57-H57,TODAY()-H57))</f>
        <v/>
      </c>
    </row>
    <row r="58">
      <c r="H58" s="9" t="n"/>
      <c r="I58" s="9" t="n"/>
      <c r="J58" s="9" t="n"/>
      <c r="M58">
        <f>IF(H58="","",IF(J58&lt;&gt;"",J58-H58,TODAY()-H58))</f>
        <v/>
      </c>
    </row>
    <row r="59">
      <c r="H59" s="9" t="n"/>
      <c r="I59" s="9" t="n"/>
      <c r="J59" s="9" t="n"/>
      <c r="M59">
        <f>IF(H59="","",IF(J59&lt;&gt;"",J59-H59,TODAY()-H59))</f>
        <v/>
      </c>
    </row>
    <row r="60">
      <c r="H60" s="9" t="n"/>
      <c r="I60" s="9" t="n"/>
      <c r="J60" s="9" t="n"/>
      <c r="M60">
        <f>IF(H60="","",IF(J60&lt;&gt;"",J60-H60,TODAY()-H60))</f>
        <v/>
      </c>
    </row>
    <row r="61">
      <c r="H61" s="9" t="n"/>
      <c r="I61" s="9" t="n"/>
      <c r="J61" s="9" t="n"/>
      <c r="M61">
        <f>IF(H61="","",IF(J61&lt;&gt;"",J61-H61,TODAY()-H61))</f>
        <v/>
      </c>
    </row>
    <row r="62">
      <c r="H62" s="9" t="n"/>
      <c r="I62" s="9" t="n"/>
      <c r="J62" s="9" t="n"/>
      <c r="M62">
        <f>IF(H62="","",IF(J62&lt;&gt;"",J62-H62,TODAY()-H62))</f>
        <v/>
      </c>
    </row>
    <row r="63">
      <c r="H63" s="9" t="n"/>
      <c r="I63" s="9" t="n"/>
      <c r="J63" s="9" t="n"/>
      <c r="M63">
        <f>IF(H63="","",IF(J63&lt;&gt;"",J63-H63,TODAY()-H63))</f>
        <v/>
      </c>
    </row>
    <row r="64">
      <c r="H64" s="9" t="n"/>
      <c r="I64" s="9" t="n"/>
      <c r="J64" s="9" t="n"/>
      <c r="M64">
        <f>IF(H64="","",IF(J64&lt;&gt;"",J64-H64,TODAY()-H64))</f>
        <v/>
      </c>
    </row>
    <row r="65">
      <c r="H65" s="9" t="n"/>
      <c r="I65" s="9" t="n"/>
      <c r="J65" s="9" t="n"/>
      <c r="M65">
        <f>IF(H65="","",IF(J65&lt;&gt;"",J65-H65,TODAY()-H65))</f>
        <v/>
      </c>
    </row>
    <row r="66">
      <c r="H66" s="9" t="n"/>
      <c r="I66" s="9" t="n"/>
      <c r="J66" s="9" t="n"/>
      <c r="M66">
        <f>IF(H66="","",IF(J66&lt;&gt;"",J66-H66,TODAY()-H66))</f>
        <v/>
      </c>
    </row>
    <row r="67">
      <c r="H67" s="9" t="n"/>
      <c r="I67" s="9" t="n"/>
      <c r="J67" s="9" t="n"/>
      <c r="M67">
        <f>IF(H67="","",IF(J67&lt;&gt;"",J67-H67,TODAY()-H67))</f>
        <v/>
      </c>
    </row>
    <row r="68">
      <c r="H68" s="9" t="n"/>
      <c r="I68" s="9" t="n"/>
      <c r="J68" s="9" t="n"/>
      <c r="M68">
        <f>IF(H68="","",IF(J68&lt;&gt;"",J68-H68,TODAY()-H68))</f>
        <v/>
      </c>
    </row>
    <row r="69">
      <c r="H69" s="9" t="n"/>
      <c r="I69" s="9" t="n"/>
      <c r="J69" s="9" t="n"/>
      <c r="M69">
        <f>IF(H69="","",IF(J69&lt;&gt;"",J69-H69,TODAY()-H69))</f>
        <v/>
      </c>
    </row>
    <row r="70">
      <c r="H70" s="9" t="n"/>
      <c r="I70" s="9" t="n"/>
      <c r="J70" s="9" t="n"/>
      <c r="M70">
        <f>IF(H70="","",IF(J70&lt;&gt;"",J70-H70,TODAY()-H70))</f>
        <v/>
      </c>
    </row>
    <row r="71">
      <c r="H71" s="9" t="n"/>
      <c r="I71" s="9" t="n"/>
      <c r="J71" s="9" t="n"/>
      <c r="M71">
        <f>IF(H71="","",IF(J71&lt;&gt;"",J71-H71,TODAY()-H71))</f>
        <v/>
      </c>
    </row>
    <row r="72">
      <c r="H72" s="9" t="n"/>
      <c r="I72" s="9" t="n"/>
      <c r="J72" s="9" t="n"/>
      <c r="M72">
        <f>IF(H72="","",IF(J72&lt;&gt;"",J72-H72,TODAY()-H72))</f>
        <v/>
      </c>
    </row>
    <row r="73">
      <c r="H73" s="9" t="n"/>
      <c r="I73" s="9" t="n"/>
      <c r="J73" s="9" t="n"/>
      <c r="M73">
        <f>IF(H73="","",IF(J73&lt;&gt;"",J73-H73,TODAY()-H73))</f>
        <v/>
      </c>
    </row>
    <row r="74">
      <c r="H74" s="9" t="n"/>
      <c r="I74" s="9" t="n"/>
      <c r="J74" s="9" t="n"/>
      <c r="M74">
        <f>IF(H74="","",IF(J74&lt;&gt;"",J74-H74,TODAY()-H74))</f>
        <v/>
      </c>
    </row>
    <row r="75">
      <c r="H75" s="9" t="n"/>
      <c r="I75" s="9" t="n"/>
      <c r="J75" s="9" t="n"/>
      <c r="M75">
        <f>IF(H75="","",IF(J75&lt;&gt;"",J75-H75,TODAY()-H75))</f>
        <v/>
      </c>
    </row>
    <row r="76">
      <c r="H76" s="9" t="n"/>
      <c r="I76" s="9" t="n"/>
      <c r="J76" s="9" t="n"/>
      <c r="M76">
        <f>IF(H76="","",IF(J76&lt;&gt;"",J76-H76,TODAY()-H76))</f>
        <v/>
      </c>
    </row>
    <row r="77">
      <c r="H77" s="9" t="n"/>
      <c r="I77" s="9" t="n"/>
      <c r="J77" s="9" t="n"/>
      <c r="M77">
        <f>IF(H77="","",IF(J77&lt;&gt;"",J77-H77,TODAY()-H77))</f>
        <v/>
      </c>
    </row>
    <row r="78">
      <c r="H78" s="9" t="n"/>
      <c r="I78" s="9" t="n"/>
      <c r="J78" s="9" t="n"/>
      <c r="M78">
        <f>IF(H78="","",IF(J78&lt;&gt;"",J78-H78,TODAY()-H78))</f>
        <v/>
      </c>
    </row>
    <row r="79">
      <c r="H79" s="9" t="n"/>
      <c r="I79" s="9" t="n"/>
      <c r="J79" s="9" t="n"/>
      <c r="M79">
        <f>IF(H79="","",IF(J79&lt;&gt;"",J79-H79,TODAY()-H79))</f>
        <v/>
      </c>
    </row>
    <row r="80">
      <c r="H80" s="9" t="n"/>
      <c r="I80" s="9" t="n"/>
      <c r="J80" s="9" t="n"/>
      <c r="M80">
        <f>IF(H80="","",IF(J80&lt;&gt;"",J80-H80,TODAY()-H80))</f>
        <v/>
      </c>
    </row>
    <row r="81">
      <c r="H81" s="9" t="n"/>
      <c r="I81" s="9" t="n"/>
      <c r="J81" s="9" t="n"/>
      <c r="M81">
        <f>IF(H81="","",IF(J81&lt;&gt;"",J81-H81,TODAY()-H81))</f>
        <v/>
      </c>
    </row>
    <row r="82">
      <c r="H82" s="9" t="n"/>
      <c r="I82" s="9" t="n"/>
      <c r="J82" s="9" t="n"/>
      <c r="M82">
        <f>IF(H82="","",IF(J82&lt;&gt;"",J82-H82,TODAY()-H82))</f>
        <v/>
      </c>
    </row>
    <row r="83">
      <c r="H83" s="9" t="n"/>
      <c r="I83" s="9" t="n"/>
      <c r="J83" s="9" t="n"/>
      <c r="M83">
        <f>IF(H83="","",IF(J83&lt;&gt;"",J83-H83,TODAY()-H83))</f>
        <v/>
      </c>
    </row>
    <row r="84">
      <c r="H84" s="9" t="n"/>
      <c r="I84" s="9" t="n"/>
      <c r="J84" s="9" t="n"/>
      <c r="M84">
        <f>IF(H84="","",IF(J84&lt;&gt;"",J84-H84,TODAY()-H84))</f>
        <v/>
      </c>
    </row>
    <row r="85">
      <c r="H85" s="9" t="n"/>
      <c r="I85" s="9" t="n"/>
      <c r="J85" s="9" t="n"/>
      <c r="M85">
        <f>IF(H85="","",IF(J85&lt;&gt;"",J85-H85,TODAY()-H85))</f>
        <v/>
      </c>
    </row>
    <row r="86">
      <c r="H86" s="9" t="n"/>
      <c r="I86" s="9" t="n"/>
      <c r="J86" s="9" t="n"/>
      <c r="M86">
        <f>IF(H86="","",IF(J86&lt;&gt;"",J86-H86,TODAY()-H86))</f>
        <v/>
      </c>
    </row>
    <row r="87">
      <c r="H87" s="9" t="n"/>
      <c r="I87" s="9" t="n"/>
      <c r="J87" s="9" t="n"/>
      <c r="M87">
        <f>IF(H87="","",IF(J87&lt;&gt;"",J87-H87,TODAY()-H87))</f>
        <v/>
      </c>
    </row>
    <row r="88">
      <c r="H88" s="9" t="n"/>
      <c r="I88" s="9" t="n"/>
      <c r="J88" s="9" t="n"/>
      <c r="M88">
        <f>IF(H88="","",IF(J88&lt;&gt;"",J88-H88,TODAY()-H88))</f>
        <v/>
      </c>
    </row>
    <row r="89">
      <c r="H89" s="9" t="n"/>
      <c r="I89" s="9" t="n"/>
      <c r="J89" s="9" t="n"/>
      <c r="M89">
        <f>IF(H89="","",IF(J89&lt;&gt;"",J89-H89,TODAY()-H89))</f>
        <v/>
      </c>
    </row>
    <row r="90">
      <c r="H90" s="9" t="n"/>
      <c r="I90" s="9" t="n"/>
      <c r="J90" s="9" t="n"/>
      <c r="M90">
        <f>IF(H90="","",IF(J90&lt;&gt;"",J90-H90,TODAY()-H90))</f>
        <v/>
      </c>
    </row>
    <row r="91">
      <c r="H91" s="9" t="n"/>
      <c r="I91" s="9" t="n"/>
      <c r="J91" s="9" t="n"/>
      <c r="M91">
        <f>IF(H91="","",IF(J91&lt;&gt;"",J91-H91,TODAY()-H91))</f>
        <v/>
      </c>
    </row>
    <row r="92">
      <c r="H92" s="9" t="n"/>
      <c r="I92" s="9" t="n"/>
      <c r="J92" s="9" t="n"/>
      <c r="M92">
        <f>IF(H92="","",IF(J92&lt;&gt;"",J92-H92,TODAY()-H92))</f>
        <v/>
      </c>
    </row>
    <row r="93">
      <c r="H93" s="9" t="n"/>
      <c r="I93" s="9" t="n"/>
      <c r="J93" s="9" t="n"/>
      <c r="M93">
        <f>IF(H93="","",IF(J93&lt;&gt;"",J93-H93,TODAY()-H93))</f>
        <v/>
      </c>
    </row>
    <row r="94">
      <c r="H94" s="9" t="n"/>
      <c r="I94" s="9" t="n"/>
      <c r="J94" s="9" t="n"/>
      <c r="M94">
        <f>IF(H94="","",IF(J94&lt;&gt;"",J94-H94,TODAY()-H94))</f>
        <v/>
      </c>
    </row>
    <row r="95">
      <c r="H95" s="9" t="n"/>
      <c r="I95" s="9" t="n"/>
      <c r="J95" s="9" t="n"/>
      <c r="M95">
        <f>IF(H95="","",IF(J95&lt;&gt;"",J95-H95,TODAY()-H95))</f>
        <v/>
      </c>
    </row>
    <row r="96">
      <c r="H96" s="9" t="n"/>
      <c r="I96" s="9" t="n"/>
      <c r="J96" s="9" t="n"/>
      <c r="M96">
        <f>IF(H96="","",IF(J96&lt;&gt;"",J96-H96,TODAY()-H96))</f>
        <v/>
      </c>
    </row>
    <row r="97">
      <c r="H97" s="9" t="n"/>
      <c r="I97" s="9" t="n"/>
      <c r="J97" s="9" t="n"/>
      <c r="M97">
        <f>IF(H97="","",IF(J97&lt;&gt;"",J97-H97,TODAY()-H97))</f>
        <v/>
      </c>
    </row>
    <row r="98">
      <c r="H98" s="9" t="n"/>
      <c r="I98" s="9" t="n"/>
      <c r="J98" s="9" t="n"/>
      <c r="M98">
        <f>IF(H98="","",IF(J98&lt;&gt;"",J98-H98,TODAY()-H98))</f>
        <v/>
      </c>
    </row>
    <row r="99">
      <c r="H99" s="9" t="n"/>
      <c r="I99" s="9" t="n"/>
      <c r="J99" s="9" t="n"/>
      <c r="M99">
        <f>IF(H99="","",IF(J99&lt;&gt;"",J99-H99,TODAY()-H99))</f>
        <v/>
      </c>
    </row>
    <row r="100">
      <c r="H100" s="9" t="n"/>
      <c r="I100" s="9" t="n"/>
      <c r="J100" s="9" t="n"/>
      <c r="M100">
        <f>IF(H100="","",IF(J100&lt;&gt;"",J100-H100,TODAY()-H100))</f>
        <v/>
      </c>
    </row>
    <row r="101">
      <c r="H101" s="9" t="n"/>
      <c r="I101" s="9" t="n"/>
      <c r="J101" s="9" t="n"/>
      <c r="M101">
        <f>IF(H101="","",IF(J101&lt;&gt;"",J101-H101,TODAY()-H101))</f>
        <v/>
      </c>
    </row>
    <row r="102">
      <c r="H102" s="9" t="n"/>
      <c r="I102" s="9" t="n"/>
      <c r="J102" s="9" t="n"/>
      <c r="M102">
        <f>IF(H102="","",IF(J102&lt;&gt;"",J102-H102,TODAY()-H102))</f>
        <v/>
      </c>
    </row>
    <row r="103">
      <c r="H103" s="9" t="n"/>
      <c r="I103" s="9" t="n"/>
      <c r="J103" s="9" t="n"/>
      <c r="M103">
        <f>IF(H103="","",IF(J103&lt;&gt;"",J103-H103,TODAY()-H103))</f>
        <v/>
      </c>
    </row>
    <row r="104">
      <c r="H104" s="9" t="n"/>
      <c r="I104" s="9" t="n"/>
      <c r="J104" s="9" t="n"/>
      <c r="M104">
        <f>IF(H104="","",IF(J104&lt;&gt;"",J104-H104,TODAY()-H104))</f>
        <v/>
      </c>
    </row>
    <row r="105">
      <c r="H105" s="9" t="n"/>
      <c r="I105" s="9" t="n"/>
      <c r="J105" s="9" t="n"/>
      <c r="M105">
        <f>IF(H105="","",IF(J105&lt;&gt;"",J105-H105,TODAY()-H105))</f>
        <v/>
      </c>
    </row>
    <row r="106">
      <c r="H106" s="9" t="n"/>
      <c r="I106" s="9" t="n"/>
      <c r="J106" s="9" t="n"/>
      <c r="M106">
        <f>IF(H106="","",IF(J106&lt;&gt;"",J106-H106,TODAY()-H106))</f>
        <v/>
      </c>
    </row>
    <row r="107">
      <c r="H107" s="9" t="n"/>
      <c r="I107" s="9" t="n"/>
      <c r="J107" s="9" t="n"/>
      <c r="M107">
        <f>IF(H107="","",IF(J107&lt;&gt;"",J107-H107,TODAY()-H107))</f>
        <v/>
      </c>
    </row>
    <row r="108">
      <c r="H108" s="9" t="n"/>
      <c r="I108" s="9" t="n"/>
      <c r="J108" s="9" t="n"/>
      <c r="M108">
        <f>IF(H108="","",IF(J108&lt;&gt;"",J108-H108,TODAY()-H108))</f>
        <v/>
      </c>
    </row>
    <row r="109">
      <c r="H109" s="9" t="n"/>
      <c r="I109" s="9" t="n"/>
      <c r="J109" s="9" t="n"/>
      <c r="M109">
        <f>IF(H109="","",IF(J109&lt;&gt;"",J109-H109,TODAY()-H109))</f>
        <v/>
      </c>
    </row>
    <row r="110">
      <c r="H110" s="9" t="n"/>
      <c r="I110" s="9" t="n"/>
      <c r="J110" s="9" t="n"/>
      <c r="M110">
        <f>IF(H110="","",IF(J110&lt;&gt;"",J110-H110,TODAY()-H110))</f>
        <v/>
      </c>
    </row>
    <row r="111">
      <c r="H111" s="9" t="n"/>
      <c r="I111" s="9" t="n"/>
      <c r="J111" s="9" t="n"/>
      <c r="M111">
        <f>IF(H111="","",IF(J111&lt;&gt;"",J111-H111,TODAY()-H111))</f>
        <v/>
      </c>
    </row>
    <row r="112">
      <c r="H112" s="9" t="n"/>
      <c r="I112" s="9" t="n"/>
      <c r="J112" s="9" t="n"/>
      <c r="M112">
        <f>IF(H112="","",IF(J112&lt;&gt;"",J112-H112,TODAY()-H112))</f>
        <v/>
      </c>
    </row>
    <row r="113">
      <c r="H113" s="9" t="n"/>
      <c r="I113" s="9" t="n"/>
      <c r="J113" s="9" t="n"/>
      <c r="M113">
        <f>IF(H113="","",IF(J113&lt;&gt;"",J113-H113,TODAY()-H113))</f>
        <v/>
      </c>
    </row>
    <row r="114">
      <c r="H114" s="9" t="n"/>
      <c r="I114" s="9" t="n"/>
      <c r="J114" s="9" t="n"/>
      <c r="M114">
        <f>IF(H114="","",IF(J114&lt;&gt;"",J114-H114,TODAY()-H114))</f>
        <v/>
      </c>
    </row>
    <row r="115">
      <c r="H115" s="9" t="n"/>
      <c r="I115" s="9" t="n"/>
      <c r="J115" s="9" t="n"/>
      <c r="M115">
        <f>IF(H115="","",IF(J115&lt;&gt;"",J115-H115,TODAY()-H115))</f>
        <v/>
      </c>
    </row>
    <row r="116">
      <c r="H116" s="9" t="n"/>
      <c r="I116" s="9" t="n"/>
      <c r="J116" s="9" t="n"/>
      <c r="M116">
        <f>IF(H116="","",IF(J116&lt;&gt;"",J116-H116,TODAY()-H116))</f>
        <v/>
      </c>
    </row>
    <row r="117">
      <c r="H117" s="9" t="n"/>
      <c r="I117" s="9" t="n"/>
      <c r="J117" s="9" t="n"/>
      <c r="M117">
        <f>IF(H117="","",IF(J117&lt;&gt;"",J117-H117,TODAY()-H117))</f>
        <v/>
      </c>
    </row>
    <row r="118">
      <c r="H118" s="9" t="n"/>
      <c r="I118" s="9" t="n"/>
      <c r="J118" s="9" t="n"/>
      <c r="M118">
        <f>IF(H118="","",IF(J118&lt;&gt;"",J118-H118,TODAY()-H118))</f>
        <v/>
      </c>
    </row>
    <row r="119">
      <c r="H119" s="9" t="n"/>
      <c r="I119" s="9" t="n"/>
      <c r="J119" s="9" t="n"/>
      <c r="M119">
        <f>IF(H119="","",IF(J119&lt;&gt;"",J119-H119,TODAY()-H119))</f>
        <v/>
      </c>
    </row>
    <row r="120">
      <c r="H120" s="9" t="n"/>
      <c r="I120" s="9" t="n"/>
      <c r="J120" s="9" t="n"/>
      <c r="M120">
        <f>IF(H120="","",IF(J120&lt;&gt;"",J120-H120,TODAY()-H120))</f>
        <v/>
      </c>
    </row>
    <row r="121">
      <c r="H121" s="9" t="n"/>
      <c r="I121" s="9" t="n"/>
      <c r="J121" s="9" t="n"/>
      <c r="M121">
        <f>IF(H121="","",IF(J121&lt;&gt;"",J121-H121,TODAY()-H121))</f>
        <v/>
      </c>
    </row>
    <row r="122">
      <c r="H122" s="9" t="n"/>
      <c r="I122" s="9" t="n"/>
      <c r="J122" s="9" t="n"/>
      <c r="M122">
        <f>IF(H122="","",IF(J122&lt;&gt;"",J122-H122,TODAY()-H122))</f>
        <v/>
      </c>
    </row>
    <row r="123">
      <c r="H123" s="9" t="n"/>
      <c r="I123" s="9" t="n"/>
      <c r="J123" s="9" t="n"/>
      <c r="M123">
        <f>IF(H123="","",IF(J123&lt;&gt;"",J123-H123,TODAY()-H123))</f>
        <v/>
      </c>
    </row>
    <row r="124">
      <c r="H124" s="9" t="n"/>
      <c r="I124" s="9" t="n"/>
      <c r="J124" s="9" t="n"/>
      <c r="M124">
        <f>IF(H124="","",IF(J124&lt;&gt;"",J124-H124,TODAY()-H124))</f>
        <v/>
      </c>
    </row>
    <row r="125">
      <c r="H125" s="9" t="n"/>
      <c r="I125" s="9" t="n"/>
      <c r="J125" s="9" t="n"/>
      <c r="M125">
        <f>IF(H125="","",IF(J125&lt;&gt;"",J125-H125,TODAY()-H125))</f>
        <v/>
      </c>
    </row>
    <row r="126">
      <c r="H126" s="9" t="n"/>
      <c r="I126" s="9" t="n"/>
      <c r="J126" s="9" t="n"/>
      <c r="M126">
        <f>IF(H126="","",IF(J126&lt;&gt;"",J126-H126,TODAY()-H126))</f>
        <v/>
      </c>
    </row>
    <row r="127">
      <c r="H127" s="9" t="n"/>
      <c r="I127" s="9" t="n"/>
      <c r="J127" s="9" t="n"/>
      <c r="M127">
        <f>IF(H127="","",IF(J127&lt;&gt;"",J127-H127,TODAY()-H127))</f>
        <v/>
      </c>
    </row>
    <row r="128">
      <c r="H128" s="9" t="n"/>
      <c r="I128" s="9" t="n"/>
      <c r="J128" s="9" t="n"/>
      <c r="M128">
        <f>IF(H128="","",IF(J128&lt;&gt;"",J128-H128,TODAY()-H128))</f>
        <v/>
      </c>
    </row>
    <row r="129">
      <c r="H129" s="9" t="n"/>
      <c r="I129" s="9" t="n"/>
      <c r="J129" s="9" t="n"/>
      <c r="M129">
        <f>IF(H129="","",IF(J129&lt;&gt;"",J129-H129,TODAY()-H129))</f>
        <v/>
      </c>
    </row>
    <row r="130">
      <c r="H130" s="9" t="n"/>
      <c r="I130" s="9" t="n"/>
      <c r="J130" s="9" t="n"/>
      <c r="M130">
        <f>IF(H130="","",IF(J130&lt;&gt;"",J130-H130,TODAY()-H130))</f>
        <v/>
      </c>
    </row>
    <row r="131">
      <c r="H131" s="9" t="n"/>
      <c r="I131" s="9" t="n"/>
      <c r="J131" s="9" t="n"/>
      <c r="M131">
        <f>IF(H131="","",IF(J131&lt;&gt;"",J131-H131,TODAY()-H131))</f>
        <v/>
      </c>
    </row>
    <row r="132">
      <c r="H132" s="9" t="n"/>
      <c r="I132" s="9" t="n"/>
      <c r="J132" s="9" t="n"/>
      <c r="M132">
        <f>IF(H132="","",IF(J132&lt;&gt;"",J132-H132,TODAY()-H132))</f>
        <v/>
      </c>
    </row>
    <row r="133">
      <c r="H133" s="9" t="n"/>
      <c r="I133" s="9" t="n"/>
      <c r="J133" s="9" t="n"/>
      <c r="M133">
        <f>IF(H133="","",IF(J133&lt;&gt;"",J133-H133,TODAY()-H133))</f>
        <v/>
      </c>
    </row>
    <row r="134">
      <c r="H134" s="9" t="n"/>
      <c r="I134" s="9" t="n"/>
      <c r="J134" s="9" t="n"/>
      <c r="M134">
        <f>IF(H134="","",IF(J134&lt;&gt;"",J134-H134,TODAY()-H134))</f>
        <v/>
      </c>
    </row>
    <row r="135">
      <c r="H135" s="9" t="n"/>
      <c r="I135" s="9" t="n"/>
      <c r="J135" s="9" t="n"/>
      <c r="M135">
        <f>IF(H135="","",IF(J135&lt;&gt;"",J135-H135,TODAY()-H135))</f>
        <v/>
      </c>
    </row>
    <row r="136">
      <c r="H136" s="9" t="n"/>
      <c r="I136" s="9" t="n"/>
      <c r="J136" s="9" t="n"/>
      <c r="M136">
        <f>IF(H136="","",IF(J136&lt;&gt;"",J136-H136,TODAY()-H136))</f>
        <v/>
      </c>
    </row>
    <row r="137">
      <c r="H137" s="9" t="n"/>
      <c r="I137" s="9" t="n"/>
      <c r="J137" s="9" t="n"/>
      <c r="M137">
        <f>IF(H137="","",IF(J137&lt;&gt;"",J137-H137,TODAY()-H137))</f>
        <v/>
      </c>
    </row>
    <row r="138">
      <c r="H138" s="9" t="n"/>
      <c r="I138" s="9" t="n"/>
      <c r="J138" s="9" t="n"/>
      <c r="M138">
        <f>IF(H138="","",IF(J138&lt;&gt;"",J138-H138,TODAY()-H138))</f>
        <v/>
      </c>
    </row>
    <row r="139">
      <c r="H139" s="9" t="n"/>
      <c r="I139" s="9" t="n"/>
      <c r="J139" s="9" t="n"/>
      <c r="M139">
        <f>IF(H139="","",IF(J139&lt;&gt;"",J139-H139,TODAY()-H139))</f>
        <v/>
      </c>
    </row>
    <row r="140">
      <c r="H140" s="9" t="n"/>
      <c r="I140" s="9" t="n"/>
      <c r="J140" s="9" t="n"/>
      <c r="M140">
        <f>IF(H140="","",IF(J140&lt;&gt;"",J140-H140,TODAY()-H140))</f>
        <v/>
      </c>
    </row>
    <row r="141">
      <c r="H141" s="9" t="n"/>
      <c r="I141" s="9" t="n"/>
      <c r="J141" s="9" t="n"/>
      <c r="M141">
        <f>IF(H141="","",IF(J141&lt;&gt;"",J141-H141,TODAY()-H141))</f>
        <v/>
      </c>
    </row>
    <row r="142">
      <c r="H142" s="9" t="n"/>
      <c r="I142" s="9" t="n"/>
      <c r="J142" s="9" t="n"/>
      <c r="M142">
        <f>IF(H142="","",IF(J142&lt;&gt;"",J142-H142,TODAY()-H142))</f>
        <v/>
      </c>
    </row>
    <row r="143">
      <c r="H143" s="9" t="n"/>
      <c r="I143" s="9" t="n"/>
      <c r="J143" s="9" t="n"/>
      <c r="M143">
        <f>IF(H143="","",IF(J143&lt;&gt;"",J143-H143,TODAY()-H143))</f>
        <v/>
      </c>
    </row>
    <row r="144">
      <c r="H144" s="9" t="n"/>
      <c r="I144" s="9" t="n"/>
      <c r="J144" s="9" t="n"/>
      <c r="M144">
        <f>IF(H144="","",IF(J144&lt;&gt;"",J144-H144,TODAY()-H144))</f>
        <v/>
      </c>
    </row>
    <row r="145">
      <c r="H145" s="9" t="n"/>
      <c r="I145" s="9" t="n"/>
      <c r="J145" s="9" t="n"/>
      <c r="M145">
        <f>IF(H145="","",IF(J145&lt;&gt;"",J145-H145,TODAY()-H145))</f>
        <v/>
      </c>
    </row>
    <row r="146">
      <c r="H146" s="9" t="n"/>
      <c r="I146" s="9" t="n"/>
      <c r="J146" s="9" t="n"/>
      <c r="M146">
        <f>IF(H146="","",IF(J146&lt;&gt;"",J146-H146,TODAY()-H146))</f>
        <v/>
      </c>
    </row>
    <row r="147">
      <c r="H147" s="9" t="n"/>
      <c r="I147" s="9" t="n"/>
      <c r="J147" s="9" t="n"/>
      <c r="M147">
        <f>IF(H147="","",IF(J147&lt;&gt;"",J147-H147,TODAY()-H147))</f>
        <v/>
      </c>
    </row>
    <row r="148">
      <c r="H148" s="9" t="n"/>
      <c r="I148" s="9" t="n"/>
      <c r="J148" s="9" t="n"/>
      <c r="M148">
        <f>IF(H148="","",IF(J148&lt;&gt;"",J148-H148,TODAY()-H148))</f>
        <v/>
      </c>
    </row>
    <row r="149">
      <c r="H149" s="9" t="n"/>
      <c r="I149" s="9" t="n"/>
      <c r="J149" s="9" t="n"/>
      <c r="M149">
        <f>IF(H149="","",IF(J149&lt;&gt;"",J149-H149,TODAY()-H149))</f>
        <v/>
      </c>
    </row>
    <row r="150">
      <c r="H150" s="9" t="n"/>
      <c r="I150" s="9" t="n"/>
      <c r="J150" s="9" t="n"/>
      <c r="M150">
        <f>IF(H150="","",IF(J150&lt;&gt;"",J150-H150,TODAY()-H150))</f>
        <v/>
      </c>
    </row>
    <row r="151">
      <c r="H151" s="9" t="n"/>
      <c r="I151" s="9" t="n"/>
      <c r="J151" s="9" t="n"/>
      <c r="M151">
        <f>IF(H151="","",IF(J151&lt;&gt;"",J151-H151,TODAY()-H151))</f>
        <v/>
      </c>
    </row>
    <row r="152">
      <c r="H152" s="9" t="n"/>
      <c r="I152" s="9" t="n"/>
      <c r="J152" s="9" t="n"/>
      <c r="M152">
        <f>IF(H152="","",IF(J152&lt;&gt;"",J152-H152,TODAY()-H152))</f>
        <v/>
      </c>
    </row>
    <row r="153">
      <c r="H153" s="9" t="n"/>
      <c r="I153" s="9" t="n"/>
      <c r="J153" s="9" t="n"/>
      <c r="M153">
        <f>IF(H153="","",IF(J153&lt;&gt;"",J153-H153,TODAY()-H153))</f>
        <v/>
      </c>
    </row>
    <row r="154">
      <c r="H154" s="9" t="n"/>
      <c r="I154" s="9" t="n"/>
      <c r="J154" s="9" t="n"/>
      <c r="M154">
        <f>IF(H154="","",IF(J154&lt;&gt;"",J154-H154,TODAY()-H154))</f>
        <v/>
      </c>
    </row>
    <row r="155">
      <c r="H155" s="9" t="n"/>
      <c r="I155" s="9" t="n"/>
      <c r="J155" s="9" t="n"/>
      <c r="M155">
        <f>IF(H155="","",IF(J155&lt;&gt;"",J155-H155,TODAY()-H155))</f>
        <v/>
      </c>
    </row>
    <row r="156">
      <c r="H156" s="9" t="n"/>
      <c r="I156" s="9" t="n"/>
      <c r="J156" s="9" t="n"/>
      <c r="M156">
        <f>IF(H156="","",IF(J156&lt;&gt;"",J156-H156,TODAY()-H156))</f>
        <v/>
      </c>
    </row>
    <row r="157">
      <c r="H157" s="9" t="n"/>
      <c r="I157" s="9" t="n"/>
      <c r="J157" s="9" t="n"/>
      <c r="M157">
        <f>IF(H157="","",IF(J157&lt;&gt;"",J157-H157,TODAY()-H157))</f>
        <v/>
      </c>
    </row>
    <row r="158">
      <c r="H158" s="9" t="n"/>
      <c r="I158" s="9" t="n"/>
      <c r="J158" s="9" t="n"/>
      <c r="M158">
        <f>IF(H158="","",IF(J158&lt;&gt;"",J158-H158,TODAY()-H158))</f>
        <v/>
      </c>
    </row>
    <row r="159">
      <c r="H159" s="9" t="n"/>
      <c r="I159" s="9" t="n"/>
      <c r="J159" s="9" t="n"/>
      <c r="M159">
        <f>IF(H159="","",IF(J159&lt;&gt;"",J159-H159,TODAY()-H159))</f>
        <v/>
      </c>
    </row>
    <row r="160">
      <c r="H160" s="9" t="n"/>
      <c r="I160" s="9" t="n"/>
      <c r="J160" s="9" t="n"/>
      <c r="M160">
        <f>IF(H160="","",IF(J160&lt;&gt;"",J160-H160,TODAY()-H160))</f>
        <v/>
      </c>
    </row>
    <row r="161">
      <c r="H161" s="9" t="n"/>
      <c r="I161" s="9" t="n"/>
      <c r="J161" s="9" t="n"/>
      <c r="M161">
        <f>IF(H161="","",IF(J161&lt;&gt;"",J161-H161,TODAY()-H161))</f>
        <v/>
      </c>
    </row>
    <row r="162">
      <c r="H162" s="9" t="n"/>
      <c r="I162" s="9" t="n"/>
      <c r="J162" s="9" t="n"/>
      <c r="M162">
        <f>IF(H162="","",IF(J162&lt;&gt;"",J162-H162,TODAY()-H162))</f>
        <v/>
      </c>
    </row>
    <row r="163">
      <c r="H163" s="9" t="n"/>
      <c r="I163" s="9" t="n"/>
      <c r="J163" s="9" t="n"/>
      <c r="M163">
        <f>IF(H163="","",IF(J163&lt;&gt;"",J163-H163,TODAY()-H163))</f>
        <v/>
      </c>
    </row>
    <row r="164">
      <c r="H164" s="9" t="n"/>
      <c r="I164" s="9" t="n"/>
      <c r="J164" s="9" t="n"/>
      <c r="M164">
        <f>IF(H164="","",IF(J164&lt;&gt;"",J164-H164,TODAY()-H164))</f>
        <v/>
      </c>
    </row>
    <row r="165">
      <c r="H165" s="9" t="n"/>
      <c r="I165" s="9" t="n"/>
      <c r="J165" s="9" t="n"/>
      <c r="M165">
        <f>IF(H165="","",IF(J165&lt;&gt;"",J165-H165,TODAY()-H165))</f>
        <v/>
      </c>
    </row>
    <row r="166">
      <c r="H166" s="9" t="n"/>
      <c r="I166" s="9" t="n"/>
      <c r="J166" s="9" t="n"/>
      <c r="M166">
        <f>IF(H166="","",IF(J166&lt;&gt;"",J166-H166,TODAY()-H166))</f>
        <v/>
      </c>
    </row>
    <row r="167">
      <c r="H167" s="9" t="n"/>
      <c r="I167" s="9" t="n"/>
      <c r="J167" s="9" t="n"/>
      <c r="M167">
        <f>IF(H167="","",IF(J167&lt;&gt;"",J167-H167,TODAY()-H167))</f>
        <v/>
      </c>
    </row>
    <row r="168">
      <c r="H168" s="9" t="n"/>
      <c r="I168" s="9" t="n"/>
      <c r="J168" s="9" t="n"/>
      <c r="M168">
        <f>IF(H168="","",IF(J168&lt;&gt;"",J168-H168,TODAY()-H168))</f>
        <v/>
      </c>
    </row>
    <row r="169">
      <c r="H169" s="9" t="n"/>
      <c r="I169" s="9" t="n"/>
      <c r="J169" s="9" t="n"/>
      <c r="M169">
        <f>IF(H169="","",IF(J169&lt;&gt;"",J169-H169,TODAY()-H169))</f>
        <v/>
      </c>
    </row>
    <row r="170">
      <c r="H170" s="9" t="n"/>
      <c r="I170" s="9" t="n"/>
      <c r="J170" s="9" t="n"/>
      <c r="M170">
        <f>IF(H170="","",IF(J170&lt;&gt;"",J170-H170,TODAY()-H170))</f>
        <v/>
      </c>
    </row>
    <row r="171">
      <c r="H171" s="9" t="n"/>
      <c r="I171" s="9" t="n"/>
      <c r="J171" s="9" t="n"/>
      <c r="M171">
        <f>IF(H171="","",IF(J171&lt;&gt;"",J171-H171,TODAY()-H171))</f>
        <v/>
      </c>
    </row>
    <row r="172">
      <c r="H172" s="9" t="n"/>
      <c r="I172" s="9" t="n"/>
      <c r="J172" s="9" t="n"/>
      <c r="M172">
        <f>IF(H172="","",IF(J172&lt;&gt;"",J172-H172,TODAY()-H172))</f>
        <v/>
      </c>
    </row>
    <row r="173">
      <c r="H173" s="9" t="n"/>
      <c r="I173" s="9" t="n"/>
      <c r="J173" s="9" t="n"/>
      <c r="M173">
        <f>IF(H173="","",IF(J173&lt;&gt;"",J173-H173,TODAY()-H173))</f>
        <v/>
      </c>
    </row>
    <row r="174">
      <c r="H174" s="9" t="n"/>
      <c r="I174" s="9" t="n"/>
      <c r="J174" s="9" t="n"/>
      <c r="M174">
        <f>IF(H174="","",IF(J174&lt;&gt;"",J174-H174,TODAY()-H174))</f>
        <v/>
      </c>
    </row>
    <row r="175">
      <c r="H175" s="9" t="n"/>
      <c r="I175" s="9" t="n"/>
      <c r="J175" s="9" t="n"/>
      <c r="M175">
        <f>IF(H175="","",IF(J175&lt;&gt;"",J175-H175,TODAY()-H175))</f>
        <v/>
      </c>
    </row>
    <row r="176">
      <c r="H176" s="9" t="n"/>
      <c r="I176" s="9" t="n"/>
      <c r="J176" s="9" t="n"/>
      <c r="M176">
        <f>IF(H176="","",IF(J176&lt;&gt;"",J176-H176,TODAY()-H176))</f>
        <v/>
      </c>
    </row>
    <row r="177">
      <c r="H177" s="9" t="n"/>
      <c r="I177" s="9" t="n"/>
      <c r="J177" s="9" t="n"/>
      <c r="M177">
        <f>IF(H177="","",IF(J177&lt;&gt;"",J177-H177,TODAY()-H177))</f>
        <v/>
      </c>
    </row>
    <row r="178">
      <c r="H178" s="9" t="n"/>
      <c r="I178" s="9" t="n"/>
      <c r="J178" s="9" t="n"/>
      <c r="M178">
        <f>IF(H178="","",IF(J178&lt;&gt;"",J178-H178,TODAY()-H178))</f>
        <v/>
      </c>
    </row>
    <row r="179">
      <c r="H179" s="9" t="n"/>
      <c r="I179" s="9" t="n"/>
      <c r="J179" s="9" t="n"/>
      <c r="M179">
        <f>IF(H179="","",IF(J179&lt;&gt;"",J179-H179,TODAY()-H179))</f>
        <v/>
      </c>
    </row>
    <row r="180">
      <c r="H180" s="9" t="n"/>
      <c r="I180" s="9" t="n"/>
      <c r="J180" s="9" t="n"/>
      <c r="M180">
        <f>IF(H180="","",IF(J180&lt;&gt;"",J180-H180,TODAY()-H180))</f>
        <v/>
      </c>
    </row>
    <row r="181">
      <c r="H181" s="9" t="n"/>
      <c r="I181" s="9" t="n"/>
      <c r="J181" s="9" t="n"/>
      <c r="M181">
        <f>IF(H181="","",IF(J181&lt;&gt;"",J181-H181,TODAY()-H181))</f>
        <v/>
      </c>
    </row>
    <row r="182">
      <c r="H182" s="9" t="n"/>
      <c r="I182" s="9" t="n"/>
      <c r="J182" s="9" t="n"/>
      <c r="M182">
        <f>IF(H182="","",IF(J182&lt;&gt;"",J182-H182,TODAY()-H182))</f>
        <v/>
      </c>
    </row>
    <row r="183">
      <c r="H183" s="9" t="n"/>
      <c r="I183" s="9" t="n"/>
      <c r="J183" s="9" t="n"/>
      <c r="M183">
        <f>IF(H183="","",IF(J183&lt;&gt;"",J183-H183,TODAY()-H183))</f>
        <v/>
      </c>
    </row>
    <row r="184">
      <c r="H184" s="9" t="n"/>
      <c r="I184" s="9" t="n"/>
      <c r="J184" s="9" t="n"/>
      <c r="M184">
        <f>IF(H184="","",IF(J184&lt;&gt;"",J184-H184,TODAY()-H184))</f>
        <v/>
      </c>
    </row>
    <row r="185">
      <c r="H185" s="9" t="n"/>
      <c r="I185" s="9" t="n"/>
      <c r="J185" s="9" t="n"/>
      <c r="M185">
        <f>IF(H185="","",IF(J185&lt;&gt;"",J185-H185,TODAY()-H185))</f>
        <v/>
      </c>
    </row>
    <row r="186">
      <c r="H186" s="9" t="n"/>
      <c r="I186" s="9" t="n"/>
      <c r="J186" s="9" t="n"/>
      <c r="M186">
        <f>IF(H186="","",IF(J186&lt;&gt;"",J186-H186,TODAY()-H186))</f>
        <v/>
      </c>
    </row>
    <row r="187">
      <c r="H187" s="9" t="n"/>
      <c r="I187" s="9" t="n"/>
      <c r="J187" s="9" t="n"/>
      <c r="M187">
        <f>IF(H187="","",IF(J187&lt;&gt;"",J187-H187,TODAY()-H187))</f>
        <v/>
      </c>
    </row>
    <row r="188">
      <c r="H188" s="9" t="n"/>
      <c r="I188" s="9" t="n"/>
      <c r="J188" s="9" t="n"/>
      <c r="M188">
        <f>IF(H188="","",IF(J188&lt;&gt;"",J188-H188,TODAY()-H188))</f>
        <v/>
      </c>
    </row>
    <row r="189">
      <c r="H189" s="9" t="n"/>
      <c r="I189" s="9" t="n"/>
      <c r="J189" s="9" t="n"/>
      <c r="M189">
        <f>IF(H189="","",IF(J189&lt;&gt;"",J189-H189,TODAY()-H189))</f>
        <v/>
      </c>
    </row>
    <row r="190">
      <c r="H190" s="9" t="n"/>
      <c r="I190" s="9" t="n"/>
      <c r="J190" s="9" t="n"/>
      <c r="M190">
        <f>IF(H190="","",IF(J190&lt;&gt;"",J190-H190,TODAY()-H190))</f>
        <v/>
      </c>
    </row>
    <row r="191">
      <c r="H191" s="9" t="n"/>
      <c r="I191" s="9" t="n"/>
      <c r="J191" s="9" t="n"/>
      <c r="M191">
        <f>IF(H191="","",IF(J191&lt;&gt;"",J191-H191,TODAY()-H191))</f>
        <v/>
      </c>
    </row>
    <row r="192">
      <c r="H192" s="9" t="n"/>
      <c r="I192" s="9" t="n"/>
      <c r="J192" s="9" t="n"/>
      <c r="M192">
        <f>IF(H192="","",IF(J192&lt;&gt;"",J192-H192,TODAY()-H192))</f>
        <v/>
      </c>
    </row>
    <row r="193">
      <c r="H193" s="9" t="n"/>
      <c r="I193" s="9" t="n"/>
      <c r="J193" s="9" t="n"/>
      <c r="M193">
        <f>IF(H193="","",IF(J193&lt;&gt;"",J193-H193,TODAY()-H193))</f>
        <v/>
      </c>
    </row>
    <row r="194">
      <c r="H194" s="9" t="n"/>
      <c r="I194" s="9" t="n"/>
      <c r="J194" s="9" t="n"/>
      <c r="M194">
        <f>IF(H194="","",IF(J194&lt;&gt;"",J194-H194,TODAY()-H194))</f>
        <v/>
      </c>
    </row>
    <row r="195">
      <c r="H195" s="9" t="n"/>
      <c r="I195" s="9" t="n"/>
      <c r="J195" s="9" t="n"/>
      <c r="M195">
        <f>IF(H195="","",IF(J195&lt;&gt;"",J195-H195,TODAY()-H195))</f>
        <v/>
      </c>
    </row>
    <row r="196">
      <c r="H196" s="9" t="n"/>
      <c r="I196" s="9" t="n"/>
      <c r="J196" s="9" t="n"/>
      <c r="M196">
        <f>IF(H196="","",IF(J196&lt;&gt;"",J196-H196,TODAY()-H196))</f>
        <v/>
      </c>
    </row>
    <row r="197">
      <c r="H197" s="9" t="n"/>
      <c r="I197" s="9" t="n"/>
      <c r="J197" s="9" t="n"/>
      <c r="M197">
        <f>IF(H197="","",IF(J197&lt;&gt;"",J197-H197,TODAY()-H197))</f>
        <v/>
      </c>
    </row>
    <row r="198">
      <c r="H198" s="9" t="n"/>
      <c r="I198" s="9" t="n"/>
      <c r="J198" s="9" t="n"/>
      <c r="M198">
        <f>IF(H198="","",IF(J198&lt;&gt;"",J198-H198,TODAY()-H198))</f>
        <v/>
      </c>
    </row>
    <row r="199">
      <c r="H199" s="9" t="n"/>
      <c r="I199" s="9" t="n"/>
      <c r="J199" s="9" t="n"/>
      <c r="M199">
        <f>IF(H199="","",IF(J199&lt;&gt;"",J199-H199,TODAY()-H199))</f>
        <v/>
      </c>
    </row>
    <row r="200">
      <c r="H200" s="9" t="n"/>
      <c r="I200" s="9" t="n"/>
      <c r="J200" s="9" t="n"/>
      <c r="M200">
        <f>IF(H200="","",IF(J200&lt;&gt;"",J200-H200,TODAY()-H200))</f>
        <v/>
      </c>
    </row>
    <row r="201">
      <c r="H201" s="9" t="n"/>
      <c r="I201" s="9" t="n"/>
      <c r="J201" s="9" t="n"/>
      <c r="M201">
        <f>IF(H201="","",IF(J201&lt;&gt;"",J201-H201,TODAY()-H201))</f>
        <v/>
      </c>
    </row>
    <row r="202">
      <c r="H202" s="9" t="n"/>
      <c r="I202" s="9" t="n"/>
      <c r="J202" s="9" t="n"/>
      <c r="M202">
        <f>IF(H202="","",IF(J202&lt;&gt;"",J202-H202,TODAY()-H202))</f>
        <v/>
      </c>
    </row>
    <row r="203">
      <c r="H203" s="9" t="n"/>
      <c r="I203" s="9" t="n"/>
      <c r="J203" s="9" t="n"/>
      <c r="M203">
        <f>IF(H203="","",IF(J203&lt;&gt;"",J203-H203,TODAY()-H203))</f>
        <v/>
      </c>
    </row>
    <row r="204">
      <c r="H204" s="9" t="n"/>
      <c r="I204" s="9" t="n"/>
      <c r="J204" s="9" t="n"/>
      <c r="M204">
        <f>IF(H204="","",IF(J204&lt;&gt;"",J204-H204,TODAY()-H204))</f>
        <v/>
      </c>
    </row>
    <row r="205">
      <c r="H205" s="9" t="n"/>
      <c r="I205" s="9" t="n"/>
      <c r="J205" s="9" t="n"/>
      <c r="M205">
        <f>IF(H205="","",IF(J205&lt;&gt;"",J205-H205,TODAY()-H205))</f>
        <v/>
      </c>
    </row>
    <row r="206">
      <c r="H206" s="9" t="n"/>
      <c r="I206" s="9" t="n"/>
      <c r="J206" s="9" t="n"/>
      <c r="M206">
        <f>IF(H206="","",IF(J206&lt;&gt;"",J206-H206,TODAY()-H206))</f>
        <v/>
      </c>
    </row>
    <row r="207">
      <c r="H207" s="9" t="n"/>
      <c r="I207" s="9" t="n"/>
      <c r="J207" s="9" t="n"/>
      <c r="M207">
        <f>IF(H207="","",IF(J207&lt;&gt;"",J207-H207,TODAY()-H207))</f>
        <v/>
      </c>
    </row>
    <row r="208">
      <c r="H208" s="9" t="n"/>
      <c r="I208" s="9" t="n"/>
      <c r="J208" s="9" t="n"/>
      <c r="M208">
        <f>IF(H208="","",IF(J208&lt;&gt;"",J208-H208,TODAY()-H208))</f>
        <v/>
      </c>
    </row>
    <row r="209">
      <c r="H209" s="9" t="n"/>
      <c r="I209" s="9" t="n"/>
      <c r="J209" s="9" t="n"/>
      <c r="M209">
        <f>IF(H209="","",IF(J209&lt;&gt;"",J209-H209,TODAY()-H209))</f>
        <v/>
      </c>
    </row>
    <row r="210">
      <c r="H210" s="9" t="n"/>
      <c r="I210" s="9" t="n"/>
      <c r="J210" s="9" t="n"/>
      <c r="M210">
        <f>IF(H210="","",IF(J210&lt;&gt;"",J210-H210,TODAY()-H210))</f>
        <v/>
      </c>
    </row>
    <row r="211">
      <c r="H211" s="9" t="n"/>
      <c r="I211" s="9" t="n"/>
      <c r="J211" s="9" t="n"/>
      <c r="M211">
        <f>IF(H211="","",IF(J211&lt;&gt;"",J211-H211,TODAY()-H211))</f>
        <v/>
      </c>
    </row>
    <row r="212">
      <c r="H212" s="9" t="n"/>
      <c r="I212" s="9" t="n"/>
      <c r="J212" s="9" t="n"/>
      <c r="M212">
        <f>IF(H212="","",IF(J212&lt;&gt;"",J212-H212,TODAY()-H212))</f>
        <v/>
      </c>
    </row>
    <row r="213">
      <c r="H213" s="9" t="n"/>
      <c r="I213" s="9" t="n"/>
      <c r="J213" s="9" t="n"/>
      <c r="M213">
        <f>IF(H213="","",IF(J213&lt;&gt;"",J213-H213,TODAY()-H213))</f>
        <v/>
      </c>
    </row>
    <row r="214">
      <c r="H214" s="9" t="n"/>
      <c r="I214" s="9" t="n"/>
      <c r="J214" s="9" t="n"/>
      <c r="M214">
        <f>IF(H214="","",IF(J214&lt;&gt;"",J214-H214,TODAY()-H214))</f>
        <v/>
      </c>
    </row>
    <row r="215">
      <c r="H215" s="9" t="n"/>
      <c r="I215" s="9" t="n"/>
      <c r="J215" s="9" t="n"/>
      <c r="M215">
        <f>IF(H215="","",IF(J215&lt;&gt;"",J215-H215,TODAY()-H215))</f>
        <v/>
      </c>
    </row>
    <row r="216">
      <c r="H216" s="9" t="n"/>
      <c r="I216" s="9" t="n"/>
      <c r="J216" s="9" t="n"/>
      <c r="M216">
        <f>IF(H216="","",IF(J216&lt;&gt;"",J216-H216,TODAY()-H216))</f>
        <v/>
      </c>
    </row>
    <row r="217">
      <c r="H217" s="9" t="n"/>
      <c r="I217" s="9" t="n"/>
      <c r="J217" s="9" t="n"/>
      <c r="M217">
        <f>IF(H217="","",IF(J217&lt;&gt;"",J217-H217,TODAY()-H217))</f>
        <v/>
      </c>
    </row>
    <row r="218">
      <c r="H218" s="9" t="n"/>
      <c r="I218" s="9" t="n"/>
      <c r="J218" s="9" t="n"/>
      <c r="M218">
        <f>IF(H218="","",IF(J218&lt;&gt;"",J218-H218,TODAY()-H218))</f>
        <v/>
      </c>
    </row>
    <row r="219">
      <c r="H219" s="9" t="n"/>
      <c r="I219" s="9" t="n"/>
      <c r="J219" s="9" t="n"/>
      <c r="M219">
        <f>IF(H219="","",IF(J219&lt;&gt;"",J219-H219,TODAY()-H219))</f>
        <v/>
      </c>
    </row>
    <row r="220">
      <c r="H220" s="9" t="n"/>
      <c r="I220" s="9" t="n"/>
      <c r="J220" s="9" t="n"/>
      <c r="M220">
        <f>IF(H220="","",IF(J220&lt;&gt;"",J220-H220,TODAY()-H220))</f>
        <v/>
      </c>
    </row>
    <row r="221">
      <c r="H221" s="9" t="n"/>
      <c r="I221" s="9" t="n"/>
      <c r="J221" s="9" t="n"/>
      <c r="M221">
        <f>IF(H221="","",IF(J221&lt;&gt;"",J221-H221,TODAY()-H221))</f>
        <v/>
      </c>
    </row>
    <row r="222">
      <c r="H222" s="9" t="n"/>
      <c r="I222" s="9" t="n"/>
      <c r="J222" s="9" t="n"/>
      <c r="M222">
        <f>IF(H222="","",IF(J222&lt;&gt;"",J222-H222,TODAY()-H222))</f>
        <v/>
      </c>
    </row>
    <row r="223">
      <c r="H223" s="9" t="n"/>
      <c r="I223" s="9" t="n"/>
      <c r="J223" s="9" t="n"/>
      <c r="M223">
        <f>IF(H223="","",IF(J223&lt;&gt;"",J223-H223,TODAY()-H223))</f>
        <v/>
      </c>
    </row>
    <row r="224">
      <c r="H224" s="9" t="n"/>
      <c r="I224" s="9" t="n"/>
      <c r="J224" s="9" t="n"/>
      <c r="M224">
        <f>IF(H224="","",IF(J224&lt;&gt;"",J224-H224,TODAY()-H224))</f>
        <v/>
      </c>
    </row>
    <row r="225">
      <c r="H225" s="9" t="n"/>
      <c r="I225" s="9" t="n"/>
      <c r="J225" s="9" t="n"/>
      <c r="M225">
        <f>IF(H225="","",IF(J225&lt;&gt;"",J225-H225,TODAY()-H225))</f>
        <v/>
      </c>
    </row>
    <row r="226">
      <c r="H226" s="9" t="n"/>
      <c r="I226" s="9" t="n"/>
      <c r="J226" s="9" t="n"/>
      <c r="M226">
        <f>IF(H226="","",IF(J226&lt;&gt;"",J226-H226,TODAY()-H226))</f>
        <v/>
      </c>
    </row>
    <row r="227">
      <c r="H227" s="9" t="n"/>
      <c r="I227" s="9" t="n"/>
      <c r="J227" s="9" t="n"/>
      <c r="M227">
        <f>IF(H227="","",IF(J227&lt;&gt;"",J227-H227,TODAY()-H227))</f>
        <v/>
      </c>
    </row>
    <row r="228">
      <c r="H228" s="9" t="n"/>
      <c r="I228" s="9" t="n"/>
      <c r="J228" s="9" t="n"/>
      <c r="M228">
        <f>IF(H228="","",IF(J228&lt;&gt;"",J228-H228,TODAY()-H228))</f>
        <v/>
      </c>
    </row>
    <row r="229">
      <c r="H229" s="9" t="n"/>
      <c r="I229" s="9" t="n"/>
      <c r="J229" s="9" t="n"/>
      <c r="M229">
        <f>IF(H229="","",IF(J229&lt;&gt;"",J229-H229,TODAY()-H229))</f>
        <v/>
      </c>
    </row>
    <row r="230">
      <c r="H230" s="9" t="n"/>
      <c r="I230" s="9" t="n"/>
      <c r="J230" s="9" t="n"/>
      <c r="M230">
        <f>IF(H230="","",IF(J230&lt;&gt;"",J230-H230,TODAY()-H230))</f>
        <v/>
      </c>
    </row>
    <row r="231">
      <c r="H231" s="9" t="n"/>
      <c r="I231" s="9" t="n"/>
      <c r="J231" s="9" t="n"/>
      <c r="M231">
        <f>IF(H231="","",IF(J231&lt;&gt;"",J231-H231,TODAY()-H231))</f>
        <v/>
      </c>
    </row>
    <row r="232">
      <c r="H232" s="9" t="n"/>
      <c r="I232" s="9" t="n"/>
      <c r="J232" s="9" t="n"/>
      <c r="M232">
        <f>IF(H232="","",IF(J232&lt;&gt;"",J232-H232,TODAY()-H232))</f>
        <v/>
      </c>
    </row>
    <row r="233">
      <c r="H233" s="9" t="n"/>
      <c r="I233" s="9" t="n"/>
      <c r="J233" s="9" t="n"/>
      <c r="M233">
        <f>IF(H233="","",IF(J233&lt;&gt;"",J233-H233,TODAY()-H233))</f>
        <v/>
      </c>
    </row>
    <row r="234">
      <c r="H234" s="9" t="n"/>
      <c r="I234" s="9" t="n"/>
      <c r="J234" s="9" t="n"/>
      <c r="M234">
        <f>IF(H234="","",IF(J234&lt;&gt;"",J234-H234,TODAY()-H234))</f>
        <v/>
      </c>
    </row>
    <row r="235">
      <c r="H235" s="9" t="n"/>
      <c r="I235" s="9" t="n"/>
      <c r="J235" s="9" t="n"/>
      <c r="M235">
        <f>IF(H235="","",IF(J235&lt;&gt;"",J235-H235,TODAY()-H235))</f>
        <v/>
      </c>
    </row>
    <row r="236">
      <c r="H236" s="9" t="n"/>
      <c r="I236" s="9" t="n"/>
      <c r="J236" s="9" t="n"/>
      <c r="M236">
        <f>IF(H236="","",IF(J236&lt;&gt;"",J236-H236,TODAY()-H236))</f>
        <v/>
      </c>
    </row>
    <row r="237">
      <c r="H237" s="9" t="n"/>
      <c r="I237" s="9" t="n"/>
      <c r="J237" s="9" t="n"/>
      <c r="M237">
        <f>IF(H237="","",IF(J237&lt;&gt;"",J237-H237,TODAY()-H237))</f>
        <v/>
      </c>
    </row>
    <row r="238">
      <c r="H238" s="9" t="n"/>
      <c r="I238" s="9" t="n"/>
      <c r="J238" s="9" t="n"/>
      <c r="M238">
        <f>IF(H238="","",IF(J238&lt;&gt;"",J238-H238,TODAY()-H238))</f>
        <v/>
      </c>
    </row>
    <row r="239">
      <c r="H239" s="9" t="n"/>
      <c r="I239" s="9" t="n"/>
      <c r="J239" s="9" t="n"/>
      <c r="M239">
        <f>IF(H239="","",IF(J239&lt;&gt;"",J239-H239,TODAY()-H239))</f>
        <v/>
      </c>
    </row>
    <row r="240">
      <c r="H240" s="9" t="n"/>
      <c r="I240" s="9" t="n"/>
      <c r="J240" s="9" t="n"/>
      <c r="M240">
        <f>IF(H240="","",IF(J240&lt;&gt;"",J240-H240,TODAY()-H240))</f>
        <v/>
      </c>
    </row>
    <row r="241">
      <c r="H241" s="9" t="n"/>
      <c r="I241" s="9" t="n"/>
      <c r="J241" s="9" t="n"/>
      <c r="M241">
        <f>IF(H241="","",IF(J241&lt;&gt;"",J241-H241,TODAY()-H241))</f>
        <v/>
      </c>
    </row>
    <row r="242">
      <c r="H242" s="9" t="n"/>
      <c r="I242" s="9" t="n"/>
      <c r="J242" s="9" t="n"/>
      <c r="M242">
        <f>IF(H242="","",IF(J242&lt;&gt;"",J242-H242,TODAY()-H242))</f>
        <v/>
      </c>
    </row>
    <row r="243">
      <c r="H243" s="9" t="n"/>
      <c r="I243" s="9" t="n"/>
      <c r="J243" s="9" t="n"/>
      <c r="M243">
        <f>IF(H243="","",IF(J243&lt;&gt;"",J243-H243,TODAY()-H243))</f>
        <v/>
      </c>
    </row>
    <row r="244">
      <c r="H244" s="9" t="n"/>
      <c r="I244" s="9" t="n"/>
      <c r="J244" s="9" t="n"/>
      <c r="M244">
        <f>IF(H244="","",IF(J244&lt;&gt;"",J244-H244,TODAY()-H244))</f>
        <v/>
      </c>
    </row>
    <row r="245">
      <c r="H245" s="9" t="n"/>
      <c r="I245" s="9" t="n"/>
      <c r="J245" s="9" t="n"/>
      <c r="M245">
        <f>IF(H245="","",IF(J245&lt;&gt;"",J245-H245,TODAY()-H245))</f>
        <v/>
      </c>
    </row>
    <row r="246">
      <c r="H246" s="9" t="n"/>
      <c r="I246" s="9" t="n"/>
      <c r="J246" s="9" t="n"/>
      <c r="M246">
        <f>IF(H246="","",IF(J246&lt;&gt;"",J246-H246,TODAY()-H246))</f>
        <v/>
      </c>
    </row>
    <row r="247">
      <c r="H247" s="9" t="n"/>
      <c r="I247" s="9" t="n"/>
      <c r="J247" s="9" t="n"/>
      <c r="M247">
        <f>IF(H247="","",IF(J247&lt;&gt;"",J247-H247,TODAY()-H247))</f>
        <v/>
      </c>
    </row>
    <row r="248">
      <c r="H248" s="9" t="n"/>
      <c r="I248" s="9" t="n"/>
      <c r="J248" s="9" t="n"/>
      <c r="M248">
        <f>IF(H248="","",IF(J248&lt;&gt;"",J248-H248,TODAY()-H248))</f>
        <v/>
      </c>
    </row>
    <row r="249">
      <c r="H249" s="9" t="n"/>
      <c r="I249" s="9" t="n"/>
      <c r="J249" s="9" t="n"/>
      <c r="M249">
        <f>IF(H249="","",IF(J249&lt;&gt;"",J249-H249,TODAY()-H249))</f>
        <v/>
      </c>
    </row>
    <row r="250">
      <c r="H250" s="9" t="n"/>
      <c r="I250" s="9" t="n"/>
      <c r="J250" s="9" t="n"/>
      <c r="M250">
        <f>IF(H250="","",IF(J250&lt;&gt;"",J250-H250,TODAY()-H250))</f>
        <v/>
      </c>
    </row>
    <row r="251">
      <c r="H251" s="9" t="n"/>
      <c r="I251" s="9" t="n"/>
      <c r="J251" s="9" t="n"/>
      <c r="M251">
        <f>IF(H251="","",IF(J251&lt;&gt;"",J251-H251,TODAY()-H251))</f>
        <v/>
      </c>
    </row>
    <row r="252">
      <c r="H252" s="9" t="n"/>
      <c r="I252" s="9" t="n"/>
      <c r="J252" s="9" t="n"/>
      <c r="M252">
        <f>IF(H252="","",IF(J252&lt;&gt;"",J252-H252,TODAY()-H252))</f>
        <v/>
      </c>
    </row>
    <row r="253">
      <c r="H253" s="9" t="n"/>
      <c r="I253" s="9" t="n"/>
      <c r="J253" s="9" t="n"/>
      <c r="M253">
        <f>IF(H253="","",IF(J253&lt;&gt;"",J253-H253,TODAY()-H253))</f>
        <v/>
      </c>
    </row>
    <row r="254">
      <c r="H254" s="9" t="n"/>
      <c r="I254" s="9" t="n"/>
      <c r="J254" s="9" t="n"/>
      <c r="M254">
        <f>IF(H254="","",IF(J254&lt;&gt;"",J254-H254,TODAY()-H254))</f>
        <v/>
      </c>
    </row>
    <row r="255">
      <c r="H255" s="9" t="n"/>
      <c r="I255" s="9" t="n"/>
      <c r="J255" s="9" t="n"/>
      <c r="M255">
        <f>IF(H255="","",IF(J255&lt;&gt;"",J255-H255,TODAY()-H255))</f>
        <v/>
      </c>
    </row>
    <row r="256">
      <c r="H256" s="9" t="n"/>
      <c r="I256" s="9" t="n"/>
      <c r="J256" s="9" t="n"/>
      <c r="M256">
        <f>IF(H256="","",IF(J256&lt;&gt;"",J256-H256,TODAY()-H256))</f>
        <v/>
      </c>
    </row>
    <row r="257">
      <c r="H257" s="9" t="n"/>
      <c r="I257" s="9" t="n"/>
      <c r="J257" s="9" t="n"/>
      <c r="M257">
        <f>IF(H257="","",IF(J257&lt;&gt;"",J257-H257,TODAY()-H257))</f>
        <v/>
      </c>
    </row>
    <row r="258">
      <c r="H258" s="9" t="n"/>
      <c r="I258" s="9" t="n"/>
      <c r="J258" s="9" t="n"/>
      <c r="M258">
        <f>IF(H258="","",IF(J258&lt;&gt;"",J258-H258,TODAY()-H258))</f>
        <v/>
      </c>
    </row>
    <row r="259">
      <c r="H259" s="9" t="n"/>
      <c r="I259" s="9" t="n"/>
      <c r="J259" s="9" t="n"/>
      <c r="M259">
        <f>IF(H259="","",IF(J259&lt;&gt;"",J259-H259,TODAY()-H259))</f>
        <v/>
      </c>
    </row>
    <row r="260">
      <c r="H260" s="9" t="n"/>
      <c r="I260" s="9" t="n"/>
      <c r="J260" s="9" t="n"/>
      <c r="M260">
        <f>IF(H260="","",IF(J260&lt;&gt;"",J260-H260,TODAY()-H260))</f>
        <v/>
      </c>
    </row>
    <row r="261">
      <c r="H261" s="9" t="n"/>
      <c r="I261" s="9" t="n"/>
      <c r="J261" s="9" t="n"/>
      <c r="M261">
        <f>IF(H261="","",IF(J261&lt;&gt;"",J261-H261,TODAY()-H261))</f>
        <v/>
      </c>
    </row>
    <row r="262">
      <c r="H262" s="9" t="n"/>
      <c r="I262" s="9" t="n"/>
      <c r="J262" s="9" t="n"/>
      <c r="M262">
        <f>IF(H262="","",IF(J262&lt;&gt;"",J262-H262,TODAY()-H262))</f>
        <v/>
      </c>
    </row>
    <row r="263">
      <c r="H263" s="9" t="n"/>
      <c r="I263" s="9" t="n"/>
      <c r="J263" s="9" t="n"/>
      <c r="M263">
        <f>IF(H263="","",IF(J263&lt;&gt;"",J263-H263,TODAY()-H263))</f>
        <v/>
      </c>
    </row>
    <row r="264">
      <c r="H264" s="9" t="n"/>
      <c r="I264" s="9" t="n"/>
      <c r="J264" s="9" t="n"/>
      <c r="M264">
        <f>IF(H264="","",IF(J264&lt;&gt;"",J264-H264,TODAY()-H264))</f>
        <v/>
      </c>
    </row>
    <row r="265">
      <c r="H265" s="9" t="n"/>
      <c r="I265" s="9" t="n"/>
      <c r="J265" s="9" t="n"/>
      <c r="M265">
        <f>IF(H265="","",IF(J265&lt;&gt;"",J265-H265,TODAY()-H265))</f>
        <v/>
      </c>
    </row>
    <row r="266">
      <c r="H266" s="9" t="n"/>
      <c r="I266" s="9" t="n"/>
      <c r="J266" s="9" t="n"/>
      <c r="M266">
        <f>IF(H266="","",IF(J266&lt;&gt;"",J266-H266,TODAY()-H266))</f>
        <v/>
      </c>
    </row>
    <row r="267">
      <c r="H267" s="9" t="n"/>
      <c r="I267" s="9" t="n"/>
      <c r="J267" s="9" t="n"/>
      <c r="M267">
        <f>IF(H267="","",IF(J267&lt;&gt;"",J267-H267,TODAY()-H267))</f>
        <v/>
      </c>
    </row>
    <row r="268">
      <c r="H268" s="9" t="n"/>
      <c r="I268" s="9" t="n"/>
      <c r="J268" s="9" t="n"/>
      <c r="M268">
        <f>IF(H268="","",IF(J268&lt;&gt;"",J268-H268,TODAY()-H268))</f>
        <v/>
      </c>
    </row>
    <row r="269">
      <c r="H269" s="9" t="n"/>
      <c r="I269" s="9" t="n"/>
      <c r="J269" s="9" t="n"/>
      <c r="M269">
        <f>IF(H269="","",IF(J269&lt;&gt;"",J269-H269,TODAY()-H269))</f>
        <v/>
      </c>
    </row>
    <row r="270">
      <c r="H270" s="9" t="n"/>
      <c r="I270" s="9" t="n"/>
      <c r="J270" s="9" t="n"/>
      <c r="M270">
        <f>IF(H270="","",IF(J270&lt;&gt;"",J270-H270,TODAY()-H270))</f>
        <v/>
      </c>
    </row>
    <row r="271">
      <c r="H271" s="9" t="n"/>
      <c r="I271" s="9" t="n"/>
      <c r="J271" s="9" t="n"/>
      <c r="M271">
        <f>IF(H271="","",IF(J271&lt;&gt;"",J271-H271,TODAY()-H271))</f>
        <v/>
      </c>
    </row>
    <row r="272">
      <c r="H272" s="9" t="n"/>
      <c r="I272" s="9" t="n"/>
      <c r="J272" s="9" t="n"/>
      <c r="M272">
        <f>IF(H272="","",IF(J272&lt;&gt;"",J272-H272,TODAY()-H272))</f>
        <v/>
      </c>
    </row>
    <row r="273">
      <c r="H273" s="9" t="n"/>
      <c r="I273" s="9" t="n"/>
      <c r="J273" s="9" t="n"/>
      <c r="M273">
        <f>IF(H273="","",IF(J273&lt;&gt;"",J273-H273,TODAY()-H273))</f>
        <v/>
      </c>
    </row>
    <row r="274">
      <c r="H274" s="9" t="n"/>
      <c r="I274" s="9" t="n"/>
      <c r="J274" s="9" t="n"/>
      <c r="M274">
        <f>IF(H274="","",IF(J274&lt;&gt;"",J274-H274,TODAY()-H274))</f>
        <v/>
      </c>
    </row>
    <row r="275">
      <c r="H275" s="9" t="n"/>
      <c r="I275" s="9" t="n"/>
      <c r="J275" s="9" t="n"/>
      <c r="M275">
        <f>IF(H275="","",IF(J275&lt;&gt;"",J275-H275,TODAY()-H275))</f>
        <v/>
      </c>
    </row>
    <row r="276">
      <c r="H276" s="9" t="n"/>
      <c r="I276" s="9" t="n"/>
      <c r="J276" s="9" t="n"/>
      <c r="M276">
        <f>IF(H276="","",IF(J276&lt;&gt;"",J276-H276,TODAY()-H276))</f>
        <v/>
      </c>
    </row>
    <row r="277">
      <c r="H277" s="9" t="n"/>
      <c r="I277" s="9" t="n"/>
      <c r="J277" s="9" t="n"/>
      <c r="M277">
        <f>IF(H277="","",IF(J277&lt;&gt;"",J277-H277,TODAY()-H277))</f>
        <v/>
      </c>
    </row>
    <row r="278">
      <c r="H278" s="9" t="n"/>
      <c r="I278" s="9" t="n"/>
      <c r="J278" s="9" t="n"/>
      <c r="M278">
        <f>IF(H278="","",IF(J278&lt;&gt;"",J278-H278,TODAY()-H278))</f>
        <v/>
      </c>
    </row>
    <row r="279">
      <c r="H279" s="9" t="n"/>
      <c r="I279" s="9" t="n"/>
      <c r="J279" s="9" t="n"/>
      <c r="M279">
        <f>IF(H279="","",IF(J279&lt;&gt;"",J279-H279,TODAY()-H279))</f>
        <v/>
      </c>
    </row>
    <row r="280">
      <c r="H280" s="9" t="n"/>
      <c r="I280" s="9" t="n"/>
      <c r="J280" s="9" t="n"/>
      <c r="M280">
        <f>IF(H280="","",IF(J280&lt;&gt;"",J280-H280,TODAY()-H280))</f>
        <v/>
      </c>
    </row>
    <row r="281">
      <c r="H281" s="9" t="n"/>
      <c r="I281" s="9" t="n"/>
      <c r="J281" s="9" t="n"/>
      <c r="M281">
        <f>IF(H281="","",IF(J281&lt;&gt;"",J281-H281,TODAY()-H281))</f>
        <v/>
      </c>
    </row>
    <row r="282">
      <c r="H282" s="9" t="n"/>
      <c r="I282" s="9" t="n"/>
      <c r="J282" s="9" t="n"/>
      <c r="M282">
        <f>IF(H282="","",IF(J282&lt;&gt;"",J282-H282,TODAY()-H282))</f>
        <v/>
      </c>
    </row>
    <row r="283">
      <c r="H283" s="9" t="n"/>
      <c r="I283" s="9" t="n"/>
      <c r="J283" s="9" t="n"/>
      <c r="M283">
        <f>IF(H283="","",IF(J283&lt;&gt;"",J283-H283,TODAY()-H283))</f>
        <v/>
      </c>
    </row>
    <row r="284">
      <c r="H284" s="9" t="n"/>
      <c r="I284" s="9" t="n"/>
      <c r="J284" s="9" t="n"/>
      <c r="M284">
        <f>IF(H284="","",IF(J284&lt;&gt;"",J284-H284,TODAY()-H284))</f>
        <v/>
      </c>
    </row>
    <row r="285">
      <c r="H285" s="9" t="n"/>
      <c r="I285" s="9" t="n"/>
      <c r="J285" s="9" t="n"/>
      <c r="M285">
        <f>IF(H285="","",IF(J285&lt;&gt;"",J285-H285,TODAY()-H285))</f>
        <v/>
      </c>
    </row>
    <row r="286">
      <c r="H286" s="9" t="n"/>
      <c r="I286" s="9" t="n"/>
      <c r="J286" s="9" t="n"/>
      <c r="M286">
        <f>IF(H286="","",IF(J286&lt;&gt;"",J286-H286,TODAY()-H286))</f>
        <v/>
      </c>
    </row>
    <row r="287">
      <c r="H287" s="9" t="n"/>
      <c r="I287" s="9" t="n"/>
      <c r="J287" s="9" t="n"/>
      <c r="M287">
        <f>IF(H287="","",IF(J287&lt;&gt;"",J287-H287,TODAY()-H287))</f>
        <v/>
      </c>
    </row>
    <row r="288">
      <c r="H288" s="9" t="n"/>
      <c r="I288" s="9" t="n"/>
      <c r="J288" s="9" t="n"/>
      <c r="M288">
        <f>IF(H288="","",IF(J288&lt;&gt;"",J288-H288,TODAY()-H288))</f>
        <v/>
      </c>
    </row>
    <row r="289">
      <c r="H289" s="9" t="n"/>
      <c r="I289" s="9" t="n"/>
      <c r="J289" s="9" t="n"/>
      <c r="M289">
        <f>IF(H289="","",IF(J289&lt;&gt;"",J289-H289,TODAY()-H289))</f>
        <v/>
      </c>
    </row>
    <row r="290">
      <c r="H290" s="9" t="n"/>
      <c r="I290" s="9" t="n"/>
      <c r="J290" s="9" t="n"/>
      <c r="M290">
        <f>IF(H290="","",IF(J290&lt;&gt;"",J290-H290,TODAY()-H290))</f>
        <v/>
      </c>
    </row>
    <row r="291">
      <c r="H291" s="9" t="n"/>
      <c r="I291" s="9" t="n"/>
      <c r="J291" s="9" t="n"/>
      <c r="M291">
        <f>IF(H291="","",IF(J291&lt;&gt;"",J291-H291,TODAY()-H291))</f>
        <v/>
      </c>
    </row>
    <row r="292">
      <c r="H292" s="9" t="n"/>
      <c r="I292" s="9" t="n"/>
      <c r="J292" s="9" t="n"/>
      <c r="M292">
        <f>IF(H292="","",IF(J292&lt;&gt;"",J292-H292,TODAY()-H292))</f>
        <v/>
      </c>
    </row>
    <row r="293">
      <c r="H293" s="9" t="n"/>
      <c r="I293" s="9" t="n"/>
      <c r="J293" s="9" t="n"/>
      <c r="M293">
        <f>IF(H293="","",IF(J293&lt;&gt;"",J293-H293,TODAY()-H293))</f>
        <v/>
      </c>
    </row>
    <row r="294">
      <c r="H294" s="9" t="n"/>
      <c r="I294" s="9" t="n"/>
      <c r="J294" s="9" t="n"/>
      <c r="M294">
        <f>IF(H294="","",IF(J294&lt;&gt;"",J294-H294,TODAY()-H294))</f>
        <v/>
      </c>
    </row>
    <row r="295">
      <c r="H295" s="9" t="n"/>
      <c r="I295" s="9" t="n"/>
      <c r="J295" s="9" t="n"/>
      <c r="M295">
        <f>IF(H295="","",IF(J295&lt;&gt;"",J295-H295,TODAY()-H295))</f>
        <v/>
      </c>
    </row>
    <row r="296">
      <c r="H296" s="9" t="n"/>
      <c r="I296" s="9" t="n"/>
      <c r="J296" s="9" t="n"/>
      <c r="M296">
        <f>IF(H296="","",IF(J296&lt;&gt;"",J296-H296,TODAY()-H296))</f>
        <v/>
      </c>
    </row>
    <row r="297">
      <c r="H297" s="9" t="n"/>
      <c r="I297" s="9" t="n"/>
      <c r="J297" s="9" t="n"/>
      <c r="M297">
        <f>IF(H297="","",IF(J297&lt;&gt;"",J297-H297,TODAY()-H297))</f>
        <v/>
      </c>
    </row>
    <row r="298">
      <c r="H298" s="9" t="n"/>
      <c r="I298" s="9" t="n"/>
      <c r="J298" s="9" t="n"/>
      <c r="M298">
        <f>IF(H298="","",IF(J298&lt;&gt;"",J298-H298,TODAY()-H298))</f>
        <v/>
      </c>
    </row>
    <row r="299">
      <c r="H299" s="9" t="n"/>
      <c r="I299" s="9" t="n"/>
      <c r="J299" s="9" t="n"/>
      <c r="M299">
        <f>IF(H299="","",IF(J299&lt;&gt;"",J299-H299,TODAY()-H299))</f>
        <v/>
      </c>
    </row>
    <row r="300">
      <c r="H300" s="9" t="n"/>
      <c r="I300" s="9" t="n"/>
      <c r="J300" s="9" t="n"/>
      <c r="M300">
        <f>IF(H300="","",IF(J300&lt;&gt;"",J300-H300,TODAY()-H300))</f>
        <v/>
      </c>
    </row>
    <row r="301">
      <c r="H301" s="9" t="n"/>
      <c r="I301" s="9" t="n"/>
      <c r="J301" s="9" t="n"/>
      <c r="M301">
        <f>IF(H301="","",IF(J301&lt;&gt;"",J301-H301,TODAY()-H301))</f>
        <v/>
      </c>
    </row>
  </sheetData>
  <dataValidations count="2">
    <dataValidation sqref="F2:F301" showDropDown="0" showInputMessage="0" showErrorMessage="0" allowBlank="1" type="list">
      <formula1>LISTS!$D$2:$D$5</formula1>
    </dataValidation>
    <dataValidation sqref="K2:K301" showDropDown="0" showInputMessage="0" showErrorMessage="0" allowBlank="1" type="list">
      <formula1>LISTS!$E$2:$E$5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Y/N</t>
        </is>
      </c>
      <c r="C1" t="inlineStr">
        <is>
          <t>GSTIN status</t>
        </is>
      </c>
      <c r="D1" t="inlineStr">
        <is>
          <t>Escalation level</t>
        </is>
      </c>
      <c r="E1" t="inlineStr">
        <is>
          <t>Escalation status</t>
        </is>
      </c>
    </row>
    <row r="2">
      <c r="A2" t="inlineStr">
        <is>
          <t>Fashion &amp; Lifestyle</t>
        </is>
      </c>
      <c r="B2" t="inlineStr">
        <is>
          <t>Y</t>
        </is>
      </c>
      <c r="C2" t="inlineStr">
        <is>
          <t>Active (verified)</t>
        </is>
      </c>
      <c r="D2" t="inlineStr">
        <is>
          <t>L1 Onboarding lead</t>
        </is>
      </c>
      <c r="E2" t="inlineStr">
        <is>
          <t>Open</t>
        </is>
      </c>
    </row>
    <row r="3">
      <c r="A3" t="inlineStr">
        <is>
          <t>Space &amp; Design</t>
        </is>
      </c>
      <c r="B3" t="inlineStr">
        <is>
          <t>N</t>
        </is>
      </c>
      <c r="C3" t="inlineStr">
        <is>
          <t>Not registered</t>
        </is>
      </c>
      <c r="D3" t="inlineStr">
        <is>
          <t>L2 Founder</t>
        </is>
      </c>
      <c r="E3" t="inlineStr">
        <is>
          <t>Waiting on professional</t>
        </is>
      </c>
    </row>
    <row r="4">
      <c r="A4" t="inlineStr">
        <is>
          <t>Digital &amp; Visual Arts</t>
        </is>
      </c>
      <c r="C4" t="inlineStr">
        <is>
          <t>Applied / pending</t>
        </is>
      </c>
      <c r="D4" t="inlineStr">
        <is>
          <t>L3 Engineering</t>
        </is>
      </c>
      <c r="E4" t="inlineStr">
        <is>
          <t>Resolved</t>
        </is>
      </c>
    </row>
    <row r="5">
      <c r="A5" t="inlineStr">
        <is>
          <t>Beauty &amp; Makeup</t>
        </is>
      </c>
      <c r="C5" t="inlineStr">
        <is>
          <t>Unknown</t>
        </is>
      </c>
      <c r="D5" t="inlineStr">
        <is>
          <t>Legal team (Q-REVIEWER)</t>
        </is>
      </c>
      <c r="E5" t="inlineStr">
        <is>
          <t>Closed — not resolvable</t>
        </is>
      </c>
    </row>
    <row r="6">
      <c r="A6" t="inlineStr">
        <is>
          <t>Lens &amp; Motion</t>
        </is>
      </c>
    </row>
    <row r="7">
      <c r="A7" t="inlineStr">
        <is>
          <t>Content &amp;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2026-10-09T04:32:06Z</dcterms:created>
  <dcterms:modified xmlns:dcterms="http://purl.org/dc/terms/" xmlns:xsi="http://www.w3.org/2001/XMLSchema-instance" xsi:type="dcterms:W3CDTF">2026-10-09T04:32:06Z</dcterms:modified>
</cp:coreProperties>
</file>
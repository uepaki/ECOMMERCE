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" sheetId="2" state="visible" r:id="rId2"/>
    <sheet xmlns:r="http://schemas.openxmlformats.org/officeDocument/2006/relationships" name="STAGE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FUNNEL_LIVE" sheetId="5" state="visible" r:id="rId5"/>
  </sheets>
  <definedNames>
    <definedName name="_xlnm._FilterDatabase" localSheetId="1" hidden="1">'LIST'!$A$1:$AX$26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3B4A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9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Uepaki — First 25 Acquisition List (Wave 0: controlled pilot)</t>
        </is>
      </c>
    </row>
    <row r="3">
      <c r="A3" s="2" t="inlineStr">
        <is>
          <t>Purpose: a controlled pilot to learn which message, CTA and route work — NOT a registration push. Success = learning + first activated founding professionals.</t>
        </is>
      </c>
    </row>
    <row r="4">
      <c r="A4" s="2" t="inlineStr">
        <is>
          <t>Composition: 25 contact-ready P0 professionals in Delhi NCR and Mumbai across all six categories, 2–6 per category, spread across 17 segments; tier mix weighted to independents (A/B); no tier D/E.</t>
        </is>
      </c>
    </row>
    <row r="5">
      <c r="A5" s="2" t="inlineStr">
        <is>
          <t>Sequencing: send in 5 daily batches of 5 (one per category where possible), founder-signed, each message individually written from the "Why selected" and "Lead angle" columns. Follow-up: one value-adding follow-up on day 4–5, one final note on day 10–12, then stop.</t>
        </is>
      </c>
    </row>
    <row r="6">
      <c r="A6" s="2" t="inlineStr">
        <is>
          <t>Experiment E01: alternate rows within each category receive message M-A (craft/identity-led) or M-B (business-infrastructure-led). Keep everything else constant. Read the result only as directional (n≈12 per arm).</t>
        </is>
      </c>
    </row>
    <row r="7">
      <c r="A7" s="2" t="inlineStr">
        <is>
          <t>Pre-conditions before sending: (1) founder decides what founding-programme wording may be used 1:1 (see OS report §2 decision FP-OUT); (2) a working registration path and the ₹1 + GST disclosure; (3) one person owns the reply inbox within 24h.</t>
        </is>
      </c>
    </row>
    <row r="8">
      <c r="A8" s="2" t="inlineStr"/>
    </row>
    <row r="9">
      <c r="A9" s="2" t="inlineStr">
        <is>
          <t>Source: UEPAKI_PRELAUNCH_PROFESSIONAL_DATABASE_V2.xlsx, sheet 01_MASTER_V2 (V2.1 canonical master, research date 2026-10-08, 3,584 records). The source file is not modified.</t>
        </is>
      </c>
    </row>
    <row r="10">
      <c r="A10" s="2" t="inlineStr">
        <is>
          <t>This list holds NO phone numbers, emails or WhatsApp links. Look up the verified business route in the master by Prospect ID at the moment of outreach, and re-check it is still published.</t>
        </is>
      </c>
    </row>
    <row r="11">
      <c r="A11" s="2" t="inlineStr">
        <is>
          <t>CONTACTABLE ≠ CONSENT. No record has marketing or WhatsApp opt-in. First contact is 1:1, human-written, professional, and stops on the first "no". Bulk WhatsApp/AiSensy only after a recorded opt-in.</t>
        </is>
      </c>
    </row>
    <row r="12">
      <c r="A12" s="2" t="inlineStr">
        <is>
          <t>Acq Priority (OS) is the operating priority defined in UEPAKI_SELLER_ACQUISITION_OPERATING_SYSTEM (§6). It replaces the inflated DB priority for outreach sequencing; the DB priority is shown alongside for reference.</t>
        </is>
      </c>
    </row>
    <row r="13">
      <c r="A13" s="2" t="inlineStr">
        <is>
          <t>Readiness (ARS) = Acquisition Readiness Score, 0–100: commercial activity 20, recency 15, join likelihood 15, contactability 15, seeking clients 10, marketplace affinity 10, quality 10, category fit 5; minus penalties for low evidence, open verification flags and unknown city. Fame, follower count and tier are NOT inputs.</t>
        </is>
      </c>
    </row>
    <row r="14">
      <c r="A14" s="2" t="inlineStr">
        <is>
          <t>Founding Candidate Score = 0.5 × ARS + 0.3 × Founding Potential (DB) + 0.2 × Network Potential (DB) (+2 if evidence High, +2 if activity ≤3 months).</t>
        </is>
      </c>
    </row>
    <row r="15">
      <c r="A15" s="2" t="inlineStr">
        <is>
          <t>Messaging rules (non-negotiable): no promise of reach, ranking, visibility, leads, orders, bookings or income; never "free to join" (registration carries ₹1 + GST on web — founder decision SUB-01); founding-programme terms only as cleared by the founder (FP-2–FP-10 open; public use not cleared); referral rewards not offered (referral launch deferred, E4); planned features only as "Planned: … Not available yet." and only those the founder lists (RD-1a open); never claim anyone has joined unless they have and consented to be named.</t>
        </is>
      </c>
    </row>
    <row r="16">
      <c r="A16" s="2" t="inlineStr">
        <is>
          <t>Tracker columns (green headers) are for the outreach team. Stage uses the funnel in UEPAKI_ACQUISITION_FUNNEL_AND_KPI_FRAMEWORK.md.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13" customWidth="1" min="3" max="3"/>
    <col width="28" customWidth="1" min="4" max="4"/>
    <col width="18" customWidth="1" min="5" max="5"/>
    <col width="22" customWidth="1" min="6" max="6"/>
    <col width="20" customWidth="1" min="7" max="7"/>
    <col width="28" customWidth="1" min="8" max="8"/>
    <col width="12" customWidth="1" min="9" max="9"/>
    <col width="22" customWidth="1" min="10" max="10"/>
    <col width="2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34" customWidth="1" min="20" max="20"/>
    <col width="36" customWidth="1" min="21" max="21"/>
    <col width="40" customWidth="1" min="22" max="22"/>
    <col width="44" customWidth="1" min="23" max="23"/>
    <col width="34" customWidth="1" min="24" max="24"/>
    <col width="60" customWidth="1" min="25" max="25"/>
    <col width="60" customWidth="1" min="26" max="26"/>
    <col width="44" customWidth="1" min="27" max="27"/>
    <col width="40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</cols>
  <sheetData>
    <row r="1" ht="42" customHeight="1">
      <c r="A1" s="3" t="inlineStr">
        <is>
          <t>Rank</t>
        </is>
      </c>
      <c r="B1" s="3" t="inlineStr">
        <is>
          <t>Wave</t>
        </is>
      </c>
      <c r="C1" s="3" t="inlineStr">
        <is>
          <t>Prospect ID</t>
        </is>
      </c>
      <c r="D1" s="3" t="inlineStr">
        <is>
          <t>Name</t>
        </is>
      </c>
      <c r="E1" s="3" t="inlineStr">
        <is>
          <t>Category</t>
        </is>
      </c>
      <c r="F1" s="3" t="inlineStr">
        <is>
          <t>Segment</t>
        </is>
      </c>
      <c r="G1" s="3" t="inlineStr">
        <is>
          <t>Ecosystem Pod</t>
        </is>
      </c>
      <c r="H1" s="3" t="inlineStr">
        <is>
          <t>Subcategory</t>
        </is>
      </c>
      <c r="I1" s="3" t="inlineStr">
        <is>
          <t>City</t>
        </is>
      </c>
      <c r="J1" s="3" t="inlineStr">
        <is>
          <t>Tier</t>
        </is>
      </c>
      <c r="K1" s="3" t="inlineStr">
        <is>
          <t>Business Type</t>
        </is>
      </c>
      <c r="L1" s="3" t="inlineStr">
        <is>
          <t>Acq Priority (OS)</t>
        </is>
      </c>
      <c r="M1" s="3" t="inlineStr">
        <is>
          <t>Source Priority (DB)</t>
        </is>
      </c>
      <c r="N1" s="3" t="inlineStr">
        <is>
          <t>Readiness (ARS)</t>
        </is>
      </c>
      <c r="O1" s="3" t="inlineStr">
        <is>
          <t>ARS pctl in category</t>
        </is>
      </c>
      <c r="P1" s="3" t="inlineStr">
        <is>
          <t>Founding Candidate Score</t>
        </is>
      </c>
      <c r="Q1" s="3" t="inlineStr">
        <is>
          <t>Founding Potential (DB)</t>
        </is>
      </c>
      <c r="R1" s="3" t="inlineStr">
        <is>
          <t>Network Potential (DB)</t>
        </is>
      </c>
      <c r="S1" s="3" t="inlineStr">
        <is>
          <t>Contact Class</t>
        </is>
      </c>
      <c r="T1" s="3" t="inlineStr">
        <is>
          <t>Recommended First Channel</t>
        </is>
      </c>
      <c r="U1" s="3" t="inlineStr">
        <is>
          <t>Public route reference (no personal data)</t>
        </is>
      </c>
      <c r="V1" s="3" t="inlineStr">
        <is>
          <t>Recent activity (DB)</t>
        </is>
      </c>
      <c r="W1" s="3" t="inlineStr">
        <is>
          <t>Commercial signal (DB)</t>
        </is>
      </c>
      <c r="X1" s="3" t="inlineStr">
        <is>
          <t>Platform association (DB)</t>
        </is>
      </c>
      <c r="Y1" s="3" t="inlineStr">
        <is>
          <t>Why selected</t>
        </is>
      </c>
      <c r="Z1" s="3" t="inlineStr">
        <is>
          <t>Lead angle</t>
        </is>
      </c>
      <c r="AA1" s="3" t="inlineStr">
        <is>
          <t>Likely objection (DB)</t>
        </is>
      </c>
      <c r="AB1" s="3" t="inlineStr">
        <is>
          <t>Category objection themes</t>
        </is>
      </c>
      <c r="AC1" s="3" t="inlineStr">
        <is>
          <t>Experiment cell</t>
        </is>
      </c>
      <c r="AD1" s="4" t="inlineStr">
        <is>
          <t>Owner</t>
        </is>
      </c>
      <c r="AE1" s="4" t="inlineStr">
        <is>
          <t>Stage</t>
        </is>
      </c>
      <c r="AF1" s="4" t="inlineStr">
        <is>
          <t>Date first contact</t>
        </is>
      </c>
      <c r="AG1" s="4" t="inlineStr">
        <is>
          <t>Channel used</t>
        </is>
      </c>
      <c r="AH1" s="4" t="inlineStr">
        <is>
          <t>Message variant sent</t>
        </is>
      </c>
      <c r="AI1" s="4" t="inlineStr">
        <is>
          <t>Follow-up 1 date</t>
        </is>
      </c>
      <c r="AJ1" s="4" t="inlineStr">
        <is>
          <t>Follow-up 2 date</t>
        </is>
      </c>
      <c r="AK1" s="4" t="inlineStr">
        <is>
          <t>Replied (Y/N)</t>
        </is>
      </c>
      <c r="AL1" s="4" t="inlineStr">
        <is>
          <t>Reply date</t>
        </is>
      </c>
      <c r="AM1" s="4" t="inlineStr">
        <is>
          <t>Outcome</t>
        </is>
      </c>
      <c r="AN1" s="4" t="inlineStr">
        <is>
          <t>Info requested (Y/N)</t>
        </is>
      </c>
      <c r="AO1" s="4" t="inlineStr">
        <is>
          <t>Registration started</t>
        </is>
      </c>
      <c r="AP1" s="4" t="inlineStr">
        <is>
          <t>Registration completed</t>
        </is>
      </c>
      <c r="AQ1" s="4" t="inlineStr">
        <is>
          <t>Approved (KYC)</t>
        </is>
      </c>
      <c r="AR1" s="4" t="inlineStr">
        <is>
          <t>Profile completed</t>
        </is>
      </c>
      <c r="AS1" s="4" t="inlineStr">
        <is>
          <t>First listing date</t>
        </is>
      </c>
      <c r="AT1" s="4" t="inlineStr">
        <is>
          <t>Activated (Y/N)</t>
        </is>
      </c>
      <c r="AU1" s="4" t="inlineStr">
        <is>
          <t>First enquiry/order/booking date</t>
        </is>
      </c>
      <c r="AV1" s="4" t="inlineStr">
        <is>
          <t>WhatsApp opt-in recorded (Y/N, date, method)</t>
        </is>
      </c>
      <c r="AW1" s="4" t="inlineStr">
        <is>
          <t>Do-not-contact (Y/N)</t>
        </is>
      </c>
      <c r="AX1" s="4" t="inlineStr">
        <is>
          <t>Notes</t>
        </is>
      </c>
    </row>
    <row r="2">
      <c r="A2" s="2" t="n">
        <v>1</v>
      </c>
      <c r="B2" s="2" t="inlineStr">
        <is>
          <t>Wave 0 — Controlled pilot</t>
        </is>
      </c>
      <c r="C2" s="2" t="inlineStr">
        <is>
          <t>UPK2-BM-163</t>
        </is>
      </c>
      <c r="D2" s="2" t="inlineStr">
        <is>
          <t>Arun Mehandi</t>
        </is>
      </c>
      <c r="E2" s="2" t="inlineStr">
        <is>
          <t>Beauty &amp; Makeup</t>
        </is>
      </c>
      <c r="F2" s="2" t="inlineStr">
        <is>
          <t>BM-MEHENDI</t>
        </is>
      </c>
      <c r="G2" s="2" t="inlineStr">
        <is>
          <t>Wedding &amp; Occasion</t>
        </is>
      </c>
      <c r="H2" s="2" t="inlineStr">
        <is>
          <t>Mehendi Artist</t>
        </is>
      </c>
      <c r="I2" s="2" t="inlineStr">
        <is>
          <t>Mumbai</t>
        </is>
      </c>
      <c r="J2" s="2" t="inlineStr">
        <is>
          <t>C — Strong Mid-tier</t>
        </is>
      </c>
      <c r="K2" s="2" t="inlineStr">
        <is>
          <t>Independent mehendi artist</t>
        </is>
      </c>
      <c r="L2" s="2" t="inlineStr">
        <is>
          <t>P0</t>
        </is>
      </c>
      <c r="M2" s="2" t="inlineStr">
        <is>
          <t>P1</t>
        </is>
      </c>
      <c r="N2" s="2" t="n">
        <v>86.5</v>
      </c>
      <c r="O2" s="2" t="n">
        <v>100</v>
      </c>
      <c r="P2" s="2" t="n">
        <v>80.09999999999999</v>
      </c>
      <c r="Q2" s="2" t="n">
        <v>88</v>
      </c>
      <c r="R2" s="2" t="n">
        <v>52</v>
      </c>
      <c r="S2" s="2" t="inlineStr">
        <is>
          <t>C1-DIRECT-VERIFIED</t>
        </is>
      </c>
      <c r="T2" s="2" t="inlineStr">
        <is>
          <t>Personal 1:1 email from founder/team to published business email</t>
        </is>
      </c>
      <c r="U2" s="2" t="inlineStr">
        <is>
          <t>https://arunmehandi.com/</t>
        </is>
      </c>
      <c r="V2" s="2" t="inlineStr">
        <is>
          <t>2026-03 — latest client review on WedMeGood profile</t>
        </is>
      </c>
      <c r="W2" s="2" t="inlineStr">
        <is>
          <t>210 client reviews on WedMeGood (rating 4.9); starting price Rs 4,000;</t>
        </is>
      </c>
      <c r="X2" s="2" t="inlineStr">
        <is>
          <t>WedMeGood (Vendor profile (Mehendi Artists, Handpicked membership, on WMG 8 years))</t>
        </is>
      </c>
      <c r="Y2" s="2" t="inlineStr">
        <is>
          <t>Readiness 86 (top 1% in category) | Commercial: 210 client reviews on WedMeGood (rating 4.9); starting price Rs 4,000; | Active: 2026-03 — latest client review on WedMeGood profile</t>
        </is>
      </c>
      <c r="Z2" s="2" t="inlineStr">
        <is>
          <t>Lead with a specific design style. Ask how bookings arrive today. Service/booking availability at launch is being confirmed (EV-09).</t>
        </is>
      </c>
      <c r="AA2" s="2" t="inlineStr">
        <is>
          <t>Bookings already come via WedMeGood, Instagram and WhatsApp referrals</t>
        </is>
      </c>
      <c r="AB2" s="2" t="inlineStr">
        <is>
          <t>Bookings already via wedding portals/Instagram; off-platform client contact (SP-4a open); peak-season time</t>
        </is>
      </c>
      <c r="AC2" s="2" t="inlineStr">
        <is>
          <t>E01-M-A Craft-led</t>
        </is>
      </c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</row>
    <row r="3">
      <c r="A3" s="2" t="n">
        <v>2</v>
      </c>
      <c r="B3" s="2" t="inlineStr">
        <is>
          <t>Wave 0 — Controlled pilot</t>
        </is>
      </c>
      <c r="C3" s="2" t="inlineStr">
        <is>
          <t>UPK2-BM-178</t>
        </is>
      </c>
      <c r="D3" s="2" t="inlineStr">
        <is>
          <t>Himani Bhandula Makeup Artist</t>
        </is>
      </c>
      <c r="E3" s="2" t="inlineStr">
        <is>
          <t>Beauty &amp; Makeup</t>
        </is>
      </c>
      <c r="F3" s="2" t="inlineStr">
        <is>
          <t>BM-INDEPENDENT-MUA</t>
        </is>
      </c>
      <c r="G3" s="2" t="inlineStr">
        <is>
          <t>Wedding &amp; Occasion</t>
        </is>
      </c>
      <c r="H3" s="2" t="inlineStr">
        <is>
          <t>Bridal &amp; party makeup artist</t>
        </is>
      </c>
      <c r="I3" s="2" t="inlineStr">
        <is>
          <t>Delhi NCR</t>
        </is>
      </c>
      <c r="J3" s="2" t="inlineStr">
        <is>
          <t>B — Established Independent</t>
        </is>
      </c>
      <c r="K3" s="2" t="inlineStr">
        <is>
          <t>Independent makeup artist</t>
        </is>
      </c>
      <c r="L3" s="2" t="inlineStr">
        <is>
          <t>P0</t>
        </is>
      </c>
      <c r="M3" s="2" t="inlineStr">
        <is>
          <t>P0</t>
        </is>
      </c>
      <c r="N3" s="2" t="n">
        <v>82.3</v>
      </c>
      <c r="O3" s="2" t="n">
        <v>100</v>
      </c>
      <c r="P3" s="2" t="n">
        <v>71.2</v>
      </c>
      <c r="Q3" s="2" t="n">
        <v>77</v>
      </c>
      <c r="R3" s="2" t="n">
        <v>35</v>
      </c>
      <c r="S3" s="2" t="inlineStr">
        <is>
          <t>C1-DIRECT-VERIFIED</t>
        </is>
      </c>
      <c r="T3" s="2" t="inlineStr">
        <is>
          <t>1:1 message via own-website contact form</t>
        </is>
      </c>
      <c r="U3" s="2" t="inlineStr">
        <is>
          <t>https://himanibhandula.com/contact/</t>
        </is>
      </c>
      <c r="V3" s="2" t="inlineStr">
        <is>
          <t>2026-09 — latest client review on WedMeGood profile</t>
        </is>
      </c>
      <c r="W3" s="2" t="inlineStr">
        <is>
          <t>40 client reviews on WedMeGood (rating 5); 8 of latest 10 shown reviews dated 2025–26; starting price ₹18,000 per function listed</t>
        </is>
      </c>
      <c r="X3" s="2" t="inlineStr">
        <is>
          <t>WedMeGood (Vendor profile with client reviews); Own website (First-party site)</t>
        </is>
      </c>
      <c r="Y3" s="2" t="inlineStr">
        <is>
          <t>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  <c r="Z3" s="2" t="inlineStr">
        <is>
          <t>Lead with their bridal portfolio. Ask how bookings arrive today. Be explicit that service/booking availability at launch is being confirmed (EV-09).</t>
        </is>
      </c>
      <c r="AA3" s="2" t="inlineStr">
        <is>
          <t>Bookings already arrive via WedMeGood/Instagram; may see limited need for another platform</t>
        </is>
      </c>
      <c r="AB3" s="2" t="inlineStr">
        <is>
          <t>Bookings already via wedding portals/Instagram; off-platform client contact (SP-4a open); peak-season time</t>
        </is>
      </c>
      <c r="AC3" s="2" t="inlineStr">
        <is>
          <t>E01-M-B Business-infrastructure-led</t>
        </is>
      </c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</row>
    <row r="4">
      <c r="A4" s="2" t="n">
        <v>3</v>
      </c>
      <c r="B4" s="2" t="inlineStr">
        <is>
          <t>Wave 0 — Controlled pilot</t>
        </is>
      </c>
      <c r="C4" s="2" t="inlineStr">
        <is>
          <t>UPK2-BM-208</t>
        </is>
      </c>
      <c r="D4" s="2" t="inlineStr">
        <is>
          <t>Roopali Talwar Makeup Artist</t>
        </is>
      </c>
      <c r="E4" s="2" t="inlineStr">
        <is>
          <t>Beauty &amp; Makeup</t>
        </is>
      </c>
      <c r="F4" s="2" t="inlineStr">
        <is>
          <t>BM-INDEPENDENT-MUA</t>
        </is>
      </c>
      <c r="G4" s="2" t="inlineStr">
        <is>
          <t>Wedding &amp; Occasion</t>
        </is>
      </c>
      <c r="H4" s="2" t="inlineStr">
        <is>
          <t>Bridal &amp; party makeup artist</t>
        </is>
      </c>
      <c r="I4" s="2" t="inlineStr">
        <is>
          <t>Delhi NCR</t>
        </is>
      </c>
      <c r="J4" s="2" t="inlineStr">
        <is>
          <t>B — Established Independent</t>
        </is>
      </c>
      <c r="K4" s="2" t="inlineStr">
        <is>
          <t>Independent makeup artist</t>
        </is>
      </c>
      <c r="L4" s="2" t="inlineStr">
        <is>
          <t>P0</t>
        </is>
      </c>
      <c r="M4" s="2" t="inlineStr">
        <is>
          <t>P0</t>
        </is>
      </c>
      <c r="N4" s="2" t="n">
        <v>79.8</v>
      </c>
      <c r="O4" s="2" t="n">
        <v>99</v>
      </c>
      <c r="P4" s="2" t="n">
        <v>71</v>
      </c>
      <c r="Q4" s="2" t="n">
        <v>77</v>
      </c>
      <c r="R4" s="2" t="n">
        <v>40</v>
      </c>
      <c r="S4" s="2" t="inlineStr">
        <is>
          <t>C1-DIRECT-VERIFIED</t>
        </is>
      </c>
      <c r="T4" s="2" t="inlineStr">
        <is>
          <t>1:1 message via own-website contact form</t>
        </is>
      </c>
      <c r="U4" s="2" t="inlineStr">
        <is>
          <t>https://roopalitalwar.com/</t>
        </is>
      </c>
      <c r="V4" s="2" t="inlineStr">
        <is>
          <t>2026-01 — latest client review on WedMeGood profile</t>
        </is>
      </c>
      <c r="W4" s="2" t="inlineStr">
        <is>
          <t>62 client reviews on WedMeGood (rating 5); 2 of latest 10 shown reviews dated 2025–26; starting price ₹45,000 per function listed</t>
        </is>
      </c>
      <c r="X4" s="2" t="inlineStr">
        <is>
          <t>WedMeGood (Vendor profile with client reviews); Own website (First-party site)</t>
        </is>
      </c>
      <c r="Y4" s="2" t="inlineStr">
        <is>
          <t>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  <c r="Z4" s="2" t="inlineStr">
        <is>
          <t>Lead with their bridal portfolio. Ask how bookings arrive today. Be explicit that service/booking availability at launch is being confirmed (EV-09).</t>
        </is>
      </c>
      <c r="AA4" s="2" t="inlineStr">
        <is>
          <t>Bookings already arrive via WedMeGood/Instagram; may see limited need for another platform</t>
        </is>
      </c>
      <c r="AB4" s="2" t="inlineStr">
        <is>
          <t>Bookings already via wedding portals/Instagram; off-platform client contact (SP-4a open); peak-season time</t>
        </is>
      </c>
      <c r="AC4" s="2" t="inlineStr">
        <is>
          <t>E01-M-A Craft-led</t>
        </is>
      </c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</row>
    <row r="5">
      <c r="A5" s="2" t="n">
        <v>4</v>
      </c>
      <c r="B5" s="2" t="inlineStr">
        <is>
          <t>Wave 0 — Controlled pilot</t>
        </is>
      </c>
      <c r="C5" s="2" t="inlineStr">
        <is>
          <t>UPK2-BM-004</t>
        </is>
      </c>
      <c r="D5" s="2" t="inlineStr">
        <is>
          <t>MG Makeovers</t>
        </is>
      </c>
      <c r="E5" s="2" t="inlineStr">
        <is>
          <t>Beauty &amp; Makeup</t>
        </is>
      </c>
      <c r="F5" s="2" t="inlineStr">
        <is>
          <t>BM-STUDIO</t>
        </is>
      </c>
      <c r="G5" s="2" t="inlineStr">
        <is>
          <t>Wedding &amp; Occasion</t>
        </is>
      </c>
      <c r="H5" s="2" t="inlineStr">
        <is>
          <t>Bridal Makeup Artist &amp; Studio Salon</t>
        </is>
      </c>
      <c r="I5" s="2" t="inlineStr">
        <is>
          <t>Delhi NCR</t>
        </is>
      </c>
      <c r="J5" s="2" t="inlineStr">
        <is>
          <t>C — Strong Mid-tier</t>
        </is>
      </c>
      <c r="K5" s="2" t="inlineStr">
        <is>
          <t>Studio salon</t>
        </is>
      </c>
      <c r="L5" s="2" t="inlineStr">
        <is>
          <t>P0</t>
        </is>
      </c>
      <c r="M5" s="2" t="inlineStr">
        <is>
          <t>P1</t>
        </is>
      </c>
      <c r="N5" s="2" t="n">
        <v>76</v>
      </c>
      <c r="O5" s="2" t="n">
        <v>98</v>
      </c>
      <c r="P5" s="2" t="n">
        <v>67.2</v>
      </c>
      <c r="Q5" s="2" t="n">
        <v>74</v>
      </c>
      <c r="R5" s="2" t="n">
        <v>35</v>
      </c>
      <c r="S5" s="2" t="inlineStr">
        <is>
          <t>C1-DIRECT-VERIFIED</t>
        </is>
      </c>
      <c r="T5" s="2" t="inlineStr">
        <is>
          <t>Personal 1:1 email from founder/team to published business email</t>
        </is>
      </c>
      <c r="U5" s="2" t="inlineStr">
        <is>
          <t>https://www.mgmakeovers.com/contact-us</t>
        </is>
      </c>
      <c r="V5" s="2" t="inlineStr">
        <is>
          <t>2026 — site copyright 2026</t>
        </is>
      </c>
      <c r="W5" s="2" t="inlineStr">
        <is>
          <t>Gurgaon studio; HD ₹20,000 / airbrush ₹25,000 listed; online booking with WhatsApp confirmation; nail/lash studio</t>
        </is>
      </c>
      <c r="X5" s="2" t="inlineStr">
        <is>
          <t>Own website (First-party site)</t>
        </is>
      </c>
      <c r="Y5" s="2" t="inlineStr">
        <is>
          <t>Readiness 76 (top 3% in category) | Commercial: Gurgaon studio; HD ₹20,000 / airbrush ₹25,000 listed; online booking with WhatsApp confir… | Active: 2026 — site copyright 2026</t>
        </is>
      </c>
      <c r="Z5" s="2" t="inlineStr">
        <is>
          <t>Lead with the studio's body of work and team. Ask how bookings arrive today. Service/booking availability at launch is being confirmed (EV-09).</t>
        </is>
      </c>
      <c r="AA5" s="2" t="inlineStr">
        <is>
          <t>Salon operations focus</t>
        </is>
      </c>
      <c r="AB5" s="2" t="inlineStr">
        <is>
          <t>Bookings already via wedding portals/Instagram; off-platform client contact (SP-4a open); peak-season time</t>
        </is>
      </c>
      <c r="AC5" s="2" t="inlineStr">
        <is>
          <t>E01-M-B Business-infrastructure-led</t>
        </is>
      </c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</row>
    <row r="6">
      <c r="A6" s="2" t="n">
        <v>5</v>
      </c>
      <c r="B6" s="2" t="inlineStr">
        <is>
          <t>Wave 0 — Controlled pilot</t>
        </is>
      </c>
      <c r="C6" s="2" t="inlineStr">
        <is>
          <t>UPK2-BM-394</t>
        </is>
      </c>
      <c r="D6" s="2" t="inlineStr">
        <is>
          <t>Satish Mehandi Art</t>
        </is>
      </c>
      <c r="E6" s="2" t="inlineStr">
        <is>
          <t>Beauty &amp; Makeup</t>
        </is>
      </c>
      <c r="F6" s="2" t="inlineStr">
        <is>
          <t>BM-MEHENDI</t>
        </is>
      </c>
      <c r="G6" s="2" t="inlineStr">
        <is>
          <t>Wedding &amp; Occasion</t>
        </is>
      </c>
      <c r="H6" s="2" t="inlineStr">
        <is>
          <t>Mehendi / henna artist</t>
        </is>
      </c>
      <c r="I6" s="2" t="inlineStr">
        <is>
          <t>Delhi NCR</t>
        </is>
      </c>
      <c r="J6" s="2" t="inlineStr">
        <is>
          <t>C — Strong Mid-tier</t>
        </is>
      </c>
      <c r="K6" s="2" t="inlineStr">
        <is>
          <t>Independent mehendi artist / team</t>
        </is>
      </c>
      <c r="L6" s="2" t="inlineStr">
        <is>
          <t>P0</t>
        </is>
      </c>
      <c r="M6" s="2" t="inlineStr">
        <is>
          <t>P1</t>
        </is>
      </c>
      <c r="N6" s="2" t="n">
        <v>68.7</v>
      </c>
      <c r="O6" s="2" t="n">
        <v>72</v>
      </c>
      <c r="P6" s="2" t="n">
        <v>67</v>
      </c>
      <c r="Q6" s="2" t="n">
        <v>72</v>
      </c>
      <c r="R6" s="2" t="n">
        <v>55</v>
      </c>
      <c r="S6" s="2" t="inlineStr">
        <is>
          <t>C3-PRO-SOCIAL</t>
        </is>
      </c>
      <c r="T6" s="2" t="inlineStr">
        <is>
          <t>1:1 Instagram DM from Uepaki professional account</t>
        </is>
      </c>
      <c r="U6" s="2" t="inlineStr">
        <is>
          <t>https://satishmehandiart.in/</t>
        </is>
      </c>
      <c r="V6" s="2" t="inlineStr">
        <is>
          <t>2025-10 — latest client review on WedMeGood profile</t>
        </is>
      </c>
      <c r="W6" s="2" t="inlineStr">
        <is>
          <t>150 client reviews on WedMeGood (rating 4.7); 1 of latest 10 shown reviews dated 2025–26; starting price ₹3100 onwards per package/function listed</t>
        </is>
      </c>
      <c r="X6" s="2" t="inlineStr">
        <is>
          <t>WedMeGood (Vendor profile with client reviews); Own website (First-party site)</t>
        </is>
      </c>
      <c r="Y6" s="2" t="inlineStr">
        <is>
          <t>Readiness 69 (top 29% in category) | Commercial: 150 client reviews on WedMeGood (rating 4.7); 1 of latest 10 shown reviews dated 2025–26;… | Active: 2025-10 — latest client review on WedMeGood profile</t>
        </is>
      </c>
      <c r="Z6" s="2" t="inlineStr">
        <is>
          <t>Lead with a specific design style. Ask how bookings arrive today. Service/booking availability at launch is being confirmed (EV-09).</t>
        </is>
      </c>
      <c r="AA6" s="2" t="inlineStr">
        <is>
          <t>Bookings already arrive via WedMeGood/Instagram; may see limited need for another platform</t>
        </is>
      </c>
      <c r="AB6" s="2" t="inlineStr">
        <is>
          <t>Bookings already via wedding portals/Instagram; off-platform client contact (SP-4a open); peak-season time</t>
        </is>
      </c>
      <c r="AC6" s="2" t="inlineStr">
        <is>
          <t>E01-M-A Craft-led</t>
        </is>
      </c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  <c r="AL6" s="2" t="inlineStr"/>
      <c r="AM6" s="2" t="inlineStr"/>
      <c r="AN6" s="2" t="inlineStr"/>
      <c r="AO6" s="2" t="inlineStr"/>
      <c r="AP6" s="2" t="inlineStr"/>
      <c r="AQ6" s="2" t="inlineStr"/>
      <c r="AR6" s="2" t="inlineStr"/>
      <c r="AS6" s="2" t="inlineStr"/>
      <c r="AT6" s="2" t="inlineStr"/>
      <c r="AU6" s="2" t="inlineStr"/>
      <c r="AV6" s="2" t="inlineStr"/>
      <c r="AW6" s="2" t="inlineStr"/>
      <c r="AX6" s="2" t="inlineStr"/>
    </row>
    <row r="7">
      <c r="A7" s="2" t="n">
        <v>6</v>
      </c>
      <c r="B7" s="2" t="inlineStr">
        <is>
          <t>Wave 0 — Controlled pilot</t>
        </is>
      </c>
      <c r="C7" s="2" t="inlineStr">
        <is>
          <t>UPK2-BM-014</t>
        </is>
      </c>
      <c r="D7" s="2" t="inlineStr">
        <is>
          <t>Liberte by Hiral</t>
        </is>
      </c>
      <c r="E7" s="2" t="inlineStr">
        <is>
          <t>Beauty &amp; Makeup</t>
        </is>
      </c>
      <c r="F7" s="2" t="inlineStr">
        <is>
          <t>BM-INDEPENDENT-MUA</t>
        </is>
      </c>
      <c r="G7" s="2" t="inlineStr">
        <is>
          <t>Wedding &amp; Occasion</t>
        </is>
      </c>
      <c r="H7" s="2" t="inlineStr">
        <is>
          <t>Minimal/Cruelty-free Bridal MUA</t>
        </is>
      </c>
      <c r="I7" s="2" t="inlineStr">
        <is>
          <t>Mumbai</t>
        </is>
      </c>
      <c r="J7" s="2" t="inlineStr">
        <is>
          <t>B — Established Independent</t>
        </is>
      </c>
      <c r="K7" s="2" t="inlineStr">
        <is>
          <t>Independent professional</t>
        </is>
      </c>
      <c r="L7" s="2" t="inlineStr">
        <is>
          <t>P0</t>
        </is>
      </c>
      <c r="M7" s="2" t="inlineStr">
        <is>
          <t>P0</t>
        </is>
      </c>
      <c r="N7" s="2" t="n">
        <v>74.09999999999999</v>
      </c>
      <c r="O7" s="2" t="n">
        <v>96</v>
      </c>
      <c r="P7" s="2" t="n">
        <v>64.40000000000001</v>
      </c>
      <c r="Q7" s="2" t="n">
        <v>71</v>
      </c>
      <c r="R7" s="2" t="n">
        <v>30</v>
      </c>
      <c r="S7" s="2" t="inlineStr">
        <is>
          <t>C1-DIRECT-VERIFIED</t>
        </is>
      </c>
      <c r="T7" s="2" t="inlineStr">
        <is>
          <t>Personal 1:1 email from founder/team to published business email</t>
        </is>
      </c>
      <c r="U7" s="2" t="inlineStr">
        <is>
          <t>https://shahhirral.wixsite.com/libertebyhiral</t>
        </is>
      </c>
      <c r="V7" s="2" t="inlineStr">
        <is>
          <t>2026-09 — WeddingSutra vendor profile last modified (page metadata)</t>
        </is>
      </c>
      <c r="W7" s="2" t="inlineStr">
        <is>
          <t>Cruelty-free bridal makeup (per WS bio)</t>
        </is>
      </c>
      <c r="X7" s="2" t="inlineStr">
        <is>
          <t>WeddingSutra (Vendor showcase profile (Makeup Artists))</t>
        </is>
      </c>
      <c r="Y7" s="2" t="inlineStr">
        <is>
          <t>Readiness 74 (top 5% in category) | Commercial: Cruelty-free bridal makeup (per WS bio) | Active: 2026-09 — WeddingSutra vendor profile last modified (page metadata) | Independent/emerging tier — fame not a factor</t>
        </is>
      </c>
      <c r="Z7" s="2" t="inlineStr">
        <is>
          <t>Lead with their bridal portfolio. Ask how bookings arrive today. Be explicit that service/booking availability at launch is being confirmed (EV-09).</t>
        </is>
      </c>
      <c r="AA7" s="2" t="inlineStr">
        <is>
          <t>Bookings already flow via Instagram/WhatsApp and wedding portals</t>
        </is>
      </c>
      <c r="AB7" s="2" t="inlineStr">
        <is>
          <t>Bookings already via wedding portals/Instagram; off-platform client contact (SP-4a open); peak-season time</t>
        </is>
      </c>
      <c r="AC7" s="2" t="inlineStr">
        <is>
          <t>E01-M-B Business-infrastructure-led</t>
        </is>
      </c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/>
      <c r="AO7" s="2" t="inlineStr"/>
      <c r="AP7" s="2" t="inlineStr"/>
      <c r="AQ7" s="2" t="inlineStr"/>
      <c r="AR7" s="2" t="inlineStr"/>
      <c r="AS7" s="2" t="inlineStr"/>
      <c r="AT7" s="2" t="inlineStr"/>
      <c r="AU7" s="2" t="inlineStr"/>
      <c r="AV7" s="2" t="inlineStr"/>
      <c r="AW7" s="2" t="inlineStr"/>
      <c r="AX7" s="2" t="inlineStr"/>
    </row>
    <row r="8">
      <c r="A8" s="2" t="n">
        <v>7</v>
      </c>
      <c r="B8" s="2" t="inlineStr">
        <is>
          <t>Wave 0 — Controlled pilot</t>
        </is>
      </c>
      <c r="C8" s="2" t="inlineStr">
        <is>
          <t>UPK2-FL-163</t>
        </is>
      </c>
      <c r="D8" s="2" t="inlineStr">
        <is>
          <t>Bhumika Sharma</t>
        </is>
      </c>
      <c r="E8" s="2" t="inlineStr">
        <is>
          <t>Fashion &amp; Lifestyle</t>
        </is>
      </c>
      <c r="F8" s="2" t="inlineStr">
        <is>
          <t>FL-OCCASION-BRIDAL</t>
        </is>
      </c>
      <c r="G8" s="2" t="inlineStr">
        <is>
          <t>Wedding &amp; Occasion</t>
        </is>
      </c>
      <c r="H8" s="2" t="inlineStr">
        <is>
          <t>Occasion &amp; bridal wear (lehengas, sarees, festive sets)</t>
        </is>
      </c>
      <c r="I8" s="2" t="inlineStr">
        <is>
          <t>Delhi NCR</t>
        </is>
      </c>
      <c r="J8" s="2" t="inlineStr">
        <is>
          <t>B — Established Independent</t>
        </is>
      </c>
      <c r="K8" s="2" t="inlineStr">
        <is>
          <t>Label/brand (D2C store)</t>
        </is>
      </c>
      <c r="L8" s="2" t="inlineStr">
        <is>
          <t>P0</t>
        </is>
      </c>
      <c r="M8" s="2" t="inlineStr">
        <is>
          <t>P0</t>
        </is>
      </c>
      <c r="N8" s="2" t="n">
        <v>87</v>
      </c>
      <c r="O8" s="2" t="n">
        <v>100</v>
      </c>
      <c r="P8" s="2" t="n">
        <v>79.3</v>
      </c>
      <c r="Q8" s="2" t="n">
        <v>86</v>
      </c>
      <c r="R8" s="2" t="n">
        <v>50</v>
      </c>
      <c r="S8" s="2" t="inlineStr">
        <is>
          <t>C1-DIRECT-VERIFIED</t>
        </is>
      </c>
      <c r="T8" s="2" t="inlineStr">
        <is>
          <t>Personal 1:1 email from founder/team to published business email</t>
        </is>
      </c>
      <c r="U8" s="2" t="inlineStr">
        <is>
          <t>https://www.bhumikasharma.in/pages/contact</t>
        </is>
      </c>
      <c r="V8" s="2" t="inlineStr">
        <is>
          <t>2026-09 — newest product published on own Shopify store (Nitibha Kaul in Zarinah Lehenga) per products.json</t>
        </is>
      </c>
      <c r="W8" s="2" t="inlineStr">
        <is>
          <t>Own online store live with 250+ products listed; stocked by multi-designer retailer(s): Aza Fashions, Ogaan</t>
        </is>
      </c>
      <c r="X8" s="2" t="inlineStr">
        <is>
          <t>Aza Fashions (stocked designer (designer index)); Ogaan (stocked designer (designer index))</t>
        </is>
      </c>
      <c r="Y8" s="2" t="inlineStr">
        <is>
          <t>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  <c r="Z8" s="2" t="inlineStr">
        <is>
          <t>Lead with the label's craft and name. Ask how made-to-order/bridal enquiries reach them today. Position Uepaki as an additional professional channel, not a replacement for stockists.</t>
        </is>
      </c>
      <c r="AA8" s="2" t="inlineStr">
        <is>
          <t>Already has own D2C store and established multi-designer stockists</t>
        </is>
      </c>
      <c r="AB8" s="2" t="inlineStr">
        <is>
          <t>Own D2C store/stockists already; "who else is on it?"; commission vs stockist margin</t>
        </is>
      </c>
      <c r="AC8" s="2" t="inlineStr">
        <is>
          <t>E01-M-A Craft-led</t>
        </is>
      </c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</row>
    <row r="9">
      <c r="A9" s="2" t="n">
        <v>8</v>
      </c>
      <c r="B9" s="2" t="inlineStr">
        <is>
          <t>Wave 0 — Controlled pilot</t>
        </is>
      </c>
      <c r="C9" s="2" t="inlineStr">
        <is>
          <t>UPK2-FL-164</t>
        </is>
      </c>
      <c r="D9" s="2" t="inlineStr">
        <is>
          <t>Devnaagri</t>
        </is>
      </c>
      <c r="E9" s="2" t="inlineStr">
        <is>
          <t>Fashion &amp; Lifestyle</t>
        </is>
      </c>
      <c r="F9" s="2" t="inlineStr">
        <is>
          <t>FL-OCCASION-BRIDAL</t>
        </is>
      </c>
      <c r="G9" s="2" t="inlineStr">
        <is>
          <t>Wedding &amp; Occasion</t>
        </is>
      </c>
      <c r="H9" s="2" t="inlineStr">
        <is>
          <t>Occasion &amp; bridal wear (lehengas, sarees, festive sets)</t>
        </is>
      </c>
      <c r="I9" s="2" t="inlineStr">
        <is>
          <t>Delhi NCR</t>
        </is>
      </c>
      <c r="J9" s="2" t="inlineStr">
        <is>
          <t>B — Established Independent</t>
        </is>
      </c>
      <c r="K9" s="2" t="inlineStr">
        <is>
          <t>Label/brand (D2C store)</t>
        </is>
      </c>
      <c r="L9" s="2" t="inlineStr">
        <is>
          <t>P0</t>
        </is>
      </c>
      <c r="M9" s="2" t="inlineStr">
        <is>
          <t>P0</t>
        </is>
      </c>
      <c r="N9" s="2" t="n">
        <v>87</v>
      </c>
      <c r="O9" s="2" t="n">
        <v>100</v>
      </c>
      <c r="P9" s="2" t="n">
        <v>79.3</v>
      </c>
      <c r="Q9" s="2" t="n">
        <v>86</v>
      </c>
      <c r="R9" s="2" t="n">
        <v>50</v>
      </c>
      <c r="S9" s="2" t="inlineStr">
        <is>
          <t>C1-DIRECT-VERIFIED</t>
        </is>
      </c>
      <c r="T9" s="2" t="inlineStr">
        <is>
          <t>Personal 1:1 email from founder/team to published business email</t>
        </is>
      </c>
      <c r="U9" s="2" t="inlineStr">
        <is>
          <t>https://www.devnaagri.com/pages/contact-us</t>
        </is>
      </c>
      <c r="V9" s="2" t="inlineStr">
        <is>
          <t>2026-10 — newest product published on own Shopify store (Sara Ali Khan in Inaya - Blush Pink Farshi Salwar Set) per products.json</t>
        </is>
      </c>
      <c r="W9" s="2" t="inlineStr">
        <is>
          <t>Own online store live with 250+ products listed; stocked by multi-designer retailer(s): Aza Fashions, Ogaan</t>
        </is>
      </c>
      <c r="X9" s="2" t="inlineStr">
        <is>
          <t>Aza Fashions (stocked designer (designer index)); Ogaan (stocked designer (designer index))</t>
        </is>
      </c>
      <c r="Y9" s="2" t="inlineStr">
        <is>
          <t>Readiness 87 (top 1% in category) | Commercial: Own online store live with 250+ products listed; stocked by multi-designer retailer(s): A… | Active: 2026-10 — newest product published on own Shopify store (Sara Ali Kha… | Marketplace-familiar: Aza Fashions); Ogaan) | Independent/emerging tier — fame not a factor</t>
        </is>
      </c>
      <c r="Z9" s="2" t="inlineStr">
        <is>
          <t>Lead with the label's craft and name. Ask how made-to-order/bridal enquiries reach them today. Position Uepaki as an additional professional channel, not a replacement for stockists.</t>
        </is>
      </c>
      <c r="AA9" s="2" t="inlineStr">
        <is>
          <t>Already has own D2C store and established multi-designer stockists</t>
        </is>
      </c>
      <c r="AB9" s="2" t="inlineStr">
        <is>
          <t>Own D2C store/stockists already; "who else is on it?"; commission vs stockist margin</t>
        </is>
      </c>
      <c r="AC9" s="2" t="inlineStr">
        <is>
          <t>E01-M-B Business-infrastructure-led</t>
        </is>
      </c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/>
      <c r="AO9" s="2" t="inlineStr"/>
      <c r="AP9" s="2" t="inlineStr"/>
      <c r="AQ9" s="2" t="inlineStr"/>
      <c r="AR9" s="2" t="inlineStr"/>
      <c r="AS9" s="2" t="inlineStr"/>
      <c r="AT9" s="2" t="inlineStr"/>
      <c r="AU9" s="2" t="inlineStr"/>
      <c r="AV9" s="2" t="inlineStr"/>
      <c r="AW9" s="2" t="inlineStr"/>
      <c r="AX9" s="2" t="inlineStr"/>
    </row>
    <row r="10">
      <c r="A10" s="2" t="n">
        <v>9</v>
      </c>
      <c r="B10" s="2" t="inlineStr">
        <is>
          <t>Wave 0 — Controlled pilot</t>
        </is>
      </c>
      <c r="C10" s="2" t="inlineStr">
        <is>
          <t>UPK2-FL-165</t>
        </is>
      </c>
      <c r="D10" s="2" t="inlineStr">
        <is>
          <t>Miss Jo</t>
        </is>
      </c>
      <c r="E10" s="2" t="inlineStr">
        <is>
          <t>Fashion &amp; Lifestyle</t>
        </is>
      </c>
      <c r="F10" s="2" t="inlineStr">
        <is>
          <t>FL-JEWELLERY</t>
        </is>
      </c>
      <c r="G10" s="2" t="inlineStr">
        <is>
          <t>Wedding &amp; Occasion</t>
        </is>
      </c>
      <c r="H10" s="2" t="inlineStr">
        <is>
          <t>Designer jewellery</t>
        </is>
      </c>
      <c r="I10" s="2" t="inlineStr">
        <is>
          <t>Delhi NCR</t>
        </is>
      </c>
      <c r="J10" s="2" t="inlineStr">
        <is>
          <t>B — Established Independent</t>
        </is>
      </c>
      <c r="K10" s="2" t="inlineStr">
        <is>
          <t>Label/brand (D2C store)</t>
        </is>
      </c>
      <c r="L10" s="2" t="inlineStr">
        <is>
          <t>P0</t>
        </is>
      </c>
      <c r="M10" s="2" t="inlineStr">
        <is>
          <t>P0</t>
        </is>
      </c>
      <c r="N10" s="2" t="n">
        <v>87</v>
      </c>
      <c r="O10" s="2" t="n">
        <v>100</v>
      </c>
      <c r="P10" s="2" t="n">
        <v>79.3</v>
      </c>
      <c r="Q10" s="2" t="n">
        <v>86</v>
      </c>
      <c r="R10" s="2" t="n">
        <v>50</v>
      </c>
      <c r="S10" s="2" t="inlineStr">
        <is>
          <t>C1-DIRECT-VERIFIED</t>
        </is>
      </c>
      <c r="T10" s="2" t="inlineStr">
        <is>
          <t>Personal 1:1 email from founder/team to published business email</t>
        </is>
      </c>
      <c r="U10" s="2" t="inlineStr">
        <is>
          <t>https://missjo.com/pages/contact</t>
        </is>
      </c>
      <c r="V10" s="2" t="inlineStr">
        <is>
          <t>2026-08 — newest product published on own Shopify store (Oval Shaped Solitaire Wedding Bands) per products.json</t>
        </is>
      </c>
      <c r="W10" s="2" t="inlineStr">
        <is>
          <t>Own online store live with 250+ products listed; stocked by multi-designer retailer(s): Aza Fashions, Ogaan</t>
        </is>
      </c>
      <c r="X10" s="2" t="inlineStr">
        <is>
          <t>Aza Fashions (stocked designer (designer index)); Ogaan (stocked designer (designer index))</t>
        </is>
      </c>
      <c r="Y10" s="2" t="inlineStr">
        <is>
          <t>Readiness 87 (top 1% in category) | Commercial: Own online store live with 250+ products listed; stocked by multi-designer retailer(s): A… | Active: 2026-08 — newest product published on own Shopify store (Oval Shaped… | Marketplace-familiar: Aza Fashions); Ogaan) | Independent/emerging tier — fame not a factor</t>
        </is>
      </c>
      <c r="Z10" s="2" t="inlineStr">
        <is>
          <t>Lead with a specific collection. Position as an additional channel under the label's own name. No sales promises.</t>
        </is>
      </c>
      <c r="AA10" s="2" t="inlineStr">
        <is>
          <t>Already has own D2C store and established multi-designer stockists</t>
        </is>
      </c>
      <c r="AB10" s="2" t="inlineStr">
        <is>
          <t>Own D2C store/stockists already; "who else is on it?"; commission vs stockist margin</t>
        </is>
      </c>
      <c r="AC10" s="2" t="inlineStr">
        <is>
          <t>E01-M-A Craft-led</t>
        </is>
      </c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  <c r="AL10" s="2" t="inlineStr"/>
      <c r="AM10" s="2" t="inlineStr"/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</row>
    <row r="11">
      <c r="A11" s="2" t="n">
        <v>10</v>
      </c>
      <c r="B11" s="2" t="inlineStr">
        <is>
          <t>Wave 0 — Controlled pilot</t>
        </is>
      </c>
      <c r="C11" s="2" t="inlineStr">
        <is>
          <t>UPK2-FL-167</t>
        </is>
      </c>
      <c r="D11" s="2" t="inlineStr">
        <is>
          <t>The Leather Garden</t>
        </is>
      </c>
      <c r="E11" s="2" t="inlineStr">
        <is>
          <t>Fashion &amp; Lifestyle</t>
        </is>
      </c>
      <c r="F11" s="2" t="inlineStr">
        <is>
          <t>FL-ACCESSORIES</t>
        </is>
      </c>
      <c r="G11" s="2" t="inlineStr">
        <is>
          <t>Brand &amp; Everyday Style</t>
        </is>
      </c>
      <c r="H11" s="2" t="inlineStr">
        <is>
          <t>Designer bags &amp; accessories</t>
        </is>
      </c>
      <c r="I11" s="2" t="inlineStr">
        <is>
          <t>Delhi NCR</t>
        </is>
      </c>
      <c r="J11" s="2" t="inlineStr">
        <is>
          <t>B — Established Independent</t>
        </is>
      </c>
      <c r="K11" s="2" t="inlineStr">
        <is>
          <t>Label/brand (D2C store)</t>
        </is>
      </c>
      <c r="L11" s="2" t="inlineStr">
        <is>
          <t>P0</t>
        </is>
      </c>
      <c r="M11" s="2" t="inlineStr">
        <is>
          <t>P0</t>
        </is>
      </c>
      <c r="N11" s="2" t="n">
        <v>87</v>
      </c>
      <c r="O11" s="2" t="n">
        <v>100</v>
      </c>
      <c r="P11" s="2" t="n">
        <v>79.3</v>
      </c>
      <c r="Q11" s="2" t="n">
        <v>86</v>
      </c>
      <c r="R11" s="2" t="n">
        <v>50</v>
      </c>
      <c r="S11" s="2" t="inlineStr">
        <is>
          <t>C1-DIRECT-VERIFIED</t>
        </is>
      </c>
      <c r="T11" s="2" t="inlineStr">
        <is>
          <t>Personal 1:1 email from founder/team to published business email</t>
        </is>
      </c>
      <c r="U11" s="2" t="inlineStr">
        <is>
          <t>https://theleathergarden.com/collections/notebook</t>
        </is>
      </c>
      <c r="V11" s="2" t="inlineStr">
        <is>
          <t>2026-09 — newest product published on own Shopify store (Mini Holly) per products.json</t>
        </is>
      </c>
      <c r="W11" s="2" t="inlineStr">
        <is>
          <t>Own online store live with 250+ products listed; stocked by multi-designer retailer(s): Aza Fashions, Ogaan</t>
        </is>
      </c>
      <c r="X11" s="2" t="inlineStr">
        <is>
          <t>Aza Fashions (stocked designer (designer index)); Ogaan (stocked designer (designer index))</t>
        </is>
      </c>
      <c r="Y11" s="2" t="inlineStr">
        <is>
          <t>Readiness 87 (top 1% in category) | Commercial: Own online store live with 250+ products listed; stocked by multi-designer retailer(s): A… | Active: 2026-09 — newest product published on own Shopify store (Mini Holly)… | Marketplace-familiar: Aza Fashions); Ogaan) | Independent/emerging tier — fame not a factor</t>
        </is>
      </c>
      <c r="Z11" s="2" t="inlineStr">
        <is>
          <t>Lead with a specific product line. Position as an additional channel under the label's own name.</t>
        </is>
      </c>
      <c r="AA11" s="2" t="inlineStr">
        <is>
          <t>Already has own D2C store and established multi-designer stockists</t>
        </is>
      </c>
      <c r="AB11" s="2" t="inlineStr">
        <is>
          <t>Own D2C store/stockists already; "who else is on it?"; commission vs stockist margin</t>
        </is>
      </c>
      <c r="AC11" s="2" t="inlineStr">
        <is>
          <t>E01-M-B Business-infrastructure-led</t>
        </is>
      </c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</row>
    <row r="12">
      <c r="A12" s="2" t="n">
        <v>11</v>
      </c>
      <c r="B12" s="2" t="inlineStr">
        <is>
          <t>Wave 0 — Controlled pilot</t>
        </is>
      </c>
      <c r="C12" s="2" t="inlineStr">
        <is>
          <t>UPK2-FL-173</t>
        </is>
      </c>
      <c r="D12" s="2" t="inlineStr">
        <is>
          <t>Kamaali Couture</t>
        </is>
      </c>
      <c r="E12" s="2" t="inlineStr">
        <is>
          <t>Fashion &amp; Lifestyle</t>
        </is>
      </c>
      <c r="F12" s="2" t="inlineStr">
        <is>
          <t>FL-CONTEMPORARY</t>
        </is>
      </c>
      <c r="G12" s="2" t="inlineStr">
        <is>
          <t>Brand &amp; Everyday Style</t>
        </is>
      </c>
      <c r="H12" s="2" t="inlineStr">
        <is>
          <t>Contemporary ready-to-wear / festive pret</t>
        </is>
      </c>
      <c r="I12" s="2" t="inlineStr">
        <is>
          <t>Delhi NCR</t>
        </is>
      </c>
      <c r="J12" s="2" t="inlineStr">
        <is>
          <t>B — Established Independent</t>
        </is>
      </c>
      <c r="K12" s="2" t="inlineStr">
        <is>
          <t>Label/brand (D2C store)</t>
        </is>
      </c>
      <c r="L12" s="2" t="inlineStr">
        <is>
          <t>P0</t>
        </is>
      </c>
      <c r="M12" s="2" t="inlineStr">
        <is>
          <t>P0</t>
        </is>
      </c>
      <c r="N12" s="2" t="n">
        <v>86</v>
      </c>
      <c r="O12" s="2" t="n">
        <v>99</v>
      </c>
      <c r="P12" s="2" t="n">
        <v>78.5</v>
      </c>
      <c r="Q12" s="2" t="n">
        <v>85</v>
      </c>
      <c r="R12" s="2" t="n">
        <v>50</v>
      </c>
      <c r="S12" s="2" t="inlineStr">
        <is>
          <t>C1-DIRECT-VERIFIED</t>
        </is>
      </c>
      <c r="T12" s="2" t="inlineStr">
        <is>
          <t>Personal 1:1 email from founder/team to published business email</t>
        </is>
      </c>
      <c r="U12" s="2" t="inlineStr">
        <is>
          <t>https://kamaali.in/pages/contact-us-1</t>
        </is>
      </c>
      <c r="V12" s="2" t="inlineStr">
        <is>
          <t>2026-09 — newest product published on own Shopify store (Liela) per products.json</t>
        </is>
      </c>
      <c r="W12" s="2" t="inlineStr">
        <is>
          <t>Own online store live with 231 products listed; stocked by multi-designer retailer(s): Aza Fashions, Ogaan</t>
        </is>
      </c>
      <c r="X12" s="2" t="inlineStr">
        <is>
          <t>Aza Fashions (stocked designer (designer index)); Ogaan (stocked designer (designer index))</t>
        </is>
      </c>
      <c r="Y12" s="2" t="inlineStr">
        <is>
          <t>Readiness 86 (top 2% in category) | Commercial: Own online store live with 231 products listed; stocked by multi-designer retailer(s): Az… | Active: 2026-09 — newest product published on own Shopify store (Liela) per p… | Marketplace-familiar: Aza Fashions); Ogaan) | Independent/emerging tier — fame not a factor</t>
        </is>
      </c>
      <c r="Z12" s="2" t="inlineStr">
        <is>
          <t>Lead with the label's own range and identity. Position as an additional channel next to own store and stockists. No sales or reach promises.</t>
        </is>
      </c>
      <c r="AA12" s="2" t="inlineStr">
        <is>
          <t>Already has own D2C store and established multi-designer stockists</t>
        </is>
      </c>
      <c r="AB12" s="2" t="inlineStr">
        <is>
          <t>Own D2C store/stockists already; "who else is on it?"; commission vs stockist margin</t>
        </is>
      </c>
      <c r="AC12" s="2" t="inlineStr">
        <is>
          <t>E01-M-A Craft-led</t>
        </is>
      </c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  <c r="AL12" s="2" t="inlineStr"/>
      <c r="AM12" s="2" t="inlineStr"/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</row>
    <row r="13">
      <c r="A13" s="2" t="n">
        <v>12</v>
      </c>
      <c r="B13" s="2" t="inlineStr">
        <is>
          <t>Wave 0 — Controlled pilot</t>
        </is>
      </c>
      <c r="C13" s="2" t="inlineStr">
        <is>
          <t>UPK2-SD-305</t>
        </is>
      </c>
      <c r="D13" s="2" t="inlineStr">
        <is>
          <t>Emanate Home</t>
        </is>
      </c>
      <c r="E13" s="2" t="inlineStr">
        <is>
          <t>Space &amp; Design</t>
        </is>
      </c>
      <c r="F13" s="2" t="inlineStr">
        <is>
          <t>SD-PRODUCT-MAKER</t>
        </is>
      </c>
      <c r="G13" s="2" t="inlineStr">
        <is>
          <t>Home &amp; Space</t>
        </is>
      </c>
      <c r="H13" s="2" t="inlineStr">
        <is>
          <t>Luxury lighting &amp; bespoke home accessories</t>
        </is>
      </c>
      <c r="I13" s="2" t="inlineStr">
        <is>
          <t>Delhi NCR</t>
        </is>
      </c>
      <c r="J13" s="2" t="inlineStr">
        <is>
          <t>C — Strong Mid-tier</t>
        </is>
      </c>
      <c r="K13" s="2" t="inlineStr">
        <is>
          <t>Lighting brand</t>
        </is>
      </c>
      <c r="L13" s="2" t="inlineStr">
        <is>
          <t>P0</t>
        </is>
      </c>
      <c r="M13" s="2" t="inlineStr">
        <is>
          <t>P1</t>
        </is>
      </c>
      <c r="N13" s="2" t="n">
        <v>71.5</v>
      </c>
      <c r="O13" s="2" t="n">
        <v>78</v>
      </c>
      <c r="P13" s="2" t="n">
        <v>70.8</v>
      </c>
      <c r="Q13" s="2" t="n">
        <v>77</v>
      </c>
      <c r="R13" s="2" t="n">
        <v>60</v>
      </c>
      <c r="S13" s="2" t="inlineStr">
        <is>
          <t>C1-DIRECT-VERIFIED</t>
        </is>
      </c>
      <c r="T13" s="2" t="inlineStr">
        <is>
          <t>Personal 1:1 email from founder/team to published business email</t>
        </is>
      </c>
      <c r="U13" s="2" t="inlineStr">
        <is>
          <t>https://www.emanatehome.com/</t>
        </is>
      </c>
      <c r="V13" s="2" t="inlineStr">
        <is>
          <t>2026-10 — listed as exhibitor at India Design ID Mumbai 2026 (indiadesignid.com)</t>
        </is>
      </c>
      <c r="W13" s="2" t="inlineStr">
        <is>
          <t>Exhibitor at India Design ID (2022, 2026)</t>
        </is>
      </c>
      <c r="X13" s="2" t="inlineStr">
        <is>
          <t>India Design ID (exhibitor)</t>
        </is>
      </c>
      <c r="Y13" s="2" t="inlineStr">
        <is>
          <t>Readiness 72 (top 23% in category) | Commercial: Exhibitor at India Design ID (2022, 2026) | Active: 2026-10 — listed as exhibitor at India Design ID Mumbai 2026 (indiade…</t>
        </is>
      </c>
      <c r="Z13" s="2" t="inlineStr">
        <is>
          <t>Lead with a specific piece. Products and commissions under the maker's own name; link to studios in the Home &amp; Space pod.</t>
        </is>
      </c>
      <c r="AA13" s="2" t="inlineStr">
        <is>
          <t>Already sells via own site/showroom and trade fairs.</t>
        </is>
      </c>
      <c r="AB13" s="2" t="inlineStr">
        <is>
          <t>Work comes via referrals; project-based work fit; profile upkeep effort</t>
        </is>
      </c>
      <c r="AC13" s="2" t="inlineStr">
        <is>
          <t>E01-M-A Craft-led</t>
        </is>
      </c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/>
      <c r="AO13" s="2" t="inlineStr"/>
      <c r="AP13" s="2" t="inlineStr"/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</row>
    <row r="14">
      <c r="A14" s="2" t="n">
        <v>13</v>
      </c>
      <c r="B14" s="2" t="inlineStr">
        <is>
          <t>Wave 0 — Controlled pilot</t>
        </is>
      </c>
      <c r="C14" s="2" t="inlineStr">
        <is>
          <t>UPK2-SD-303</t>
        </is>
      </c>
      <c r="D14" s="2" t="inlineStr">
        <is>
          <t>Wriver</t>
        </is>
      </c>
      <c r="E14" s="2" t="inlineStr">
        <is>
          <t>Space &amp; Design</t>
        </is>
      </c>
      <c r="F14" s="2" t="inlineStr">
        <is>
          <t>SD-PRODUCT-MAKER</t>
        </is>
      </c>
      <c r="G14" s="2" t="inlineStr">
        <is>
          <t>Home &amp; Space</t>
        </is>
      </c>
      <c r="H14" s="2" t="inlineStr">
        <is>
          <t>Luxury contemporary furniture brand</t>
        </is>
      </c>
      <c r="I14" s="2" t="inlineStr">
        <is>
          <t>Delhi NCR</t>
        </is>
      </c>
      <c r="J14" s="2" t="inlineStr">
        <is>
          <t>C — Strong Mid-tier</t>
        </is>
      </c>
      <c r="K14" s="2" t="inlineStr">
        <is>
          <t>Furniture brand</t>
        </is>
      </c>
      <c r="L14" s="2" t="inlineStr">
        <is>
          <t>P0</t>
        </is>
      </c>
      <c r="M14" s="2" t="inlineStr">
        <is>
          <t>P1</t>
        </is>
      </c>
      <c r="N14" s="2" t="n">
        <v>71.5</v>
      </c>
      <c r="O14" s="2" t="n">
        <v>78</v>
      </c>
      <c r="P14" s="2" t="n">
        <v>70.8</v>
      </c>
      <c r="Q14" s="2" t="n">
        <v>77</v>
      </c>
      <c r="R14" s="2" t="n">
        <v>60</v>
      </c>
      <c r="S14" s="2" t="inlineStr">
        <is>
          <t>C1-DIRECT-VERIFIED</t>
        </is>
      </c>
      <c r="T14" s="2" t="inlineStr">
        <is>
          <t>Personal 1:1 email from founder/team to published business email</t>
        </is>
      </c>
      <c r="U14" s="2" t="inlineStr">
        <is>
          <t>https://wriver.in/</t>
        </is>
      </c>
      <c r="V14" s="2" t="inlineStr">
        <is>
          <t>2026-10 — listed as exhibitor at India Design ID Mumbai 2026 (indiadesignid.com)</t>
        </is>
      </c>
      <c r="W14" s="2" t="inlineStr">
        <is>
          <t>Exhibitor at India Design ID (2024, 2025, 2026)</t>
        </is>
      </c>
      <c r="X14" s="2" t="inlineStr">
        <is>
          <t>India Design ID (exhibitor)</t>
        </is>
      </c>
      <c r="Y14" s="2" t="inlineStr">
        <is>
          <t>Readiness 72 (top 23% in category) | Commercial: Exhibitor at India Design ID (2024, 2025, 2026) | Active: 2026-10 — listed as exhibitor at India Design ID Mumbai 2026 (indiade…</t>
        </is>
      </c>
      <c r="Z14" s="2" t="inlineStr">
        <is>
          <t>Lead with a specific piece. Products and commissions under the maker's own name; link to studios in the Home &amp; Space pod.</t>
        </is>
      </c>
      <c r="AA14" s="2" t="inlineStr">
        <is>
          <t>Already sells via own site/showroom and trade fairs.</t>
        </is>
      </c>
      <c r="AB14" s="2" t="inlineStr">
        <is>
          <t>Work comes via referrals; project-based work fit; profile upkeep effort</t>
        </is>
      </c>
      <c r="AC14" s="2" t="inlineStr">
        <is>
          <t>E01-M-B Business-infrastructure-led</t>
        </is>
      </c>
      <c r="AD14" s="2" t="inlineStr"/>
      <c r="AE14" s="2" t="inlineStr"/>
      <c r="AF14" s="2" t="inlineStr"/>
      <c r="AG14" s="2" t="inlineStr"/>
      <c r="AH14" s="2" t="inlineStr"/>
      <c r="AI14" s="2" t="inlineStr"/>
      <c r="AJ14" s="2" t="inlineStr"/>
      <c r="AK14" s="2" t="inlineStr"/>
      <c r="AL14" s="2" t="inlineStr"/>
      <c r="AM14" s="2" t="inlineStr"/>
      <c r="AN14" s="2" t="inlineStr"/>
      <c r="AO14" s="2" t="inlineStr"/>
      <c r="AP14" s="2" t="inlineStr"/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</row>
    <row r="15">
      <c r="A15" s="2" t="n">
        <v>14</v>
      </c>
      <c r="B15" s="2" t="inlineStr">
        <is>
          <t>Wave 0 — Controlled pilot</t>
        </is>
      </c>
      <c r="C15" s="2" t="inlineStr">
        <is>
          <t>UPK2-SD-012</t>
        </is>
      </c>
      <c r="D15" s="2" t="inlineStr">
        <is>
          <t>TAS World</t>
        </is>
      </c>
      <c r="E15" s="2" t="inlineStr">
        <is>
          <t>Space &amp; Design</t>
        </is>
      </c>
      <c r="F15" s="2" t="inlineStr">
        <is>
          <t>SD-ARCHITECTURE</t>
        </is>
      </c>
      <c r="G15" s="2" t="inlineStr">
        <is>
          <t>Home &amp; Space</t>
        </is>
      </c>
      <c r="H15" s="2" t="inlineStr">
        <is>
          <t>Luxury architecture &amp; interiors</t>
        </is>
      </c>
      <c r="I15" s="2" t="inlineStr">
        <is>
          <t>Delhi NCR</t>
        </is>
      </c>
      <c r="J15" s="2" t="inlineStr">
        <is>
          <t>C — Strong Mid-tier</t>
        </is>
      </c>
      <c r="K15" s="2" t="inlineStr">
        <is>
          <t>Design studio/practice</t>
        </is>
      </c>
      <c r="L15" s="2" t="inlineStr">
        <is>
          <t>P0</t>
        </is>
      </c>
      <c r="M15" s="2" t="inlineStr">
        <is>
          <t>P1</t>
        </is>
      </c>
      <c r="N15" s="2" t="n">
        <v>74.2</v>
      </c>
      <c r="O15" s="2" t="n">
        <v>92</v>
      </c>
      <c r="P15" s="2" t="n">
        <v>69.8</v>
      </c>
      <c r="Q15" s="2" t="n">
        <v>79</v>
      </c>
      <c r="R15" s="2" t="n">
        <v>45</v>
      </c>
      <c r="S15" s="2" t="inlineStr">
        <is>
          <t>C1-DIRECT-VERIFIED</t>
        </is>
      </c>
      <c r="T15" s="2" t="inlineStr">
        <is>
          <t>Personal 1:1 email from founder/team to published business email</t>
        </is>
      </c>
      <c r="U15" s="2" t="inlineStr">
        <is>
          <t>https://www.tasworld.in/contact/</t>
        </is>
      </c>
      <c r="V15" s="2" t="inlineStr">
        <is>
          <t>2026-08 — TAD feature: White Manor</t>
        </is>
      </c>
      <c r="W15" s="2" t="inlineStr">
        <is>
          <t>White Manor farmhouse (Aug 2026); turnkey homes</t>
        </is>
      </c>
      <c r="X15" s="2" t="inlineStr">
        <is>
          <t>The Architects Diary (Editorial feature/list)</t>
        </is>
      </c>
      <c r="Y15" s="2" t="inlineStr">
        <is>
          <t>Readiness 74 (top 9% in category) | Commercial: White Manor farmhouse (Aug 2026); turnkey homes | Active: 2026-08 — TAD feature: White Manor</t>
        </is>
      </c>
      <c r="Z15" s="2" t="inlineStr">
        <is>
          <t>Lead with a specific built project. Present Uepaki as a professional home for the practice's services and project work under its own name. No lead promises.</t>
        </is>
      </c>
      <c r="AA15" s="2" t="inlineStr">
        <is>
          <t>Established practice with steady referral/press pipeline; may see limited need for another channel</t>
        </is>
      </c>
      <c r="AB15" s="2" t="inlineStr">
        <is>
          <t>Work comes via referrals; project-based work fit; profile upkeep effort</t>
        </is>
      </c>
      <c r="AC15" s="2" t="inlineStr">
        <is>
          <t>E01-M-A Craft-led</t>
        </is>
      </c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/>
      <c r="AO15" s="2" t="inlineStr"/>
      <c r="AP15" s="2" t="inlineStr"/>
      <c r="AQ15" s="2" t="inlineStr"/>
      <c r="AR15" s="2" t="inlineStr"/>
      <c r="AS15" s="2" t="inlineStr"/>
      <c r="AT15" s="2" t="inlineStr"/>
      <c r="AU15" s="2" t="inlineStr"/>
      <c r="AV15" s="2" t="inlineStr"/>
      <c r="AW15" s="2" t="inlineStr"/>
      <c r="AX15" s="2" t="inlineStr"/>
    </row>
    <row r="16">
      <c r="A16" s="2" t="n">
        <v>15</v>
      </c>
      <c r="B16" s="2" t="inlineStr">
        <is>
          <t>Wave 0 — Controlled pilot</t>
        </is>
      </c>
      <c r="C16" s="2" t="inlineStr">
        <is>
          <t>UPK2-SD-002</t>
        </is>
      </c>
      <c r="D16" s="2" t="inlineStr">
        <is>
          <t>Logic Design + Build</t>
        </is>
      </c>
      <c r="E16" s="2" t="inlineStr">
        <is>
          <t>Space &amp; Design</t>
        </is>
      </c>
      <c r="F16" s="2" t="inlineStr">
        <is>
          <t>SD-ARCHITECTURE</t>
        </is>
      </c>
      <c r="G16" s="2" t="inlineStr">
        <is>
          <t>Home &amp; Space</t>
        </is>
      </c>
      <c r="H16" s="2" t="inlineStr">
        <is>
          <t>Architecture &amp; interior design-build atelier</t>
        </is>
      </c>
      <c r="I16" s="2" t="inlineStr">
        <is>
          <t>Delhi NCR</t>
        </is>
      </c>
      <c r="J16" s="2" t="inlineStr">
        <is>
          <t>C — Strong Mid-tier</t>
        </is>
      </c>
      <c r="K16" s="2" t="inlineStr">
        <is>
          <t>Design studio/practice</t>
        </is>
      </c>
      <c r="L16" s="2" t="inlineStr">
        <is>
          <t>P0</t>
        </is>
      </c>
      <c r="M16" s="2" t="inlineStr">
        <is>
          <t>P1</t>
        </is>
      </c>
      <c r="N16" s="2" t="n">
        <v>75.5</v>
      </c>
      <c r="O16" s="2" t="n">
        <v>99</v>
      </c>
      <c r="P16" s="2" t="n">
        <v>70.40000000000001</v>
      </c>
      <c r="Q16" s="2" t="n">
        <v>79</v>
      </c>
      <c r="R16" s="2" t="n">
        <v>45</v>
      </c>
      <c r="S16" s="2" t="inlineStr">
        <is>
          <t>C1-DIRECT-VERIFIED</t>
        </is>
      </c>
      <c r="T16" s="2" t="inlineStr">
        <is>
          <t>Personal 1:1 email from founder/team to published business email</t>
        </is>
      </c>
      <c r="U16" s="2" t="inlineStr">
        <is>
          <t>https://www.logic.co.in/</t>
        </is>
      </c>
      <c r="V16" s="2" t="inlineStr">
        <is>
          <t>2026-04 — TAD feature: bespoke penthouse</t>
        </is>
      </c>
      <c r="W16" s="2" t="inlineStr">
        <is>
          <t>Founded 2016; design &amp; build for residential, workspace, commercial</t>
        </is>
      </c>
      <c r="X16" s="2" t="inlineStr">
        <is>
          <t>The Architects Diary (Editorial feature/list); The Architects Diary (Editorial feature/list)</t>
        </is>
      </c>
      <c r="Y16" s="2" t="inlineStr">
        <is>
          <t>Readiness 76 (top 2% in category) | Commercial: Founded 2016; design &amp; build for residential, workspace, commercial | Active: 2026-04 — TAD feature: bespoke penthouse</t>
        </is>
      </c>
      <c r="Z16" s="2" t="inlineStr">
        <is>
          <t>Lead with a specific built project. Present Uepaki as a professional home for the practice's services and project work under its own name. No lead promises.</t>
        </is>
      </c>
      <c r="AA16" s="2" t="inlineStr">
        <is>
          <t>Established practice with steady referral/press pipeline; may see limited need for another channel</t>
        </is>
      </c>
      <c r="AB16" s="2" t="inlineStr">
        <is>
          <t>Work comes via referrals; project-based work fit; profile upkeep effort</t>
        </is>
      </c>
      <c r="AC16" s="2" t="inlineStr">
        <is>
          <t>E01-M-B Business-infrastructure-led</t>
        </is>
      </c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  <c r="AL16" s="2" t="inlineStr"/>
      <c r="AM16" s="2" t="inlineStr"/>
      <c r="AN16" s="2" t="inlineStr"/>
      <c r="AO16" s="2" t="inlineStr"/>
      <c r="AP16" s="2" t="inlineStr"/>
      <c r="AQ16" s="2" t="inlineStr"/>
      <c r="AR16" s="2" t="inlineStr"/>
      <c r="AS16" s="2" t="inlineStr"/>
      <c r="AT16" s="2" t="inlineStr"/>
      <c r="AU16" s="2" t="inlineStr"/>
      <c r="AV16" s="2" t="inlineStr"/>
      <c r="AW16" s="2" t="inlineStr"/>
      <c r="AX16" s="2" t="inlineStr"/>
    </row>
    <row r="17">
      <c r="A17" s="2" t="n">
        <v>16</v>
      </c>
      <c r="B17" s="2" t="inlineStr">
        <is>
          <t>Wave 0 — Controlled pilot</t>
        </is>
      </c>
      <c r="C17" s="2" t="inlineStr">
        <is>
          <t>UPK2-SD-312</t>
        </is>
      </c>
      <c r="D17" s="2" t="inlineStr">
        <is>
          <t>The Black Touch</t>
        </is>
      </c>
      <c r="E17" s="2" t="inlineStr">
        <is>
          <t>Space &amp; Design</t>
        </is>
      </c>
      <c r="F17" s="2" t="inlineStr">
        <is>
          <t>SD-INTERIOR</t>
        </is>
      </c>
      <c r="G17" s="2" t="inlineStr">
        <is>
          <t>Home &amp; Space</t>
        </is>
      </c>
      <c r="H17" s="2" t="inlineStr">
        <is>
          <t>Turnkey interior design studio</t>
        </is>
      </c>
      <c r="I17" s="2" t="inlineStr">
        <is>
          <t>Mumbai</t>
        </is>
      </c>
      <c r="J17" s="2" t="inlineStr">
        <is>
          <t>B — Established Independent</t>
        </is>
      </c>
      <c r="K17" s="2" t="inlineStr">
        <is>
          <t>Design studio / practice</t>
        </is>
      </c>
      <c r="L17" s="2" t="inlineStr">
        <is>
          <t>P0</t>
        </is>
      </c>
      <c r="M17" s="2" t="inlineStr">
        <is>
          <t>P0</t>
        </is>
      </c>
      <c r="N17" s="2" t="n">
        <v>73.59999999999999</v>
      </c>
      <c r="O17" s="2" t="n">
        <v>91</v>
      </c>
      <c r="P17" s="2" t="n">
        <v>64.40000000000001</v>
      </c>
      <c r="Q17" s="2" t="n">
        <v>72</v>
      </c>
      <c r="R17" s="2" t="n">
        <v>30</v>
      </c>
      <c r="S17" s="2" t="inlineStr">
        <is>
          <t>C1-DIRECT-VERIFIED</t>
        </is>
      </c>
      <c r="T17" s="2" t="inlineStr">
        <is>
          <t>Personal 1:1 email from founder/team to published business email</t>
        </is>
      </c>
      <c r="U17" s="2" t="inlineStr">
        <is>
          <t>https://theblacktouch.com/contact-us</t>
        </is>
      </c>
      <c r="V17" s="2" t="inlineStr">
        <is>
          <t>2026-10 — own-site sitemap lastmod (https://theblacktouch.com/projects/oberoi-4-bhk-modern-luxe-residence-in-mulund-mumbai); last TAD featu…</t>
        </is>
      </c>
      <c r="W17" s="2" t="inlineStr">
        <is>
          <t>Residential Interior Design — Mulund, Mumbai, Maharashtra, India (TAD 2024-06)</t>
        </is>
      </c>
      <c r="X17" s="2" t="inlineStr">
        <is>
          <t>The Architects Diary (Editorial project feature (1 in 2024–26, 0 in 2025–26))</t>
        </is>
      </c>
      <c r="Y17" s="2" t="inlineStr">
        <is>
          <t>Readiness 74 (top 10% in category) | Commercial: Residential Interior Design — Mulund, Mumbai, Maharashtra, India (TAD 2024-06) | Active: 2026-10 — own-site sitemap lastmod (https://theblacktouch.com/project… | Independent/emerging tier — fame not a factor</t>
        </is>
      </c>
      <c r="Z17" s="2" t="inlineStr">
        <is>
          <t>Lead with a specific interior project. Services and project work under the studio's own name. No enquiry promises.</t>
        </is>
      </c>
      <c r="AA17" s="2" t="inlineStr">
        <is>
          <t>Small team; may prioritise direct referrals</t>
        </is>
      </c>
      <c r="AB17" s="2" t="inlineStr">
        <is>
          <t>Work comes via referrals; project-based work fit; profile upkeep effort</t>
        </is>
      </c>
      <c r="AC17" s="2" t="inlineStr">
        <is>
          <t>E01-M-A Craft-led</t>
        </is>
      </c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  <c r="AL17" s="2" t="inlineStr"/>
      <c r="AM17" s="2" t="inlineStr"/>
      <c r="AN17" s="2" t="inlineStr"/>
      <c r="AO17" s="2" t="inlineStr"/>
      <c r="AP17" s="2" t="inlineStr"/>
      <c r="AQ17" s="2" t="inlineStr"/>
      <c r="AR17" s="2" t="inlineStr"/>
      <c r="AS17" s="2" t="inlineStr"/>
      <c r="AT17" s="2" t="inlineStr"/>
      <c r="AU17" s="2" t="inlineStr"/>
      <c r="AV17" s="2" t="inlineStr"/>
      <c r="AW17" s="2" t="inlineStr"/>
      <c r="AX17" s="2" t="inlineStr"/>
    </row>
    <row r="18">
      <c r="A18" s="2" t="n">
        <v>17</v>
      </c>
      <c r="B18" s="2" t="inlineStr">
        <is>
          <t>Wave 0 — Controlled pilot</t>
        </is>
      </c>
      <c r="C18" s="2" t="inlineStr">
        <is>
          <t>UPK2-LM-208</t>
        </is>
      </c>
      <c r="D18" s="2" t="inlineStr">
        <is>
          <t>Photomist</t>
        </is>
      </c>
      <c r="E18" s="2" t="inlineStr">
        <is>
          <t>Lens &amp; Motion</t>
        </is>
      </c>
      <c r="F18" s="2" t="inlineStr">
        <is>
          <t>LM-WEDDING</t>
        </is>
      </c>
      <c r="G18" s="2" t="inlineStr">
        <is>
          <t>Wedding &amp; Occasion</t>
        </is>
      </c>
      <c r="H18" s="2" t="inlineStr">
        <is>
          <t>Wedding photography &amp; filmmaking studio</t>
        </is>
      </c>
      <c r="I18" s="2" t="inlineStr">
        <is>
          <t>Mumbai</t>
        </is>
      </c>
      <c r="J18" s="2" t="inlineStr">
        <is>
          <t>B — Established Independent</t>
        </is>
      </c>
      <c r="K18" s="2" t="inlineStr">
        <is>
          <t>Studio / production house</t>
        </is>
      </c>
      <c r="L18" s="2" t="inlineStr">
        <is>
          <t>P0</t>
        </is>
      </c>
      <c r="M18" s="2" t="inlineStr">
        <is>
          <t>P0</t>
        </is>
      </c>
      <c r="N18" s="2" t="n">
        <v>84.3</v>
      </c>
      <c r="O18" s="2" t="n">
        <v>100</v>
      </c>
      <c r="P18" s="2" t="n">
        <v>71.40000000000001</v>
      </c>
      <c r="Q18" s="2" t="n">
        <v>78</v>
      </c>
      <c r="R18" s="2" t="n">
        <v>29</v>
      </c>
      <c r="S18" s="2" t="inlineStr">
        <is>
          <t>C1-DIRECT-VERIFIED</t>
        </is>
      </c>
      <c r="T18" s="2" t="inlineStr">
        <is>
          <t>Personal 1:1 email from founder/team to published business email</t>
        </is>
      </c>
      <c r="U18" s="2" t="inlineStr">
        <is>
          <t>https://www.photomist.in/</t>
        </is>
      </c>
      <c r="V18" s="2" t="inlineStr">
        <is>
          <t>2026-08 — latest client review on WedMeGood profile (wedmegood.com)</t>
        </is>
      </c>
      <c r="W18" s="2" t="inlineStr">
        <is>
          <t>56 client reviews on WedMeGood (rating 5); Photo + Video packages starting ₹90,000</t>
        </is>
      </c>
      <c r="X18" s="2" t="inlineStr">
        <is>
          <t>WedMeGood (Vendor listing with client reviews); wedding.net (Vendor profile (self-listed))</t>
        </is>
      </c>
      <c r="Y18" s="2" t="inlineStr">
        <is>
          <t>Readiness 84 (top 1% in category) | Commercial: 56 client reviews on WedMeGood (rating 5); Photo + Video packages starting ₹90,000 | Active: 2026-08 — latest client review on WedMeGood profile (wedmegood.com) | Marketplace-familiar: WedMeGood; wedding.net) | Independent/emerging tier — fame not a factor</t>
        </is>
      </c>
      <c r="Z18" s="2" t="inlineStr">
        <is>
          <t>Lead with a specific film or series. Photographers sit at the centre of the wedding ecosystem — invite as a founding peer of designers, MUAs and planners.</t>
        </is>
      </c>
      <c r="AA18" s="2" t="inlineStr">
        <is>
          <t>Enquiries already come via WedMeGood, own website and Instagram</t>
        </is>
      </c>
      <c r="AB18" s="2" t="inlineStr">
        <is>
          <t>Leads via referrals/portals; off-platform contact; time to maintain another profile</t>
        </is>
      </c>
      <c r="AC18" s="2" t="inlineStr">
        <is>
          <t>E01-M-A Craft-led</t>
        </is>
      </c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  <c r="AL18" s="2" t="inlineStr"/>
      <c r="AM18" s="2" t="inlineStr"/>
      <c r="AN18" s="2" t="inlineStr"/>
      <c r="AO18" s="2" t="inlineStr"/>
      <c r="AP18" s="2" t="inlineStr"/>
      <c r="AQ18" s="2" t="inlineStr"/>
      <c r="AR18" s="2" t="inlineStr"/>
      <c r="AS18" s="2" t="inlineStr"/>
      <c r="AT18" s="2" t="inlineStr"/>
      <c r="AU18" s="2" t="inlineStr"/>
      <c r="AV18" s="2" t="inlineStr"/>
      <c r="AW18" s="2" t="inlineStr"/>
      <c r="AX18" s="2" t="inlineStr"/>
    </row>
    <row r="19">
      <c r="A19" s="2" t="n">
        <v>18</v>
      </c>
      <c r="B19" s="2" t="inlineStr">
        <is>
          <t>Wave 0 — Controlled pilot</t>
        </is>
      </c>
      <c r="C19" s="2" t="inlineStr">
        <is>
          <t>UPK2-LM-223</t>
        </is>
      </c>
      <c r="D19" s="2" t="inlineStr">
        <is>
          <t>Bombay Paparazzi</t>
        </is>
      </c>
      <c r="E19" s="2" t="inlineStr">
        <is>
          <t>Lens &amp; Motion</t>
        </is>
      </c>
      <c r="F19" s="2" t="inlineStr">
        <is>
          <t>LM-WEDDING</t>
        </is>
      </c>
      <c r="G19" s="2" t="inlineStr">
        <is>
          <t>Wedding &amp; Occasion</t>
        </is>
      </c>
      <c r="H19" s="2" t="inlineStr">
        <is>
          <t>Wedding photography &amp; filmmaking studio</t>
        </is>
      </c>
      <c r="I19" s="2" t="inlineStr">
        <is>
          <t>Mumbai</t>
        </is>
      </c>
      <c r="J19" s="2" t="inlineStr">
        <is>
          <t>B — Established Independent</t>
        </is>
      </c>
      <c r="K19" s="2" t="inlineStr">
        <is>
          <t>Studio / production house</t>
        </is>
      </c>
      <c r="L19" s="2" t="inlineStr">
        <is>
          <t>P0</t>
        </is>
      </c>
      <c r="M19" s="2" t="inlineStr">
        <is>
          <t>P0</t>
        </is>
      </c>
      <c r="N19" s="2" t="n">
        <v>80.59999999999999</v>
      </c>
      <c r="O19" s="2" t="n">
        <v>98</v>
      </c>
      <c r="P19" s="2" t="n">
        <v>69.3</v>
      </c>
      <c r="Q19" s="2" t="n">
        <v>78</v>
      </c>
      <c r="R19" s="2" t="n">
        <v>28</v>
      </c>
      <c r="S19" s="2" t="inlineStr">
        <is>
          <t>C1-DIRECT-VERIFIED</t>
        </is>
      </c>
      <c r="T19" s="2" t="inlineStr">
        <is>
          <t>Personal 1:1 email from founder/team to published business email</t>
        </is>
      </c>
      <c r="U19" s="2" t="inlineStr">
        <is>
          <t>https://bombaypaparazzi.com/</t>
        </is>
      </c>
      <c r="V19" s="2" t="inlineStr">
        <is>
          <t>2026-07 — latest client review on WedMeGood profile (wedmegood.com)</t>
        </is>
      </c>
      <c r="W19" s="2" t="inlineStr">
        <is>
          <t>52 client reviews on WedMeGood (rating 5); Photo + Video packages starting ₹75,000</t>
        </is>
      </c>
      <c r="X19" s="2" t="inlineStr">
        <is>
          <t>WedMeGood (Vendor listing with client reviews)</t>
        </is>
      </c>
      <c r="Y19" s="2" t="inlineStr">
        <is>
          <t>Readiness 81 (top 3% in category) | Commercial: 52 client reviews on WedMeGood (rating 5); Photo + Video packages starting ₹75,000 | Active: 2026-07 — latest client review on WedMeGood profile (wedmegood.com) | Independent/emerging tier — fame not a factor</t>
        </is>
      </c>
      <c r="Z19" s="2" t="inlineStr">
        <is>
          <t>Lead with a specific film or series. Photographers sit at the centre of the wedding ecosystem — invite as a founding peer of designers, MUAs and planners.</t>
        </is>
      </c>
      <c r="AA19" s="2" t="inlineStr">
        <is>
          <t>Enquiries already come via WedMeGood, own website and Instagram</t>
        </is>
      </c>
      <c r="AB19" s="2" t="inlineStr">
        <is>
          <t>Leads via referrals/portals; off-platform contact; time to maintain another profile</t>
        </is>
      </c>
      <c r="AC19" s="2" t="inlineStr">
        <is>
          <t>E01-M-B Business-infrastructure-led</t>
        </is>
      </c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  <c r="AL19" s="2" t="inlineStr"/>
      <c r="AM19" s="2" t="inlineStr"/>
      <c r="AN19" s="2" t="inlineStr"/>
      <c r="AO19" s="2" t="inlineStr"/>
      <c r="AP19" s="2" t="inlineStr"/>
      <c r="AQ19" s="2" t="inlineStr"/>
      <c r="AR19" s="2" t="inlineStr"/>
      <c r="AS19" s="2" t="inlineStr"/>
      <c r="AT19" s="2" t="inlineStr"/>
      <c r="AU19" s="2" t="inlineStr"/>
      <c r="AV19" s="2" t="inlineStr"/>
      <c r="AW19" s="2" t="inlineStr"/>
      <c r="AX19" s="2" t="inlineStr"/>
    </row>
    <row r="20">
      <c r="A20" s="2" t="n">
        <v>19</v>
      </c>
      <c r="B20" s="2" t="inlineStr">
        <is>
          <t>Wave 0 — Controlled pilot</t>
        </is>
      </c>
      <c r="C20" s="2" t="inlineStr">
        <is>
          <t>UPK2-LM-238</t>
        </is>
      </c>
      <c r="D20" s="2" t="inlineStr">
        <is>
          <t>North Light Studio</t>
        </is>
      </c>
      <c r="E20" s="2" t="inlineStr">
        <is>
          <t>Lens &amp; Motion</t>
        </is>
      </c>
      <c r="F20" s="2" t="inlineStr">
        <is>
          <t>LM-ARCH-INTERIOR</t>
        </is>
      </c>
      <c r="G20" s="2" t="inlineStr">
        <is>
          <t>Home &amp; Space</t>
        </is>
      </c>
      <c r="H20" s="2" t="inlineStr">
        <is>
          <t>Commercial photography &amp; video (food, product, hospitality, architecture)</t>
        </is>
      </c>
      <c r="I20" s="2" t="inlineStr">
        <is>
          <t>Mumbai</t>
        </is>
      </c>
      <c r="J20" s="2" t="inlineStr">
        <is>
          <t>B — Established Independent</t>
        </is>
      </c>
      <c r="K20" s="2" t="inlineStr">
        <is>
          <t>Micro studio (2-10)</t>
        </is>
      </c>
      <c r="L20" s="2" t="inlineStr">
        <is>
          <t>P0</t>
        </is>
      </c>
      <c r="M20" s="2" t="inlineStr">
        <is>
          <t>P0</t>
        </is>
      </c>
      <c r="N20" s="2" t="n">
        <v>75.2</v>
      </c>
      <c r="O20" s="2" t="n">
        <v>77</v>
      </c>
      <c r="P20" s="2" t="n">
        <v>68.7</v>
      </c>
      <c r="Q20" s="2" t="n">
        <v>77</v>
      </c>
      <c r="R20" s="2" t="n">
        <v>40</v>
      </c>
      <c r="S20" s="2" t="inlineStr">
        <is>
          <t>C1-DIRECT-VERIFIED</t>
        </is>
      </c>
      <c r="T20" s="2" t="inlineStr">
        <is>
          <t>Personal 1:1 email from founder/team to published business email</t>
        </is>
      </c>
      <c r="U20" s="2" t="inlineStr">
        <is>
          <t>https://www.northlightstudio.in/</t>
        </is>
      </c>
      <c r="V20" s="2" t="inlineStr">
        <is>
          <t>2026-09 — photo credit on The Architects Diary project feature (https://thearchitectsdiary.com/arched-abode-builds-a-soft-architectural-rhy…</t>
        </is>
      </c>
      <c r="W20" s="2" t="inlineStr">
        <is>
          <t>Commissioned project photography credited by design publications; enquiry route on own site</t>
        </is>
      </c>
      <c r="X20" s="2" t="inlineStr"/>
      <c r="Y20" s="2" t="inlineStr">
        <is>
          <t>Readiness 75 (top 24%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  <c r="Z20" s="2" t="inlineStr">
        <is>
          <t>Lead with a specific project they documented. Link to the Home &amp; Space pod (studios and makers).</t>
        </is>
      </c>
      <c r="AA20" s="2" t="inlineStr">
        <is>
          <t>Work is commission/referral-driven through architect networks; may not see need for a marketplace</t>
        </is>
      </c>
      <c r="AB20" s="2" t="inlineStr">
        <is>
          <t>Leads via referrals/portals; off-platform contact; time to maintain another profile</t>
        </is>
      </c>
      <c r="AC20" s="2" t="inlineStr">
        <is>
          <t>E01-M-A Craft-led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  <c r="AL20" s="2" t="inlineStr"/>
      <c r="AM20" s="2" t="inlineStr"/>
      <c r="AN20" s="2" t="inlineStr"/>
      <c r="AO20" s="2" t="inlineStr"/>
      <c r="AP20" s="2" t="inlineStr"/>
      <c r="AQ20" s="2" t="inlineStr"/>
      <c r="AR20" s="2" t="inlineStr"/>
      <c r="AS20" s="2" t="inlineStr"/>
      <c r="AT20" s="2" t="inlineStr"/>
      <c r="AU20" s="2" t="inlineStr"/>
      <c r="AV20" s="2" t="inlineStr"/>
      <c r="AW20" s="2" t="inlineStr"/>
      <c r="AX20" s="2" t="inlineStr"/>
    </row>
    <row r="21">
      <c r="A21" s="2" t="n">
        <v>20</v>
      </c>
      <c r="B21" s="2" t="inlineStr">
        <is>
          <t>Wave 0 — Controlled pilot</t>
        </is>
      </c>
      <c r="C21" s="2" t="inlineStr">
        <is>
          <t>UPK2-LM-031</t>
        </is>
      </c>
      <c r="D21" s="2" t="inlineStr">
        <is>
          <t>Digital Studio</t>
        </is>
      </c>
      <c r="E21" s="2" t="inlineStr">
        <is>
          <t>Lens &amp; Motion</t>
        </is>
      </c>
      <c r="F21" s="2" t="inlineStr">
        <is>
          <t>LM-COMMERCIAL-FASHION</t>
        </is>
      </c>
      <c r="G21" s="2" t="inlineStr">
        <is>
          <t>Brand &amp; Everyday Style</t>
        </is>
      </c>
      <c r="H21" s="2" t="inlineStr">
        <is>
          <t>Product photography &amp; industrial/corporate video production</t>
        </is>
      </c>
      <c r="I21" s="2" t="inlineStr">
        <is>
          <t>Mumbai</t>
        </is>
      </c>
      <c r="J21" s="2" t="inlineStr">
        <is>
          <t>B — Established Independent</t>
        </is>
      </c>
      <c r="K21" s="2" t="inlineStr">
        <is>
          <t>Photo/video production studio</t>
        </is>
      </c>
      <c r="L21" s="2" t="inlineStr">
        <is>
          <t>P0</t>
        </is>
      </c>
      <c r="M21" s="2" t="inlineStr">
        <is>
          <t>P1</t>
        </is>
      </c>
      <c r="N21" s="2" t="n">
        <v>73.5</v>
      </c>
      <c r="O21" s="2" t="n">
        <v>72</v>
      </c>
      <c r="P21" s="2" t="n">
        <v>65.59999999999999</v>
      </c>
      <c r="Q21" s="2" t="n">
        <v>73</v>
      </c>
      <c r="R21" s="2" t="n">
        <v>35</v>
      </c>
      <c r="S21" s="2" t="inlineStr">
        <is>
          <t>C1-DIRECT-VERIFIED</t>
        </is>
      </c>
      <c r="T21" s="2" t="inlineStr">
        <is>
          <t>Personal 1:1 email from founder/team to published business email</t>
        </is>
      </c>
      <c r="U21" s="2" t="inlineStr">
        <is>
          <t>https://www.digitalstudio.in/</t>
        </is>
      </c>
      <c r="V21" s="2" t="inlineStr">
        <is>
          <t>2026-10 — site live with service pages (digitalstudio.in)</t>
        </is>
      </c>
      <c r="W21" s="2" t="inlineStr">
        <is>
          <t>Own website advertises paid product photography &amp; industrial/corporate video production services with enquiry routes</t>
        </is>
      </c>
      <c r="X21" s="2" t="inlineStr"/>
      <c r="Y21" s="2" t="inlineStr">
        <is>
          <t>Readiness 74 (top 29% in category) | Commercial: Own website advertises paid product photography &amp; industrial/corporate video production s… | Active: 2026-10 — site live with service pages (digitalstudio.in) | Independent/emerging tier — fame not a factor</t>
        </is>
      </c>
      <c r="Z21" s="2" t="inlineStr">
        <is>
          <t>Lead with product/fashion work. Link to labels in the Brand &amp; Everyday Style pod.</t>
        </is>
      </c>
      <c r="AA21" s="2" t="inlineStr">
        <is>
          <t>Leads already come via own site/Instagram</t>
        </is>
      </c>
      <c r="AB21" s="2" t="inlineStr">
        <is>
          <t>Leads via referrals/portals; off-platform contact; time to maintain another profile</t>
        </is>
      </c>
      <c r="AC21" s="2" t="inlineStr">
        <is>
          <t>E01-M-B Business-infrastructure-led</t>
        </is>
      </c>
      <c r="AD21" s="2" t="inlineStr"/>
      <c r="AE21" s="2" t="inlineStr"/>
      <c r="AF21" s="2" t="inlineStr"/>
      <c r="AG21" s="2" t="inlineStr"/>
      <c r="AH21" s="2" t="inlineStr"/>
      <c r="AI21" s="2" t="inlineStr"/>
      <c r="AJ21" s="2" t="inlineStr"/>
      <c r="AK21" s="2" t="inlineStr"/>
      <c r="AL21" s="2" t="inlineStr"/>
      <c r="AM21" s="2" t="inlineStr"/>
      <c r="AN21" s="2" t="inlineStr"/>
      <c r="AO21" s="2" t="inlineStr"/>
      <c r="AP21" s="2" t="inlineStr"/>
      <c r="AQ21" s="2" t="inlineStr"/>
      <c r="AR21" s="2" t="inlineStr"/>
      <c r="AS21" s="2" t="inlineStr"/>
      <c r="AT21" s="2" t="inlineStr"/>
      <c r="AU21" s="2" t="inlineStr"/>
      <c r="AV21" s="2" t="inlineStr"/>
      <c r="AW21" s="2" t="inlineStr"/>
      <c r="AX21" s="2" t="inlineStr"/>
    </row>
    <row r="22">
      <c r="A22" s="2" t="n">
        <v>21</v>
      </c>
      <c r="B22" s="2" t="inlineStr">
        <is>
          <t>Wave 0 — Controlled pilot</t>
        </is>
      </c>
      <c r="C22" s="2" t="inlineStr">
        <is>
          <t>UPK2-CM-046</t>
        </is>
      </c>
      <c r="D22" s="2" t="inlineStr">
        <is>
          <t>Amol Soni</t>
        </is>
      </c>
      <c r="E22" s="2" t="inlineStr">
        <is>
          <t>Content &amp; Media</t>
        </is>
      </c>
      <c r="F22" s="2" t="inlineStr">
        <is>
          <t>CM-EMCEE-HOST</t>
        </is>
      </c>
      <c r="G22" s="2" t="inlineStr">
        <is>
          <t>Wedding &amp; Occasion</t>
        </is>
      </c>
      <c r="H22" s="2" t="inlineStr">
        <is>
          <t>Wedding &amp; event emcee / anchor</t>
        </is>
      </c>
      <c r="I22" s="2" t="inlineStr">
        <is>
          <t>Mumbai</t>
        </is>
      </c>
      <c r="J22" s="2" t="inlineStr">
        <is>
          <t>A — Emerging / High-potential</t>
        </is>
      </c>
      <c r="K22" s="2" t="inlineStr">
        <is>
          <t>Independent professional</t>
        </is>
      </c>
      <c r="L22" s="2" t="inlineStr">
        <is>
          <t>P0</t>
        </is>
      </c>
      <c r="M22" s="2" t="inlineStr">
        <is>
          <t>P0</t>
        </is>
      </c>
      <c r="N22" s="2" t="n">
        <v>74</v>
      </c>
      <c r="O22" s="2" t="n">
        <v>98</v>
      </c>
      <c r="P22" s="2" t="n">
        <v>61.8</v>
      </c>
      <c r="Q22" s="2" t="n">
        <v>66</v>
      </c>
      <c r="R22" s="2" t="n">
        <v>25</v>
      </c>
      <c r="S22" s="2" t="inlineStr">
        <is>
          <t>C1-DIRECT-VERIFIED</t>
        </is>
      </c>
      <c r="T22" s="2" t="inlineStr">
        <is>
          <t>Personal 1:1 email from founder/team to published business email</t>
        </is>
      </c>
      <c r="U22" s="2" t="inlineStr">
        <is>
          <t>https://www.entertaineramolsoni.com/</t>
        </is>
      </c>
      <c r="V22" s="2" t="inlineStr">
        <is>
          <t>2026-08 — WeddingSutra vendor profile updated; carries WeddingSutra Favorites 2026 badge</t>
        </is>
      </c>
      <c r="W22" s="2" t="inlineStr">
        <is>
          <t>Listed by WeddingSutra as a wedding emcee serving Mumbai</t>
        </is>
      </c>
      <c r="X22" s="2" t="inlineStr">
        <is>
          <t>WeddingSutra (vendor showcase profile (Emcees))</t>
        </is>
      </c>
      <c r="Y22" s="2" t="inlineStr">
        <is>
          <t>Readiness 74 (top 3% in category) | Commercial: Listed by WeddingSutra as a wedding emcee serving Mumbai | Active: 2026-08 — WeddingSutra vendor profile updated; carries WeddingSutra F… | Independent/emerging tier — fame not a factor</t>
        </is>
      </c>
      <c r="Z22" s="2" t="inlineStr">
        <is>
          <t>Lead with the event formats they host. Services as a professional; clients, not followers.</t>
        </is>
      </c>
      <c r="AA22" s="2" t="inlineStr">
        <is>
          <t>Gets bookings via Instagram and wedding marketplaces already; may see another profile as low priority.</t>
        </is>
      </c>
      <c r="AB22" s="2" t="inlineStr">
        <is>
          <t>Work via agencies/creator platforms; wants proof brands/clients are present</t>
        </is>
      </c>
      <c r="AC22" s="2" t="inlineStr">
        <is>
          <t>E01-M-A Craft-led</t>
        </is>
      </c>
      <c r="AD22" s="2" t="inlineStr"/>
      <c r="AE22" s="2" t="inlineStr"/>
      <c r="AF22" s="2" t="inlineStr"/>
      <c r="AG22" s="2" t="inlineStr"/>
      <c r="AH22" s="2" t="inlineStr"/>
      <c r="AI22" s="2" t="inlineStr"/>
      <c r="AJ22" s="2" t="inlineStr"/>
      <c r="AK22" s="2" t="inlineStr"/>
      <c r="AL22" s="2" t="inlineStr"/>
      <c r="AM22" s="2" t="inlineStr"/>
      <c r="AN22" s="2" t="inlineStr"/>
      <c r="AO22" s="2" t="inlineStr"/>
      <c r="AP22" s="2" t="inlineStr"/>
      <c r="AQ22" s="2" t="inlineStr"/>
      <c r="AR22" s="2" t="inlineStr"/>
      <c r="AS22" s="2" t="inlineStr"/>
      <c r="AT22" s="2" t="inlineStr"/>
      <c r="AU22" s="2" t="inlineStr"/>
      <c r="AV22" s="2" t="inlineStr"/>
      <c r="AW22" s="2" t="inlineStr"/>
      <c r="AX22" s="2" t="inlineStr"/>
    </row>
    <row r="23">
      <c r="A23" s="2" t="n">
        <v>22</v>
      </c>
      <c r="B23" s="2" t="inlineStr">
        <is>
          <t>Wave 0 — Controlled pilot</t>
        </is>
      </c>
      <c r="C23" s="2" t="inlineStr">
        <is>
          <t>UPK2-CM-016</t>
        </is>
      </c>
      <c r="D23" s="2" t="inlineStr">
        <is>
          <t>Sirimiri – The Lifestyle Blogazine</t>
        </is>
      </c>
      <c r="E23" s="2" t="inlineStr">
        <is>
          <t>Content &amp; Media</t>
        </is>
      </c>
      <c r="F23" s="2" t="inlineStr">
        <is>
          <t>CM-BLOGGER-WRITER</t>
        </is>
      </c>
      <c r="G23" s="2" t="inlineStr">
        <is>
          <t>Brand &amp; Everyday Style</t>
        </is>
      </c>
      <c r="H23" s="2" t="inlineStr">
        <is>
          <t>Lifestyle blogger, writer, author</t>
        </is>
      </c>
      <c r="I23" s="2" t="inlineStr">
        <is>
          <t>Mumbai</t>
        </is>
      </c>
      <c r="J23" s="2" t="inlineStr">
        <is>
          <t>B — Established Independent</t>
        </is>
      </c>
      <c r="K23" s="2" t="inlineStr">
        <is>
          <t>Independent creator/blog</t>
        </is>
      </c>
      <c r="L23" s="2" t="inlineStr">
        <is>
          <t>P0</t>
        </is>
      </c>
      <c r="M23" s="2" t="inlineStr">
        <is>
          <t>P0</t>
        </is>
      </c>
      <c r="N23" s="2" t="n">
        <v>70.8</v>
      </c>
      <c r="O23" s="2" t="n">
        <v>88</v>
      </c>
      <c r="P23" s="2" t="n">
        <v>59.3</v>
      </c>
      <c r="Q23" s="2" t="n">
        <v>63</v>
      </c>
      <c r="R23" s="2" t="n">
        <v>25</v>
      </c>
      <c r="S23" s="2" t="inlineStr">
        <is>
          <t>C1-DIRECT-VERIFIED</t>
        </is>
      </c>
      <c r="T23" s="2" t="inlineStr">
        <is>
          <t>1:1 message via own-website contact form</t>
        </is>
      </c>
      <c r="U23" s="2" t="inlineStr">
        <is>
          <t>https://sirimiri.in/</t>
        </is>
      </c>
      <c r="V23" s="2" t="inlineStr">
        <is>
          <t>2026 — homepage references 2026</t>
        </is>
      </c>
      <c r="W23" s="2" t="inlineStr">
        <is>
          <t>Has a 'sponsored post' category and book reviews; About: Mumbai-based blogger, writer, author</t>
        </is>
      </c>
      <c r="X23" s="2" t="inlineStr">
        <is>
          <t>Feedspot (Listed in Indian lifestyle blogs)</t>
        </is>
      </c>
      <c r="Y23" s="2" t="inlineStr">
        <is>
          <t>Readiness 71 (top 13% in category) | Commercial: Has a 'sponsored post' category and book reviews; About: Mumbai-based blogger, writer, au… | Active: 2026 — homepage references 2026 | Independent/emerging tier — fame not a factor</t>
        </is>
      </c>
      <c r="Z23" s="2" t="inlineStr">
        <is>
          <t>Lead with their writing/beat. Content work as a professional service for brands; clients, not audience.</t>
        </is>
      </c>
      <c r="AA23" s="2" t="inlineStr">
        <is>
          <t>Works through agencies/creator platforms; wants evidence brands are on the platform.</t>
        </is>
      </c>
      <c r="AB23" s="2" t="inlineStr">
        <is>
          <t>Work via agencies/creator platforms; wants proof brands/clients are present</t>
        </is>
      </c>
      <c r="AC23" s="2" t="inlineStr">
        <is>
          <t>E01-M-B Business-infrastructure-led</t>
        </is>
      </c>
      <c r="AD23" s="2" t="inlineStr"/>
      <c r="AE23" s="2" t="inlineStr"/>
      <c r="AF23" s="2" t="inlineStr"/>
      <c r="AG23" s="2" t="inlineStr"/>
      <c r="AH23" s="2" t="inlineStr"/>
      <c r="AI23" s="2" t="inlineStr"/>
      <c r="AJ23" s="2" t="inlineStr"/>
      <c r="AK23" s="2" t="inlineStr"/>
      <c r="AL23" s="2" t="inlineStr"/>
      <c r="AM23" s="2" t="inlineStr"/>
      <c r="AN23" s="2" t="inlineStr"/>
      <c r="AO23" s="2" t="inlineStr"/>
      <c r="AP23" s="2" t="inlineStr"/>
      <c r="AQ23" s="2" t="inlineStr"/>
      <c r="AR23" s="2" t="inlineStr"/>
      <c r="AS23" s="2" t="inlineStr"/>
      <c r="AT23" s="2" t="inlineStr"/>
      <c r="AU23" s="2" t="inlineStr"/>
      <c r="AV23" s="2" t="inlineStr"/>
      <c r="AW23" s="2" t="inlineStr"/>
      <c r="AX23" s="2" t="inlineStr"/>
    </row>
    <row r="24">
      <c r="A24" s="2" t="n">
        <v>23</v>
      </c>
      <c r="B24" s="2" t="inlineStr">
        <is>
          <t>Wave 0 — Controlled pilot</t>
        </is>
      </c>
      <c r="C24" s="2" t="inlineStr">
        <is>
          <t>UPK2-CM-050</t>
        </is>
      </c>
      <c r="D24" s="2" t="inlineStr">
        <is>
          <t>Kunal Jessani</t>
        </is>
      </c>
      <c r="E24" s="2" t="inlineStr">
        <is>
          <t>Content &amp; Media</t>
        </is>
      </c>
      <c r="F24" s="2" t="inlineStr">
        <is>
          <t>CM-EMCEE-HOST</t>
        </is>
      </c>
      <c r="G24" s="2" t="inlineStr">
        <is>
          <t>Wedding &amp; Occasion</t>
        </is>
      </c>
      <c r="H24" s="2" t="inlineStr">
        <is>
          <t>Wedding &amp; event emcee / anchor</t>
        </is>
      </c>
      <c r="I24" s="2" t="inlineStr">
        <is>
          <t>Mumbai</t>
        </is>
      </c>
      <c r="J24" s="2" t="inlineStr">
        <is>
          <t>A — Emerging / High-potential</t>
        </is>
      </c>
      <c r="K24" s="2" t="inlineStr">
        <is>
          <t>Independent professional</t>
        </is>
      </c>
      <c r="L24" s="2" t="inlineStr">
        <is>
          <t>P0</t>
        </is>
      </c>
      <c r="M24" s="2" t="inlineStr">
        <is>
          <t>P0</t>
        </is>
      </c>
      <c r="N24" s="2" t="n">
        <v>73.2</v>
      </c>
      <c r="O24" s="2" t="n">
        <v>96</v>
      </c>
      <c r="P24" s="2" t="n">
        <v>60.8</v>
      </c>
      <c r="Q24" s="2" t="n">
        <v>64</v>
      </c>
      <c r="R24" s="2" t="n">
        <v>25</v>
      </c>
      <c r="S24" s="2" t="inlineStr">
        <is>
          <t>C1-DIRECT-VERIFIED</t>
        </is>
      </c>
      <c r="T24" s="2" t="inlineStr">
        <is>
          <t>Personal 1:1 email from founder/team to published business email</t>
        </is>
      </c>
      <c r="U24" s="2" t="inlineStr">
        <is>
          <t>https://kunaljessani.com/connect-with-us/</t>
        </is>
      </c>
      <c r="V24" s="2" t="inlineStr">
        <is>
          <t>2026-06 — WeddingSutra vendor profile updated</t>
        </is>
      </c>
      <c r="W24" s="2" t="inlineStr">
        <is>
          <t>Listed by WeddingSutra as a wedding emcee serving Mumbai</t>
        </is>
      </c>
      <c r="X24" s="2" t="inlineStr">
        <is>
          <t>WeddingSutra (vendor showcase profile (Emcees))</t>
        </is>
      </c>
      <c r="Y24" s="2" t="inlineStr">
        <is>
          <t>Readiness 73 (top 5% in category) | Commercial: Listed by WeddingSutra as a wedding emcee serving Mumbai | Active: 2026-06 — WeddingSutra vendor profile updated | Independent/emerging tier — fame not a factor</t>
        </is>
      </c>
      <c r="Z24" s="2" t="inlineStr">
        <is>
          <t>Lead with the event formats they host. Services as a professional; clients, not followers.</t>
        </is>
      </c>
      <c r="AA24" s="2" t="inlineStr">
        <is>
          <t>Gets bookings via Instagram and wedding marketplaces already; may see another profile as low priority.</t>
        </is>
      </c>
      <c r="AB24" s="2" t="inlineStr">
        <is>
          <t>Work via agencies/creator platforms; wants proof brands/clients are present</t>
        </is>
      </c>
      <c r="AC24" s="2" t="inlineStr">
        <is>
          <t>E01-M-A Craft-led</t>
        </is>
      </c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</row>
    <row r="25">
      <c r="A25" s="2" t="n">
        <v>24</v>
      </c>
      <c r="B25" s="2" t="inlineStr">
        <is>
          <t>Wave 0 — Controlled pilot</t>
        </is>
      </c>
      <c r="C25" s="2" t="inlineStr">
        <is>
          <t>UPK2-DV-003</t>
        </is>
      </c>
      <c r="D25" s="2" t="inlineStr">
        <is>
          <t>Ink n Bliss</t>
        </is>
      </c>
      <c r="E25" s="2" t="inlineStr">
        <is>
          <t>Digital &amp; Visual Arts</t>
        </is>
      </c>
      <c r="F25" s="2" t="inlineStr">
        <is>
          <t>DV-CALLIGRAPHY-STATIONERY</t>
        </is>
      </c>
      <c r="G25" s="2" t="inlineStr">
        <is>
          <t>Wedding &amp; Occasion</t>
        </is>
      </c>
      <c r="H25" s="2" t="inlineStr">
        <is>
          <t>Calligraphy &amp; engraving studio (weddings, corporate)</t>
        </is>
      </c>
      <c r="I25" s="2" t="inlineStr">
        <is>
          <t>Mumbai</t>
        </is>
      </c>
      <c r="J25" s="2" t="inlineStr">
        <is>
          <t>B — Established Independent</t>
        </is>
      </c>
      <c r="K25" s="2" t="inlineStr">
        <is>
          <t>Calligraphy studio</t>
        </is>
      </c>
      <c r="L25" s="2" t="inlineStr">
        <is>
          <t>P0</t>
        </is>
      </c>
      <c r="M25" s="2" t="inlineStr">
        <is>
          <t>P0</t>
        </is>
      </c>
      <c r="N25" s="2" t="n">
        <v>77.90000000000001</v>
      </c>
      <c r="O25" s="2" t="n">
        <v>98</v>
      </c>
      <c r="P25" s="2" t="n">
        <v>67.8</v>
      </c>
      <c r="Q25" s="2" t="n">
        <v>76</v>
      </c>
      <c r="R25" s="2" t="n">
        <v>30</v>
      </c>
      <c r="S25" s="2" t="inlineStr">
        <is>
          <t>C1-DIRECT-VERIFIED</t>
        </is>
      </c>
      <c r="T25" s="2" t="inlineStr">
        <is>
          <t>Personal 1:1 email from founder/team to published business email</t>
        </is>
      </c>
      <c r="U25" s="2" t="inlineStr">
        <is>
          <t>https://www.inknbliss.com/contact</t>
        </is>
      </c>
      <c r="V25" s="2" t="inlineStr">
        <is>
          <t>2026 — site references 2026</t>
        </is>
      </c>
      <c r="W25" s="2" t="inlineStr">
        <is>
          <t>Custom calligraphy for weddings &amp; corporates; has collaborations page</t>
        </is>
      </c>
      <c r="X25" s="2" t="inlineStr">
        <is>
          <t>Nibtique (Directory listing)</t>
        </is>
      </c>
      <c r="Y25" s="2" t="inlineStr">
        <is>
          <t>Readiness 78 (top 3% in category) | Commercial: Custom calligraphy for weddings &amp; corporates; has collaborations page | Active: 2026 — site references 2026 | Independent/emerging tier — fame not a factor</t>
        </is>
      </c>
      <c r="Z25" s="2" t="inlineStr">
        <is>
          <t>Lead with a specific commission (stationery/engraving). Artists who sell both work and commissioned services.</t>
        </is>
      </c>
      <c r="AA25" s="2" t="inlineStr">
        <is>
          <t>Event-booking business may already be booked via Instagram</t>
        </is>
      </c>
      <c r="AB25" s="2" t="inlineStr">
        <is>
          <t>Commission pricing control; IP of artwork; price pressure</t>
        </is>
      </c>
      <c r="AC25" s="2" t="inlineStr">
        <is>
          <t>E01-M-A Craft-led</t>
        </is>
      </c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  <c r="AL25" s="2" t="inlineStr"/>
      <c r="AM25" s="2" t="inlineStr"/>
      <c r="AN25" s="2" t="inlineStr"/>
      <c r="AO25" s="2" t="inlineStr"/>
      <c r="AP25" s="2" t="inlineStr"/>
      <c r="AQ25" s="2" t="inlineStr"/>
      <c r="AR25" s="2" t="inlineStr"/>
      <c r="AS25" s="2" t="inlineStr"/>
      <c r="AT25" s="2" t="inlineStr"/>
      <c r="AU25" s="2" t="inlineStr"/>
      <c r="AV25" s="2" t="inlineStr"/>
      <c r="AW25" s="2" t="inlineStr"/>
      <c r="AX25" s="2" t="inlineStr"/>
    </row>
    <row r="26">
      <c r="A26" s="2" t="n">
        <v>25</v>
      </c>
      <c r="B26" s="2" t="inlineStr">
        <is>
          <t>Wave 0 — Controlled pilot</t>
        </is>
      </c>
      <c r="C26" s="2" t="inlineStr">
        <is>
          <t>UPK2-DV-037</t>
        </is>
      </c>
      <c r="D26" s="2" t="inlineStr">
        <is>
          <t>CRAFX Studio</t>
        </is>
      </c>
      <c r="E26" s="2" t="inlineStr">
        <is>
          <t>Digital &amp; Visual Arts</t>
        </is>
      </c>
      <c r="F26" s="2" t="inlineStr">
        <is>
          <t>DV-DESIGN-STUDIO</t>
        </is>
      </c>
      <c r="G26" s="2" t="inlineStr">
        <is>
          <t>Brand &amp; Everyday Style</t>
        </is>
      </c>
      <c r="H26" s="2" t="inlineStr">
        <is>
          <t>Branding, packaging, motion &amp; 3D design agency</t>
        </is>
      </c>
      <c r="I26" s="2" t="inlineStr">
        <is>
          <t>Mumbai</t>
        </is>
      </c>
      <c r="J26" s="2" t="inlineStr">
        <is>
          <t>B — Established Independent</t>
        </is>
      </c>
      <c r="K26" s="2" t="inlineStr">
        <is>
          <t>Independent branding &amp; design agency</t>
        </is>
      </c>
      <c r="L26" s="2" t="inlineStr">
        <is>
          <t>P0</t>
        </is>
      </c>
      <c r="M26" s="2" t="inlineStr">
        <is>
          <t>P1</t>
        </is>
      </c>
      <c r="N26" s="2" t="n">
        <v>75</v>
      </c>
      <c r="O26" s="2" t="n">
        <v>91</v>
      </c>
      <c r="P26" s="2" t="n">
        <v>66</v>
      </c>
      <c r="Q26" s="2" t="n">
        <v>75</v>
      </c>
      <c r="R26" s="2" t="n">
        <v>30</v>
      </c>
      <c r="S26" s="2" t="inlineStr">
        <is>
          <t>C1-DIRECT-VERIFIED</t>
        </is>
      </c>
      <c r="T26" s="2" t="inlineStr">
        <is>
          <t>Personal 1:1 email from founder/team to published business email</t>
        </is>
      </c>
      <c r="U26" s="2" t="inlineStr">
        <is>
          <t>https://www.crafxstudio.com/</t>
        </is>
      </c>
      <c r="V26" s="2" t="inlineStr">
        <is>
          <t>2026 — site ©2026</t>
        </is>
      </c>
      <c r="W26" s="2" t="inlineStr">
        <is>
          <t>500+ projects across 12+ countries (per own profile)</t>
        </is>
      </c>
      <c r="X26" s="2" t="inlineStr">
        <is>
          <t>Dribbble (profile)</t>
        </is>
      </c>
      <c r="Y26" s="2" t="inlineStr">
        <is>
          <t>Readiness 75 (top 10% in category) | Commercial: 500+ projects across 12+ countries (per own profile) | Active: 2026 — site ©2026 | Independent/emerging tier — fame not a factor</t>
        </is>
      </c>
      <c r="Z26" s="2" t="inlineStr">
        <is>
          <t>Lead with a specific identity/packaging project. Design services under the studio's own name; link to labels in the Brand pod.</t>
        </is>
      </c>
      <c r="AA26" s="2" t="inlineStr">
        <is>
          <t>Agency scale</t>
        </is>
      </c>
      <c r="AB26" s="2" t="inlineStr">
        <is>
          <t>Commission pricing control; IP of artwork; price pressure</t>
        </is>
      </c>
      <c r="AC26" s="2" t="inlineStr">
        <is>
          <t>E01-M-B Business-infrastructure-led</t>
        </is>
      </c>
      <c r="AD26" s="2" t="inlineStr"/>
      <c r="AE26" s="2" t="inlineStr"/>
      <c r="AF26" s="2" t="inlineStr"/>
      <c r="AG26" s="2" t="inlineStr"/>
      <c r="AH26" s="2" t="inlineStr"/>
      <c r="AI26" s="2" t="inlineStr"/>
      <c r="AJ26" s="2" t="inlineStr"/>
      <c r="AK26" s="2" t="inlineStr"/>
      <c r="AL26" s="2" t="inlineStr"/>
      <c r="AM26" s="2" t="inlineStr"/>
      <c r="AN26" s="2" t="inlineStr"/>
      <c r="AO26" s="2" t="inlineStr"/>
      <c r="AP26" s="2" t="inlineStr"/>
      <c r="AQ26" s="2" t="inlineStr"/>
      <c r="AR26" s="2" t="inlineStr"/>
      <c r="AS26" s="2" t="inlineStr"/>
      <c r="AT26" s="2" t="inlineStr"/>
      <c r="AU26" s="2" t="inlineStr"/>
      <c r="AV26" s="2" t="inlineStr"/>
      <c r="AW26" s="2" t="inlineStr"/>
      <c r="AX26" s="2" t="inlineStr"/>
    </row>
  </sheetData>
  <autoFilter ref="A1:AX26"/>
  <dataValidations count="1">
    <dataValidation sqref="AE2:AE26" showDropDown="0" showInputMessage="0" showErrorMessage="0" allowBlank="1" type="list">
      <formula1>STAGES!$A$2:$A$18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t="inlineStr">
        <is>
          <t>Stage (dropdown values)</t>
        </is>
      </c>
      <c r="B1" t="inlineStr">
        <is>
          <t>Counts when — see UEPAKI_ACQUISITION_FUNNEL_AND_KPI_FRAMEWORK.md</t>
        </is>
      </c>
    </row>
    <row r="2">
      <c r="A2" t="inlineStr">
        <is>
          <t>0 Prospect</t>
        </is>
      </c>
      <c r="B2" t="inlineStr">
        <is>
          <t>Record exists in master</t>
        </is>
      </c>
    </row>
    <row r="3">
      <c r="A3" t="inlineStr">
        <is>
          <t>1 Contactable</t>
        </is>
      </c>
      <c r="B3" t="inlineStr">
        <is>
          <t>Verified C1/C3 route re-checked on outreach day</t>
        </is>
      </c>
    </row>
    <row r="4">
      <c r="A4" t="inlineStr">
        <is>
          <t>2 Contacted</t>
        </is>
      </c>
      <c r="B4" t="inlineStr">
        <is>
          <t>1:1 human-written message sent</t>
        </is>
      </c>
    </row>
    <row r="5">
      <c r="A5" t="inlineStr">
        <is>
          <t>3 Delivered</t>
        </is>
      </c>
      <c r="B5" t="inlineStr">
        <is>
          <t>No bounce/failure within 48h</t>
        </is>
      </c>
    </row>
    <row r="6">
      <c r="A6" t="inlineStr">
        <is>
          <t>4 Engaged</t>
        </is>
      </c>
      <c r="B6" t="inlineStr">
        <is>
          <t>Any human reply within 21 days (incl. no)</t>
        </is>
      </c>
    </row>
    <row r="7">
      <c r="A7" t="inlineStr">
        <is>
          <t>5 Interested</t>
        </is>
      </c>
      <c r="B7" t="inlineStr">
        <is>
          <t>Positive intent: asks about joining / agrees to call / asks for terms</t>
        </is>
      </c>
    </row>
    <row r="8">
      <c r="A8" t="inlineStr">
        <is>
          <t>6 Info requested</t>
        </is>
      </c>
      <c r="B8" t="inlineStr">
        <is>
          <t>Terms/steps sent on request, or call held</t>
        </is>
      </c>
    </row>
    <row r="9">
      <c r="A9" t="inlineStr">
        <is>
          <t>7 Registration started</t>
        </is>
      </c>
      <c r="B9" t="inlineStr">
        <is>
          <t>Seller account exists for their identity</t>
        </is>
      </c>
    </row>
    <row r="10">
      <c r="A10" t="inlineStr">
        <is>
          <t>8 Registration completed</t>
        </is>
      </c>
      <c r="B10" t="inlineStr">
        <is>
          <t>Flow finished incl. ₹1 + GST web charge</t>
        </is>
      </c>
    </row>
    <row r="11">
      <c r="A11" t="inlineStr">
        <is>
          <t>9 KYC/Approved</t>
        </is>
      </c>
      <c r="B11" t="inlineStr">
        <is>
          <t>Approved to sell under current checks (confirm live checks)</t>
        </is>
      </c>
    </row>
    <row r="12">
      <c r="A12" t="inlineStr">
        <is>
          <t>10 Profile completed</t>
        </is>
      </c>
      <c r="B12" t="inlineStr">
        <is>
          <t>Meets profile standard incl. consent-to-be-named recorded</t>
        </is>
      </c>
    </row>
    <row r="13">
      <c r="A13" t="inlineStr">
        <is>
          <t>11 First listing</t>
        </is>
      </c>
      <c r="B13" t="inlineStr">
        <is>
          <t>≥1 product/service/design listing visible to customers</t>
        </is>
      </c>
    </row>
    <row r="14">
      <c r="A14" t="inlineStr">
        <is>
          <t>12 Activated</t>
        </is>
      </c>
      <c r="B14" t="inlineStr">
        <is>
          <t>Approved + profile + first listing + payout details complete</t>
        </is>
      </c>
    </row>
    <row r="15">
      <c r="A15" t="inlineStr">
        <is>
          <t>13 First enquiry/order/booking</t>
        </is>
      </c>
      <c r="B15" t="inlineStr">
        <is>
          <t>First genuine customer enquiry/order/booking via Uepaki</t>
        </is>
      </c>
    </row>
    <row r="16">
      <c r="A16" t="inlineStr">
        <is>
          <t>X Declined</t>
        </is>
      </c>
      <c r="B16" t="inlineStr">
        <is>
          <t>Said no — suppress permanently</t>
        </is>
      </c>
    </row>
    <row r="17">
      <c r="A17" t="inlineStr">
        <is>
          <t>X Do-not-contact</t>
        </is>
      </c>
      <c r="B17" t="inlineStr">
        <is>
          <t>Asked not to be contacted / complained — suppress</t>
        </is>
      </c>
    </row>
    <row r="18">
      <c r="A18" t="inlineStr">
        <is>
          <t>X Bounced/undeliverable</t>
        </is>
      </c>
      <c r="B18" t="inlineStr">
        <is>
          <t>Route failed — back to research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Composition</t>
        </is>
      </c>
    </row>
    <row r="3">
      <c r="A3" s="5" t="inlineStr">
        <is>
          <t>Category</t>
        </is>
      </c>
    </row>
    <row r="4">
      <c r="A4" t="inlineStr">
        <is>
          <t>Beauty &amp; Makeup</t>
        </is>
      </c>
      <c r="B4" t="n">
        <v>6</v>
      </c>
      <c r="C4" s="6">
        <f>B4/25</f>
        <v/>
      </c>
    </row>
    <row r="5">
      <c r="A5" t="inlineStr">
        <is>
          <t>Fashion &amp; Lifestyle</t>
        </is>
      </c>
      <c r="B5" t="n">
        <v>5</v>
      </c>
      <c r="C5" s="6">
        <f>B5/25</f>
        <v/>
      </c>
    </row>
    <row r="6">
      <c r="A6" t="inlineStr">
        <is>
          <t>Space &amp; Design</t>
        </is>
      </c>
      <c r="B6" t="n">
        <v>5</v>
      </c>
      <c r="C6" s="6">
        <f>B6/25</f>
        <v/>
      </c>
    </row>
    <row r="7">
      <c r="A7" t="inlineStr">
        <is>
          <t>Lens &amp; Motion</t>
        </is>
      </c>
      <c r="B7" t="n">
        <v>4</v>
      </c>
      <c r="C7" s="6">
        <f>B7/25</f>
        <v/>
      </c>
    </row>
    <row r="8">
      <c r="A8" t="inlineStr">
        <is>
          <t>Content &amp; Media</t>
        </is>
      </c>
      <c r="B8" t="n">
        <v>3</v>
      </c>
      <c r="C8" s="6">
        <f>B8/25</f>
        <v/>
      </c>
    </row>
    <row r="9">
      <c r="A9" t="inlineStr">
        <is>
          <t>Digital &amp; Visual Arts</t>
        </is>
      </c>
      <c r="B9" t="n">
        <v>2</v>
      </c>
      <c r="C9" s="6">
        <f>B9/25</f>
        <v/>
      </c>
    </row>
    <row r="11">
      <c r="A11" s="5" t="inlineStr">
        <is>
          <t>City</t>
        </is>
      </c>
    </row>
    <row r="12">
      <c r="A12" t="inlineStr">
        <is>
          <t>Delhi NCR</t>
        </is>
      </c>
      <c r="B12" t="n">
        <v>13</v>
      </c>
      <c r="C12" s="6">
        <f>B12/25</f>
        <v/>
      </c>
    </row>
    <row r="13">
      <c r="A13" t="inlineStr">
        <is>
          <t>Mumbai</t>
        </is>
      </c>
      <c r="B13" t="n">
        <v>12</v>
      </c>
      <c r="C13" s="6">
        <f>B13/25</f>
        <v/>
      </c>
    </row>
    <row r="15">
      <c r="A15" s="5" t="inlineStr">
        <is>
          <t>Segment</t>
        </is>
      </c>
    </row>
    <row r="16">
      <c r="A16" t="inlineStr">
        <is>
          <t>BM-INDEPENDENT-MUA</t>
        </is>
      </c>
      <c r="B16" t="n">
        <v>3</v>
      </c>
      <c r="C16" s="6">
        <f>B16/25</f>
        <v/>
      </c>
    </row>
    <row r="17">
      <c r="A17" t="inlineStr">
        <is>
          <t>BM-MEHENDI</t>
        </is>
      </c>
      <c r="B17" t="n">
        <v>2</v>
      </c>
      <c r="C17" s="6">
        <f>B17/25</f>
        <v/>
      </c>
    </row>
    <row r="18">
      <c r="A18" t="inlineStr">
        <is>
          <t>FL-OCCASION-BRIDAL</t>
        </is>
      </c>
      <c r="B18" t="n">
        <v>2</v>
      </c>
      <c r="C18" s="6">
        <f>B18/25</f>
        <v/>
      </c>
    </row>
    <row r="19">
      <c r="A19" t="inlineStr">
        <is>
          <t>SD-PRODUCT-MAKER</t>
        </is>
      </c>
      <c r="B19" t="n">
        <v>2</v>
      </c>
      <c r="C19" s="6">
        <f>B19/25</f>
        <v/>
      </c>
    </row>
    <row r="20">
      <c r="A20" t="inlineStr">
        <is>
          <t>SD-ARCHITECTURE</t>
        </is>
      </c>
      <c r="B20" t="n">
        <v>2</v>
      </c>
      <c r="C20" s="6">
        <f>B20/25</f>
        <v/>
      </c>
    </row>
    <row r="21">
      <c r="A21" t="inlineStr">
        <is>
          <t>LM-WEDDING</t>
        </is>
      </c>
      <c r="B21" t="n">
        <v>2</v>
      </c>
      <c r="C21" s="6">
        <f>B21/25</f>
        <v/>
      </c>
    </row>
    <row r="22">
      <c r="A22" t="inlineStr">
        <is>
          <t>CM-EMCEE-HOST</t>
        </is>
      </c>
      <c r="B22" t="n">
        <v>2</v>
      </c>
      <c r="C22" s="6">
        <f>B22/25</f>
        <v/>
      </c>
    </row>
    <row r="23">
      <c r="A23" t="inlineStr">
        <is>
          <t>BM-STUDIO</t>
        </is>
      </c>
      <c r="B23" t="n">
        <v>1</v>
      </c>
      <c r="C23" s="6">
        <f>B23/25</f>
        <v/>
      </c>
    </row>
    <row r="24">
      <c r="A24" t="inlineStr">
        <is>
          <t>FL-JEWELLERY</t>
        </is>
      </c>
      <c r="B24" t="n">
        <v>1</v>
      </c>
      <c r="C24" s="6">
        <f>B24/25</f>
        <v/>
      </c>
    </row>
    <row r="25">
      <c r="A25" t="inlineStr">
        <is>
          <t>FL-ACCESSORIES</t>
        </is>
      </c>
      <c r="B25" t="n">
        <v>1</v>
      </c>
      <c r="C25" s="6">
        <f>B25/25</f>
        <v/>
      </c>
    </row>
    <row r="26">
      <c r="A26" t="inlineStr">
        <is>
          <t>FL-CONTEMPORARY</t>
        </is>
      </c>
      <c r="B26" t="n">
        <v>1</v>
      </c>
      <c r="C26" s="6">
        <f>B26/25</f>
        <v/>
      </c>
    </row>
    <row r="27">
      <c r="A27" t="inlineStr">
        <is>
          <t>SD-INTERIOR</t>
        </is>
      </c>
      <c r="B27" t="n">
        <v>1</v>
      </c>
      <c r="C27" s="6">
        <f>B27/25</f>
        <v/>
      </c>
    </row>
    <row r="28">
      <c r="A28" t="inlineStr">
        <is>
          <t>LM-ARCH-INTERIOR</t>
        </is>
      </c>
      <c r="B28" t="n">
        <v>1</v>
      </c>
      <c r="C28" s="6">
        <f>B28/25</f>
        <v/>
      </c>
    </row>
    <row r="29">
      <c r="A29" t="inlineStr">
        <is>
          <t>LM-COMMERCIAL-FASHION</t>
        </is>
      </c>
      <c r="B29" t="n">
        <v>1</v>
      </c>
      <c r="C29" s="6">
        <f>B29/25</f>
        <v/>
      </c>
    </row>
    <row r="30">
      <c r="A30" t="inlineStr">
        <is>
          <t>CM-BLOGGER-WRITER</t>
        </is>
      </c>
      <c r="B30" t="n">
        <v>1</v>
      </c>
      <c r="C30" s="6">
        <f>B30/25</f>
        <v/>
      </c>
    </row>
    <row r="31">
      <c r="A31" t="inlineStr">
        <is>
          <t>DV-CALLIGRAPHY-STATIONERY</t>
        </is>
      </c>
      <c r="B31" t="n">
        <v>1</v>
      </c>
      <c r="C31" s="6">
        <f>B31/25</f>
        <v/>
      </c>
    </row>
    <row r="32">
      <c r="A32" t="inlineStr">
        <is>
          <t>DV-DESIGN-STUDIO</t>
        </is>
      </c>
      <c r="B32" t="n">
        <v>1</v>
      </c>
      <c r="C32" s="6">
        <f>B32/25</f>
        <v/>
      </c>
    </row>
    <row r="34">
      <c r="A34" s="5" t="inlineStr">
        <is>
          <t>Ecosystem Pod</t>
        </is>
      </c>
    </row>
    <row r="35">
      <c r="A35" t="inlineStr">
        <is>
          <t>Wedding &amp; Occasion</t>
        </is>
      </c>
      <c r="B35" t="n">
        <v>14</v>
      </c>
      <c r="C35" s="6">
        <f>B35/25</f>
        <v/>
      </c>
    </row>
    <row r="36">
      <c r="A36" t="inlineStr">
        <is>
          <t>Home &amp; Space</t>
        </is>
      </c>
      <c r="B36" t="n">
        <v>6</v>
      </c>
      <c r="C36" s="6">
        <f>B36/25</f>
        <v/>
      </c>
    </row>
    <row r="37">
      <c r="A37" t="inlineStr">
        <is>
          <t>Brand &amp; Everyday Style</t>
        </is>
      </c>
      <c r="B37" t="n">
        <v>5</v>
      </c>
      <c r="C37" s="6">
        <f>B37/25</f>
        <v/>
      </c>
    </row>
    <row r="39">
      <c r="A39" s="5" t="inlineStr">
        <is>
          <t>Tier</t>
        </is>
      </c>
    </row>
    <row r="40">
      <c r="A40" t="inlineStr">
        <is>
          <t>B — Established Independent</t>
        </is>
      </c>
      <c r="B40" t="n">
        <v>16</v>
      </c>
      <c r="C40" s="6">
        <f>B40/25</f>
        <v/>
      </c>
    </row>
    <row r="41">
      <c r="A41" t="inlineStr">
        <is>
          <t>C — Strong Mid-tier</t>
        </is>
      </c>
      <c r="B41" t="n">
        <v>7</v>
      </c>
      <c r="C41" s="6">
        <f>B41/25</f>
        <v/>
      </c>
    </row>
    <row r="42">
      <c r="A42" t="inlineStr">
        <is>
          <t>A — Emerging / High-potential</t>
        </is>
      </c>
      <c r="B42" t="n">
        <v>2</v>
      </c>
      <c r="C42" s="6">
        <f>B42/25</f>
        <v/>
      </c>
    </row>
    <row r="44">
      <c r="A44" s="5" t="inlineStr">
        <is>
          <t>Contact Class</t>
        </is>
      </c>
    </row>
    <row r="45">
      <c r="A45" t="inlineStr">
        <is>
          <t>C1-DIRECT-VERIFIED</t>
        </is>
      </c>
      <c r="B45" t="n">
        <v>24</v>
      </c>
      <c r="C45" s="6">
        <f>B45/25</f>
        <v/>
      </c>
    </row>
    <row r="46">
      <c r="A46" t="inlineStr">
        <is>
          <t>C3-PRO-SOCIAL</t>
        </is>
      </c>
      <c r="B46" t="n">
        <v>1</v>
      </c>
      <c r="C46" s="6">
        <f>B46/25</f>
        <v/>
      </c>
    </row>
    <row r="48">
      <c r="A48" s="5" t="inlineStr">
        <is>
          <t>Acq Priority (OS)</t>
        </is>
      </c>
    </row>
    <row r="49">
      <c r="A49" t="inlineStr">
        <is>
          <t>P0</t>
        </is>
      </c>
      <c r="B49" t="n">
        <v>25</v>
      </c>
      <c r="C49" s="6">
        <f>B49/25</f>
        <v/>
      </c>
    </row>
    <row r="51">
      <c r="A51" s="5" t="inlineStr">
        <is>
          <t>Wave</t>
        </is>
      </c>
    </row>
    <row r="52">
      <c r="A52" t="inlineStr">
        <is>
          <t>Wave 0 — Controlled pilot</t>
        </is>
      </c>
      <c r="B52" t="n">
        <v>25</v>
      </c>
      <c r="C52" s="6">
        <f>B52/25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Live funnel counts from LIST!Stage (counts records whose current stage ≥ each step)</t>
        </is>
      </c>
    </row>
    <row r="3">
      <c r="A3" t="inlineStr">
        <is>
          <t>Stage</t>
        </is>
      </c>
      <c r="B3" t="inlineStr">
        <is>
          <t>Records at this stage now</t>
        </is>
      </c>
      <c r="C3" t="inlineStr">
        <is>
          <t>Reached this stage or later</t>
        </is>
      </c>
      <c r="D3" t="inlineStr">
        <is>
          <t>Step conversion vs previous</t>
        </is>
      </c>
    </row>
    <row r="4">
      <c r="A4" t="inlineStr">
        <is>
          <t>1 Contactable</t>
        </is>
      </c>
      <c r="B4">
        <f>COUNTIF(LIST!AE:AE,"1 Contactable")</f>
        <v/>
      </c>
      <c r="C4">
        <f>SUM(B4:B16)</f>
        <v/>
      </c>
    </row>
    <row r="5">
      <c r="A5" t="inlineStr">
        <is>
          <t>2 Contacted</t>
        </is>
      </c>
      <c r="B5">
        <f>COUNTIF(LIST!AE:AE,"2 Contacted")</f>
        <v/>
      </c>
      <c r="C5">
        <f>SUM(B5:B16)</f>
        <v/>
      </c>
      <c r="D5" s="6">
        <f>IF(C4=0,"",C5/C4)</f>
        <v/>
      </c>
    </row>
    <row r="6">
      <c r="A6" t="inlineStr">
        <is>
          <t>3 Delivered</t>
        </is>
      </c>
      <c r="B6">
        <f>COUNTIF(LIST!AE:AE,"3 Delivered")</f>
        <v/>
      </c>
      <c r="C6">
        <f>SUM(B6:B16)</f>
        <v/>
      </c>
      <c r="D6" s="6">
        <f>IF(C5=0,"",C6/C5)</f>
        <v/>
      </c>
    </row>
    <row r="7">
      <c r="A7" t="inlineStr">
        <is>
          <t>4 Engaged</t>
        </is>
      </c>
      <c r="B7">
        <f>COUNTIF(LIST!AE:AE,"4 Engaged")</f>
        <v/>
      </c>
      <c r="C7">
        <f>SUM(B7:B16)</f>
        <v/>
      </c>
      <c r="D7" s="6">
        <f>IF(C6=0,"",C7/C6)</f>
        <v/>
      </c>
    </row>
    <row r="8">
      <c r="A8" t="inlineStr">
        <is>
          <t>5 Interested</t>
        </is>
      </c>
      <c r="B8">
        <f>COUNTIF(LIST!AE:AE,"5 Interested")</f>
        <v/>
      </c>
      <c r="C8">
        <f>SUM(B8:B16)</f>
        <v/>
      </c>
      <c r="D8" s="6">
        <f>IF(C7=0,"",C8/C7)</f>
        <v/>
      </c>
    </row>
    <row r="9">
      <c r="A9" t="inlineStr">
        <is>
          <t>6 Info requested</t>
        </is>
      </c>
      <c r="B9">
        <f>COUNTIF(LIST!AE:AE,"6 Info requested")</f>
        <v/>
      </c>
      <c r="C9">
        <f>SUM(B9:B16)</f>
        <v/>
      </c>
      <c r="D9" s="6">
        <f>IF(C8=0,"",C9/C8)</f>
        <v/>
      </c>
    </row>
    <row r="10">
      <c r="A10" t="inlineStr">
        <is>
          <t>7 Registration started</t>
        </is>
      </c>
      <c r="B10">
        <f>COUNTIF(LIST!AE:AE,"7 Registration started")</f>
        <v/>
      </c>
      <c r="C10">
        <f>SUM(B10:B16)</f>
        <v/>
      </c>
      <c r="D10" s="6">
        <f>IF(C9=0,"",C10/C9)</f>
        <v/>
      </c>
    </row>
    <row r="11">
      <c r="A11" t="inlineStr">
        <is>
          <t>8 Registration completed</t>
        </is>
      </c>
      <c r="B11">
        <f>COUNTIF(LIST!AE:AE,"8 Registration completed")</f>
        <v/>
      </c>
      <c r="C11">
        <f>SUM(B11:B16)</f>
        <v/>
      </c>
      <c r="D11" s="6">
        <f>IF(C10=0,"",C11/C10)</f>
        <v/>
      </c>
    </row>
    <row r="12">
      <c r="A12" t="inlineStr">
        <is>
          <t>9 KYC/Approved</t>
        </is>
      </c>
      <c r="B12">
        <f>COUNTIF(LIST!AE:AE,"9 KYC/Approved")</f>
        <v/>
      </c>
      <c r="C12">
        <f>SUM(B12:B16)</f>
        <v/>
      </c>
      <c r="D12" s="6">
        <f>IF(C11=0,"",C12/C11)</f>
        <v/>
      </c>
    </row>
    <row r="13">
      <c r="A13" t="inlineStr">
        <is>
          <t>10 Profile completed</t>
        </is>
      </c>
      <c r="B13">
        <f>COUNTIF(LIST!AE:AE,"10 Profile completed")</f>
        <v/>
      </c>
      <c r="C13">
        <f>SUM(B13:B16)</f>
        <v/>
      </c>
      <c r="D13" s="6">
        <f>IF(C12=0,"",C13/C12)</f>
        <v/>
      </c>
    </row>
    <row r="14">
      <c r="A14" t="inlineStr">
        <is>
          <t>11 First listing</t>
        </is>
      </c>
      <c r="B14">
        <f>COUNTIF(LIST!AE:AE,"11 First listing")</f>
        <v/>
      </c>
      <c r="C14">
        <f>SUM(B14:B16)</f>
        <v/>
      </c>
      <c r="D14" s="6">
        <f>IF(C13=0,"",C14/C13)</f>
        <v/>
      </c>
    </row>
    <row r="15">
      <c r="A15" t="inlineStr">
        <is>
          <t>12 Activated</t>
        </is>
      </c>
      <c r="B15">
        <f>COUNTIF(LIST!AE:AE,"12 Activated")</f>
        <v/>
      </c>
      <c r="C15">
        <f>SUM(B15:B16)</f>
        <v/>
      </c>
      <c r="D15" s="6">
        <f>IF(C14=0,"",C15/C14)</f>
        <v/>
      </c>
    </row>
    <row r="16">
      <c r="A16" t="inlineStr">
        <is>
          <t>13 First enquiry/order/booking</t>
        </is>
      </c>
      <c r="B16">
        <f>COUNTIF(LIST!AE:AE,"13 First enquiry/order/booking")</f>
        <v/>
      </c>
      <c r="C16">
        <f>SUM(B16:B16)</f>
        <v/>
      </c>
      <c r="D16" s="6">
        <f>IF(C15=0,"",C16/C15)</f>
        <v/>
      </c>
    </row>
    <row r="18">
      <c r="A18" t="inlineStr">
        <is>
          <t>Declined</t>
        </is>
      </c>
      <c r="B18">
        <f>COUNTIF(LIST!AE:AE,"X Declined")</f>
        <v/>
      </c>
    </row>
    <row r="19">
      <c r="A19" t="inlineStr">
        <is>
          <t>Do-not-contact</t>
        </is>
      </c>
      <c r="B19">
        <f>COUNTIF(LIST!AE:AE,"X Do-not-contact")</f>
        <v/>
      </c>
    </row>
    <row r="20">
      <c r="A20" t="inlineStr">
        <is>
          <t>Bounced/undeliverable</t>
        </is>
      </c>
      <c r="B20">
        <f>COUNTIF(LIST!AE:AE,"X Bounced/undeliverable")</f>
        <v/>
      </c>
    </row>
    <row r="22">
      <c r="A22" s="7" t="inlineStr">
        <is>
          <t>Note: declined/DNC/bounced records drop out of "reached or later"; read step conversions alongside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2026-10-08T20:12:15Z</dcterms:created>
  <dcterms:modified xmlns:dcterms="http://purl.org/dc/terms/" xmlns:xsi="http://www.w3.org/2001/XMLSchema-instance" xsi:type="dcterms:W3CDTF">2026-10-08T20:12:15Z</dcterms:modified>
</cp:coreProperties>
</file>
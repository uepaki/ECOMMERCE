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STAG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NEL_LIVE" sheetId="5" state="visible" r:id="rId5"/>
  </sheets>
  <definedNames>
    <definedName name="_xlnm._FilterDatabase" localSheetId="1" hidden="1">'LIST'!$A$1:$AX$301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Uepaki — First 300 Acquisition List (Waves 0–2)</t>
        </is>
      </c>
    </row>
    <row r="3">
      <c r="A3" s="2" t="inlineStr">
        <is>
          <t>Contains the First 100 plus 200 Wave 2 professionals (category and city expansion) across ten cities.</t>
        </is>
      </c>
    </row>
    <row r="4">
      <c r="A4" s="2" t="inlineStr">
        <is>
          <t>Category quotas are a strategic recommendation: square-root-of-universe allocation (dampens the dominance of large categories), capped at 60% of each category's contact-ready pool. Result: Beauty 70, Fashion 65, Space 53, Lens 52, Content 35, Digital 25.</t>
        </is>
      </c>
    </row>
    <row r="5">
      <c r="A5" s="2" t="inlineStr">
        <is>
          <t>City composition follows evidence of contact-ready supply in the database, not demand data (none was supplied): Delhi NCR and Mumbai lead; Bengaluru, Jaipur, Pune, Chandigarh, Hyderabad, Kolkata, Chennai, Ahmedabad follow.</t>
        </is>
      </c>
    </row>
    <row r="6">
      <c r="A6" s="2" t="inlineStr">
        <is>
          <t>271 of 300 are OS-P0; 29 are OS-P1 with a contact-ready route, used only where the P0 pool of a category/city was exhausted.</t>
        </is>
      </c>
    </row>
    <row r="7">
      <c r="A7" s="2" t="inlineStr">
        <is>
          <t>Wave 2 starts only when Wave 1 exit criteria are met. Volume per week is set by onboarding capacity, not by list size (OS report §14).</t>
        </is>
      </c>
    </row>
    <row r="8">
      <c r="A8" s="2" t="inlineStr"/>
    </row>
    <row r="9">
      <c r="A9" s="2" t="inlineStr">
        <is>
          <t>Source: UEPAKI_PRELAUNCH_PROFESSIONAL_DATABASE_V2.xlsx, sheet 01_MASTER_V2 (V2.1 canonical master, research date 2026-10-08, 3,584 records). The source file is not modified.</t>
        </is>
      </c>
    </row>
    <row r="10">
      <c r="A10" s="2" t="inlineStr">
        <is>
          <t>This list holds NO phone numbers, emails or WhatsApp links. Look up the verified business route in the master by Prospect ID at the moment of outreach, and re-check it is still published.</t>
        </is>
      </c>
    </row>
    <row r="11">
      <c r="A11" s="2" t="inlineStr">
        <is>
          <t>CONTACTABLE ≠ CONSENT. No record has marketing or WhatsApp opt-in. First contact is 1:1, human-written, professional, and stops on the first "no". Bulk WhatsApp/AiSensy only after a recorded opt-in.</t>
        </is>
      </c>
    </row>
    <row r="12">
      <c r="A12" s="2" t="inlineStr">
        <is>
          <t>Acq Priority (OS) is the operating priority defined in UEPAKI_SELLER_ACQUISITION_OPERATING_SYSTEM (§6). It replaces the inflated DB priority for outreach sequencing; the DB priority is shown alongside for reference.</t>
        </is>
      </c>
    </row>
    <row r="13">
      <c r="A13" s="2" t="inlineStr">
        <is>
          <t>Readiness (ARS) = Acquisition Readiness Score, 0–100: commercial activity 20, recency 15, join likelihood 15, contactability 15, seeking clients 10, marketplace affinity 10, quality 10, category fit 5; minus penalties for low evidence, open verification flags and unknown city. Fame, follower count and tier are NOT inputs.</t>
        </is>
      </c>
    </row>
    <row r="14">
      <c r="A14" s="2" t="inlineStr">
        <is>
          <t>Founding Candidate Score = 0.5 × ARS + 0.3 × Founding Potential (DB) + 0.2 × Network Potential (DB) (+2 if evidence High, +2 if activity ≤3 months).</t>
        </is>
      </c>
    </row>
    <row r="15">
      <c r="A15" s="2" t="inlineStr">
        <is>
          <t>Messaging rules (non-negotiable): no promise of reach, ranking, visibility, leads, orders, bookings or income; never "free to join" (registration carries ₹1 + GST on web — founder decision SUB-01); founding-programme terms only as cleared by the founder (FP-2–FP-10 open; public use not cleared); referral rewards not offered (referral launch deferred, E4); planned features only as "Planned: … Not available yet." and only those the founder lists (RD-1a open); never claim anyone has joined unless they have and consented to be named.</t>
        </is>
      </c>
    </row>
    <row r="16">
      <c r="A16" s="2" t="inlineStr">
        <is>
          <t>Tracker columns (green headers) are for the outreach team. Stage uses the funnel in UEPAKI_ACQUISITION_FUNNEL_AND_KPI_FRAMEWORK.md.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8" customWidth="1" min="4" max="4"/>
    <col width="18" customWidth="1" min="5" max="5"/>
    <col width="22" customWidth="1" min="6" max="6"/>
    <col width="20" customWidth="1" min="7" max="7"/>
    <col width="28" customWidth="1" min="8" max="8"/>
    <col width="12" customWidth="1" min="9" max="9"/>
    <col width="22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4" customWidth="1" min="20" max="20"/>
    <col width="36" customWidth="1" min="21" max="21"/>
    <col width="40" customWidth="1" min="22" max="22"/>
    <col width="44" customWidth="1" min="23" max="23"/>
    <col width="34" customWidth="1" min="24" max="24"/>
    <col width="60" customWidth="1" min="25" max="25"/>
    <col width="60" customWidth="1" min="26" max="26"/>
    <col width="44" customWidth="1" min="27" max="27"/>
    <col width="40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2" customHeight="1">
      <c r="A1" s="3" t="inlineStr">
        <is>
          <t>Rank</t>
        </is>
      </c>
      <c r="B1" s="3" t="inlineStr">
        <is>
          <t>Wave</t>
        </is>
      </c>
      <c r="C1" s="3" t="inlineStr">
        <is>
          <t>Prospect ID</t>
        </is>
      </c>
      <c r="D1" s="3" t="inlineStr">
        <is>
          <t>Name</t>
        </is>
      </c>
      <c r="E1" s="3" t="inlineStr">
        <is>
          <t>Category</t>
        </is>
      </c>
      <c r="F1" s="3" t="inlineStr">
        <is>
          <t>Segment</t>
        </is>
      </c>
      <c r="G1" s="3" t="inlineStr">
        <is>
          <t>Ecosystem Pod</t>
        </is>
      </c>
      <c r="H1" s="3" t="inlineStr">
        <is>
          <t>Subcategory</t>
        </is>
      </c>
      <c r="I1" s="3" t="inlineStr">
        <is>
          <t>City</t>
        </is>
      </c>
      <c r="J1" s="3" t="inlineStr">
        <is>
          <t>Tier</t>
        </is>
      </c>
      <c r="K1" s="3" t="inlineStr">
        <is>
          <t>Business Type</t>
        </is>
      </c>
      <c r="L1" s="3" t="inlineStr">
        <is>
          <t>Acq Priority (OS)</t>
        </is>
      </c>
      <c r="M1" s="3" t="inlineStr">
        <is>
          <t>Source Priority (DB)</t>
        </is>
      </c>
      <c r="N1" s="3" t="inlineStr">
        <is>
          <t>Readiness (ARS)</t>
        </is>
      </c>
      <c r="O1" s="3" t="inlineStr">
        <is>
          <t>ARS pctl in category</t>
        </is>
      </c>
      <c r="P1" s="3" t="inlineStr">
        <is>
          <t>Founding Candidate Score</t>
        </is>
      </c>
      <c r="Q1" s="3" t="inlineStr">
        <is>
          <t>Founding Potential (DB)</t>
        </is>
      </c>
      <c r="R1" s="3" t="inlineStr">
        <is>
          <t>Network Potential (DB)</t>
        </is>
      </c>
      <c r="S1" s="3" t="inlineStr">
        <is>
          <t>Contact Class</t>
        </is>
      </c>
      <c r="T1" s="3" t="inlineStr">
        <is>
          <t>Recommended First Channel</t>
        </is>
      </c>
      <c r="U1" s="3" t="inlineStr">
        <is>
          <t>Public route reference (no personal data)</t>
        </is>
      </c>
      <c r="V1" s="3" t="inlineStr">
        <is>
          <t>Recent activity (DB)</t>
        </is>
      </c>
      <c r="W1" s="3" t="inlineStr">
        <is>
          <t>Commercial signal (DB)</t>
        </is>
      </c>
      <c r="X1" s="3" t="inlineStr">
        <is>
          <t>Platform association (DB)</t>
        </is>
      </c>
      <c r="Y1" s="3" t="inlineStr">
        <is>
          <t>Why selected</t>
        </is>
      </c>
      <c r="Z1" s="3" t="inlineStr">
        <is>
          <t>Lead angle</t>
        </is>
      </c>
      <c r="AA1" s="3" t="inlineStr">
        <is>
          <t>Likely objection (DB)</t>
        </is>
      </c>
      <c r="AB1" s="3" t="inlineStr">
        <is>
          <t>Category objection themes</t>
        </is>
      </c>
      <c r="AC1" s="3" t="inlineStr">
        <is>
          <t>Experiment cell</t>
        </is>
      </c>
      <c r="AD1" s="4" t="inlineStr">
        <is>
          <t>Owner</t>
        </is>
      </c>
      <c r="AE1" s="4" t="inlineStr">
        <is>
          <t>Stage</t>
        </is>
      </c>
      <c r="AF1" s="4" t="inlineStr">
        <is>
          <t>Date first contact</t>
        </is>
      </c>
      <c r="AG1" s="4" t="inlineStr">
        <is>
          <t>Channel used</t>
        </is>
      </c>
      <c r="AH1" s="4" t="inlineStr">
        <is>
          <t>Message variant sent</t>
        </is>
      </c>
      <c r="AI1" s="4" t="inlineStr">
        <is>
          <t>Follow-up 1 date</t>
        </is>
      </c>
      <c r="AJ1" s="4" t="inlineStr">
        <is>
          <t>Follow-up 2 date</t>
        </is>
      </c>
      <c r="AK1" s="4" t="inlineStr">
        <is>
          <t>Replied (Y/N)</t>
        </is>
      </c>
      <c r="AL1" s="4" t="inlineStr">
        <is>
          <t>Reply date</t>
        </is>
      </c>
      <c r="AM1" s="4" t="inlineStr">
        <is>
          <t>Outcome</t>
        </is>
      </c>
      <c r="AN1" s="4" t="inlineStr">
        <is>
          <t>Info requested (Y/N)</t>
        </is>
      </c>
      <c r="AO1" s="4" t="inlineStr">
        <is>
          <t>Registration started</t>
        </is>
      </c>
      <c r="AP1" s="4" t="inlineStr">
        <is>
          <t>Registration completed</t>
        </is>
      </c>
      <c r="AQ1" s="4" t="inlineStr">
        <is>
          <t>Approved (KYC)</t>
        </is>
      </c>
      <c r="AR1" s="4" t="inlineStr">
        <is>
          <t>Profile completed</t>
        </is>
      </c>
      <c r="AS1" s="4" t="inlineStr">
        <is>
          <t>First listing date</t>
        </is>
      </c>
      <c r="AT1" s="4" t="inlineStr">
        <is>
          <t>Activated (Y/N)</t>
        </is>
      </c>
      <c r="AU1" s="4" t="inlineStr">
        <is>
          <t>First enquiry/order/booking date</t>
        </is>
      </c>
      <c r="AV1" s="4" t="inlineStr">
        <is>
          <t>WhatsApp opt-in recorded (Y/N, date, method)</t>
        </is>
      </c>
      <c r="AW1" s="4" t="inlineStr">
        <is>
          <t>Do-not-contact (Y/N)</t>
        </is>
      </c>
      <c r="AX1" s="4" t="inlineStr">
        <is>
          <t>Notes</t>
        </is>
      </c>
    </row>
    <row r="2">
      <c r="A2" s="2" t="n">
        <v>1</v>
      </c>
      <c r="B2" s="2" t="inlineStr">
        <is>
          <t>Wave 0 — Controlled pilot</t>
        </is>
      </c>
      <c r="C2" s="2" t="inlineStr">
        <is>
          <t>UPK2-BM-163</t>
        </is>
      </c>
      <c r="D2" s="2" t="inlineStr">
        <is>
          <t>Arun Mehandi</t>
        </is>
      </c>
      <c r="E2" s="2" t="inlineStr">
        <is>
          <t>Beauty &amp; Makeup</t>
        </is>
      </c>
      <c r="F2" s="2" t="inlineStr">
        <is>
          <t>BM-MEHENDI</t>
        </is>
      </c>
      <c r="G2" s="2" t="inlineStr">
        <is>
          <t>Wedding &amp; Occasion</t>
        </is>
      </c>
      <c r="H2" s="2" t="inlineStr">
        <is>
          <t>Mehendi Artist</t>
        </is>
      </c>
      <c r="I2" s="2" t="inlineStr">
        <is>
          <t>Mumbai</t>
        </is>
      </c>
      <c r="J2" s="2" t="inlineStr">
        <is>
          <t>C — Strong Mid-tier</t>
        </is>
      </c>
      <c r="K2" s="2" t="inlineStr">
        <is>
          <t>Independent mehendi artist</t>
        </is>
      </c>
      <c r="L2" s="2" t="inlineStr">
        <is>
          <t>P0</t>
        </is>
      </c>
      <c r="M2" s="2" t="inlineStr">
        <is>
          <t>P1</t>
        </is>
      </c>
      <c r="N2" s="2" t="n">
        <v>86.5</v>
      </c>
      <c r="O2" s="2" t="n">
        <v>100</v>
      </c>
      <c r="P2" s="2" t="n">
        <v>80.09999999999999</v>
      </c>
      <c r="Q2" s="2" t="n">
        <v>88</v>
      </c>
      <c r="R2" s="2" t="n">
        <v>52</v>
      </c>
      <c r="S2" s="2" t="inlineStr">
        <is>
          <t>C1-DIRECT-VERIFIED</t>
        </is>
      </c>
      <c r="T2" s="2" t="inlineStr">
        <is>
          <t>Personal 1:1 email from founder/team to published business email</t>
        </is>
      </c>
      <c r="U2" s="2" t="inlineStr">
        <is>
          <t>https://arunmehandi.com/</t>
        </is>
      </c>
      <c r="V2" s="2" t="inlineStr">
        <is>
          <t>2026-03 — latest client review on WedMeGood profile</t>
        </is>
      </c>
      <c r="W2" s="2" t="inlineStr">
        <is>
          <t>210 client reviews on WedMeGood (rating 4.9); starting price Rs 4,000;</t>
        </is>
      </c>
      <c r="X2" s="2" t="inlineStr">
        <is>
          <t>WedMeGood (Vendor profile (Mehendi Artists, Handpicked membership, on WMG 8 years))</t>
        </is>
      </c>
      <c r="Y2" s="2" t="inlineStr">
        <is>
          <t>Readiness 86 (top 1% in category) | Commercial: 210 client reviews on WedMeGood (rating 4.9); starting price Rs 4,000; | Active: 2026-03 — latest client review on WedMeGood profile</t>
        </is>
      </c>
      <c r="Z2" s="2" t="inlineStr">
        <is>
          <t>Lead with a specific design style. Ask how bookings arrive today. Service/booking availability at launch is being confirmed (EV-09).</t>
        </is>
      </c>
      <c r="AA2" s="2" t="inlineStr">
        <is>
          <t>Bookings already come via WedMeGood, Instagram and WhatsApp referrals</t>
        </is>
      </c>
      <c r="AB2" s="2" t="inlineStr">
        <is>
          <t>Bookings already via wedding portals/Instagram; off-platform client contact (SP-4a open); peak-season time</t>
        </is>
      </c>
      <c r="AC2" s="2" t="inlineStr">
        <is>
          <t>E01 (Wave 0)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n">
        <v>2</v>
      </c>
      <c r="B3" s="2" t="inlineStr">
        <is>
          <t>Wave 0 — Controlled pilot</t>
        </is>
      </c>
      <c r="C3" s="2" t="inlineStr">
        <is>
          <t>UPK2-BM-178</t>
        </is>
      </c>
      <c r="D3" s="2" t="inlineStr">
        <is>
          <t>Himani Bhandula Makeup Artist</t>
        </is>
      </c>
      <c r="E3" s="2" t="inlineStr">
        <is>
          <t>Beauty &amp; Makeup</t>
        </is>
      </c>
      <c r="F3" s="2" t="inlineStr">
        <is>
          <t>BM-INDEPENDENT-MUA</t>
        </is>
      </c>
      <c r="G3" s="2" t="inlineStr">
        <is>
          <t>Wedding &amp; Occasion</t>
        </is>
      </c>
      <c r="H3" s="2" t="inlineStr">
        <is>
          <t>Bridal &amp; party makeup artist</t>
        </is>
      </c>
      <c r="I3" s="2" t="inlineStr">
        <is>
          <t>Delhi NCR</t>
        </is>
      </c>
      <c r="J3" s="2" t="inlineStr">
        <is>
          <t>B — Established Independent</t>
        </is>
      </c>
      <c r="K3" s="2" t="inlineStr">
        <is>
          <t>Independent makeup artist</t>
        </is>
      </c>
      <c r="L3" s="2" t="inlineStr">
        <is>
          <t>P0</t>
        </is>
      </c>
      <c r="M3" s="2" t="inlineStr">
        <is>
          <t>P0</t>
        </is>
      </c>
      <c r="N3" s="2" t="n">
        <v>82.3</v>
      </c>
      <c r="O3" s="2" t="n">
        <v>100</v>
      </c>
      <c r="P3" s="2" t="n">
        <v>71.2</v>
      </c>
      <c r="Q3" s="2" t="n">
        <v>77</v>
      </c>
      <c r="R3" s="2" t="n">
        <v>35</v>
      </c>
      <c r="S3" s="2" t="inlineStr">
        <is>
          <t>C1-DIRECT-VERIFIED</t>
        </is>
      </c>
      <c r="T3" s="2" t="inlineStr">
        <is>
          <t>1:1 message via own-website contact form</t>
        </is>
      </c>
      <c r="U3" s="2" t="inlineStr">
        <is>
          <t>https://himanibhandula.com/contact/</t>
        </is>
      </c>
      <c r="V3" s="2" t="inlineStr">
        <is>
          <t>2026-09 — latest client review on WedMeGood profile</t>
        </is>
      </c>
      <c r="W3" s="2" t="inlineStr">
        <is>
          <t>40 client reviews on WedMeGood (rating 5); 8 of latest 10 shown reviews dated 2025–26; starting price ₹18,000 per function listed</t>
        </is>
      </c>
      <c r="X3" s="2" t="inlineStr">
        <is>
          <t>WedMeGood (Vendor profile with client reviews); Own website (First-party site)</t>
        </is>
      </c>
      <c r="Y3" s="2" t="inlineStr">
        <is>
          <t>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  <c r="Z3" s="2" t="inlineStr">
        <is>
          <t>Lead with their bridal portfolio. Ask how bookings arrive today. Be explicit that service/booking availability at launch is being confirmed (EV-09).</t>
        </is>
      </c>
      <c r="AA3" s="2" t="inlineStr">
        <is>
          <t>Bookings already arrive via WedMeGood/Instagram; may see limited need for another platform</t>
        </is>
      </c>
      <c r="AB3" s="2" t="inlineStr">
        <is>
          <t>Bookings already via wedding portals/Instagram; off-platform client contact (SP-4a open); peak-season time</t>
        </is>
      </c>
      <c r="AC3" s="2" t="inlineStr">
        <is>
          <t>E01 (Wave 0)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n">
        <v>3</v>
      </c>
      <c r="B4" s="2" t="inlineStr">
        <is>
          <t>Wave 0 — Controlled pilot</t>
        </is>
      </c>
      <c r="C4" s="2" t="inlineStr">
        <is>
          <t>UPK2-BM-208</t>
        </is>
      </c>
      <c r="D4" s="2" t="inlineStr">
        <is>
          <t>Roopali Talwar Makeup Artist</t>
        </is>
      </c>
      <c r="E4" s="2" t="inlineStr">
        <is>
          <t>Beauty &amp; Makeup</t>
        </is>
      </c>
      <c r="F4" s="2" t="inlineStr">
        <is>
          <t>BM-INDEPENDENT-MUA</t>
        </is>
      </c>
      <c r="G4" s="2" t="inlineStr">
        <is>
          <t>Wedding &amp; Occasion</t>
        </is>
      </c>
      <c r="H4" s="2" t="inlineStr">
        <is>
          <t>Bridal &amp; party makeup artist</t>
        </is>
      </c>
      <c r="I4" s="2" t="inlineStr">
        <is>
          <t>Delhi NCR</t>
        </is>
      </c>
      <c r="J4" s="2" t="inlineStr">
        <is>
          <t>B — Established Independent</t>
        </is>
      </c>
      <c r="K4" s="2" t="inlineStr">
        <is>
          <t>Independent makeup artist</t>
        </is>
      </c>
      <c r="L4" s="2" t="inlineStr">
        <is>
          <t>P0</t>
        </is>
      </c>
      <c r="M4" s="2" t="inlineStr">
        <is>
          <t>P0</t>
        </is>
      </c>
      <c r="N4" s="2" t="n">
        <v>79.8</v>
      </c>
      <c r="O4" s="2" t="n">
        <v>99</v>
      </c>
      <c r="P4" s="2" t="n">
        <v>71</v>
      </c>
      <c r="Q4" s="2" t="n">
        <v>77</v>
      </c>
      <c r="R4" s="2" t="n">
        <v>40</v>
      </c>
      <c r="S4" s="2" t="inlineStr">
        <is>
          <t>C1-DIRECT-VERIFIED</t>
        </is>
      </c>
      <c r="T4" s="2" t="inlineStr">
        <is>
          <t>1:1 message via own-website contact form</t>
        </is>
      </c>
      <c r="U4" s="2" t="inlineStr">
        <is>
          <t>https://roopalitalwar.com/</t>
        </is>
      </c>
      <c r="V4" s="2" t="inlineStr">
        <is>
          <t>2026-01 — latest client review on WedMeGood profile</t>
        </is>
      </c>
      <c r="W4" s="2" t="inlineStr">
        <is>
          <t>62 client reviews on WedMeGood (rating 5); 2 of latest 10 shown reviews dated 2025–26; starting price ₹45,000 per function listed</t>
        </is>
      </c>
      <c r="X4" s="2" t="inlineStr">
        <is>
          <t>WedMeGood (Vendor profile with client reviews); Own website (First-party site)</t>
        </is>
      </c>
      <c r="Y4" s="2" t="inlineStr">
        <is>
          <t>Readiness 80 (top 2% in category) | Commercial: 62 client reviews on WedMeGood (rating 5); 2 of latest 10 shown reviews dated 2025–26; st… | Active: 2026-01 — latest client review on WedMeGood profile | Independent/emerging tier — fame not a factor</t>
        </is>
      </c>
      <c r="Z4" s="2" t="inlineStr">
        <is>
          <t>Lead with their bridal portfolio. Ask how bookings arrive today. Be explicit that service/booking availability at launch is being confirmed (EV-09).</t>
        </is>
      </c>
      <c r="AA4" s="2" t="inlineStr">
        <is>
          <t>Bookings already arrive via WedMeGood/Instagram; may see limited need for another platform</t>
        </is>
      </c>
      <c r="AB4" s="2" t="inlineStr">
        <is>
          <t>Bookings already via wedding portals/Instagram; off-platform client contact (SP-4a open); peak-season time</t>
        </is>
      </c>
      <c r="AC4" s="2" t="inlineStr">
        <is>
          <t>E01 (Wave 0)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2" t="n">
        <v>4</v>
      </c>
      <c r="B5" s="2" t="inlineStr">
        <is>
          <t>Wave 0 — Controlled pilot</t>
        </is>
      </c>
      <c r="C5" s="2" t="inlineStr">
        <is>
          <t>UPK2-BM-004</t>
        </is>
      </c>
      <c r="D5" s="2" t="inlineStr">
        <is>
          <t>MG Makeovers</t>
        </is>
      </c>
      <c r="E5" s="2" t="inlineStr">
        <is>
          <t>Beauty &amp; Makeup</t>
        </is>
      </c>
      <c r="F5" s="2" t="inlineStr">
        <is>
          <t>BM-STUDIO</t>
        </is>
      </c>
      <c r="G5" s="2" t="inlineStr">
        <is>
          <t>Wedding &amp; Occasion</t>
        </is>
      </c>
      <c r="H5" s="2" t="inlineStr">
        <is>
          <t>Bridal Makeup Artist &amp; Studio Salon</t>
        </is>
      </c>
      <c r="I5" s="2" t="inlineStr">
        <is>
          <t>Delhi NCR</t>
        </is>
      </c>
      <c r="J5" s="2" t="inlineStr">
        <is>
          <t>C — Strong Mid-tier</t>
        </is>
      </c>
      <c r="K5" s="2" t="inlineStr">
        <is>
          <t>Studio salon</t>
        </is>
      </c>
      <c r="L5" s="2" t="inlineStr">
        <is>
          <t>P0</t>
        </is>
      </c>
      <c r="M5" s="2" t="inlineStr">
        <is>
          <t>P1</t>
        </is>
      </c>
      <c r="N5" s="2" t="n">
        <v>76</v>
      </c>
      <c r="O5" s="2" t="n">
        <v>98</v>
      </c>
      <c r="P5" s="2" t="n">
        <v>67.2</v>
      </c>
      <c r="Q5" s="2" t="n">
        <v>74</v>
      </c>
      <c r="R5" s="2" t="n">
        <v>35</v>
      </c>
      <c r="S5" s="2" t="inlineStr">
        <is>
          <t>C1-DIRECT-VERIFIED</t>
        </is>
      </c>
      <c r="T5" s="2" t="inlineStr">
        <is>
          <t>Personal 1:1 email from founder/team to published business email</t>
        </is>
      </c>
      <c r="U5" s="2" t="inlineStr">
        <is>
          <t>https://www.mgmakeovers.com/contact-us</t>
        </is>
      </c>
      <c r="V5" s="2" t="inlineStr">
        <is>
          <t>2026 — site copyright 2026</t>
        </is>
      </c>
      <c r="W5" s="2" t="inlineStr">
        <is>
          <t>Gurgaon studio; HD ₹20,000 / airbrush ₹25,000 listed; online booking with WhatsApp confirmation; nail/lash studio</t>
        </is>
      </c>
      <c r="X5" s="2" t="inlineStr">
        <is>
          <t>Own website (First-party site)</t>
        </is>
      </c>
      <c r="Y5" s="2" t="inlineStr">
        <is>
          <t>Readiness 76 (top 3% in category) | Commercial: Gurgaon studio; HD ₹20,000 / airbrush ₹25,000 listed; online booking with WhatsApp confir… | Active: 2026 — site copyright 2026</t>
        </is>
      </c>
      <c r="Z5" s="2" t="inlineStr">
        <is>
          <t>Lead with the studio's body of work and team. Ask how bookings arrive today. Service/booking availability at launch is being confirmed (EV-09).</t>
        </is>
      </c>
      <c r="AA5" s="2" t="inlineStr">
        <is>
          <t>Salon operations focus</t>
        </is>
      </c>
      <c r="AB5" s="2" t="inlineStr">
        <is>
          <t>Bookings already via wedding portals/Instagram; off-platform client contact (SP-4a open); peak-season time</t>
        </is>
      </c>
      <c r="AC5" s="2" t="inlineStr">
        <is>
          <t>E01 (Wave 0)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</row>
    <row r="6">
      <c r="A6" s="2" t="n">
        <v>5</v>
      </c>
      <c r="B6" s="2" t="inlineStr">
        <is>
          <t>Wave 0 — Controlled pilot</t>
        </is>
      </c>
      <c r="C6" s="2" t="inlineStr">
        <is>
          <t>UPK2-BM-394</t>
        </is>
      </c>
      <c r="D6" s="2" t="inlineStr">
        <is>
          <t>Satish Mehandi Art</t>
        </is>
      </c>
      <c r="E6" s="2" t="inlineStr">
        <is>
          <t>Beauty &amp; Makeup</t>
        </is>
      </c>
      <c r="F6" s="2" t="inlineStr">
        <is>
          <t>BM-MEHENDI</t>
        </is>
      </c>
      <c r="G6" s="2" t="inlineStr">
        <is>
          <t>Wedding &amp; Occasion</t>
        </is>
      </c>
      <c r="H6" s="2" t="inlineStr">
        <is>
          <t>Mehendi / henna artist</t>
        </is>
      </c>
      <c r="I6" s="2" t="inlineStr">
        <is>
          <t>Delhi NCR</t>
        </is>
      </c>
      <c r="J6" s="2" t="inlineStr">
        <is>
          <t>C — Strong Mid-tier</t>
        </is>
      </c>
      <c r="K6" s="2" t="inlineStr">
        <is>
          <t>Independent mehendi artist / team</t>
        </is>
      </c>
      <c r="L6" s="2" t="inlineStr">
        <is>
          <t>P0</t>
        </is>
      </c>
      <c r="M6" s="2" t="inlineStr">
        <is>
          <t>P1</t>
        </is>
      </c>
      <c r="N6" s="2" t="n">
        <v>68.7</v>
      </c>
      <c r="O6" s="2" t="n">
        <v>72</v>
      </c>
      <c r="P6" s="2" t="n">
        <v>67</v>
      </c>
      <c r="Q6" s="2" t="n">
        <v>72</v>
      </c>
      <c r="R6" s="2" t="n">
        <v>55</v>
      </c>
      <c r="S6" s="2" t="inlineStr">
        <is>
          <t>C3-PRO-SOCIAL</t>
        </is>
      </c>
      <c r="T6" s="2" t="inlineStr">
        <is>
          <t>1:1 Instagram DM from Uepaki professional account</t>
        </is>
      </c>
      <c r="U6" s="2" t="inlineStr">
        <is>
          <t>https://satishmehandiart.in/</t>
        </is>
      </c>
      <c r="V6" s="2" t="inlineStr">
        <is>
          <t>2025-10 — latest client review on WedMeGood profile</t>
        </is>
      </c>
      <c r="W6" s="2" t="inlineStr">
        <is>
          <t>150 client reviews on WedMeGood (rating 4.7); 1 of latest 10 shown reviews dated 2025–26; starting price ₹3100 onwards per package/function listed</t>
        </is>
      </c>
      <c r="X6" s="2" t="inlineStr">
        <is>
          <t>WedMeGood (Vendor profile with client reviews); Own website (First-party site)</t>
        </is>
      </c>
      <c r="Y6" s="2" t="inlineStr">
        <is>
          <t>Readiness 69 (top 29% in category) | Commercial: 150 client reviews on WedMeGood (rating 4.7); 1 of latest 10 shown reviews dated 2025–26;… | Active: 2025-10 — latest client review on WedMeGood profile</t>
        </is>
      </c>
      <c r="Z6" s="2" t="inlineStr">
        <is>
          <t>Lead with a specific design style. Ask how bookings arrive today. Service/booking availability at launch is being confirmed (EV-09).</t>
        </is>
      </c>
      <c r="AA6" s="2" t="inlineStr">
        <is>
          <t>Bookings already arrive via WedMeGood/Instagram; may see limited need for another platform</t>
        </is>
      </c>
      <c r="AB6" s="2" t="inlineStr">
        <is>
          <t>Bookings already via wedding portals/Instagram; off-platform client contact (SP-4a open); peak-season time</t>
        </is>
      </c>
      <c r="AC6" s="2" t="inlineStr">
        <is>
          <t>E01 (Wave 0)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2" t="n">
        <v>6</v>
      </c>
      <c r="B7" s="2" t="inlineStr">
        <is>
          <t>Wave 0 — Controlled pilot</t>
        </is>
      </c>
      <c r="C7" s="2" t="inlineStr">
        <is>
          <t>UPK2-BM-014</t>
        </is>
      </c>
      <c r="D7" s="2" t="inlineStr">
        <is>
          <t>Liberte by Hiral</t>
        </is>
      </c>
      <c r="E7" s="2" t="inlineStr">
        <is>
          <t>Beauty &amp; Makeup</t>
        </is>
      </c>
      <c r="F7" s="2" t="inlineStr">
        <is>
          <t>BM-INDEPENDENT-MUA</t>
        </is>
      </c>
      <c r="G7" s="2" t="inlineStr">
        <is>
          <t>Wedding &amp; Occasion</t>
        </is>
      </c>
      <c r="H7" s="2" t="inlineStr">
        <is>
          <t>Minimal/Cruelty-free Bridal MUA</t>
        </is>
      </c>
      <c r="I7" s="2" t="inlineStr">
        <is>
          <t>Mumbai</t>
        </is>
      </c>
      <c r="J7" s="2" t="inlineStr">
        <is>
          <t>B — Established Independent</t>
        </is>
      </c>
      <c r="K7" s="2" t="inlineStr">
        <is>
          <t>Independent professional</t>
        </is>
      </c>
      <c r="L7" s="2" t="inlineStr">
        <is>
          <t>P0</t>
        </is>
      </c>
      <c r="M7" s="2" t="inlineStr">
        <is>
          <t>P0</t>
        </is>
      </c>
      <c r="N7" s="2" t="n">
        <v>74.09999999999999</v>
      </c>
      <c r="O7" s="2" t="n">
        <v>96</v>
      </c>
      <c r="P7" s="2" t="n">
        <v>64.40000000000001</v>
      </c>
      <c r="Q7" s="2" t="n">
        <v>71</v>
      </c>
      <c r="R7" s="2" t="n">
        <v>30</v>
      </c>
      <c r="S7" s="2" t="inlineStr">
        <is>
          <t>C1-DIRECT-VERIFIED</t>
        </is>
      </c>
      <c r="T7" s="2" t="inlineStr">
        <is>
          <t>Personal 1:1 email from founder/team to published business email</t>
        </is>
      </c>
      <c r="U7" s="2" t="inlineStr">
        <is>
          <t>https://shahhirral.wixsite.com/libertebyhiral</t>
        </is>
      </c>
      <c r="V7" s="2" t="inlineStr">
        <is>
          <t>2026-09 — WeddingSutra vendor profile last modified (page metadata)</t>
        </is>
      </c>
      <c r="W7" s="2" t="inlineStr">
        <is>
          <t>Cruelty-free bridal makeup (per WS bio)</t>
        </is>
      </c>
      <c r="X7" s="2" t="inlineStr">
        <is>
          <t>WeddingSutra (Vendor showcase profile (Makeup Artists))</t>
        </is>
      </c>
      <c r="Y7" s="2" t="inlineStr">
        <is>
          <t>Readiness 74 (top 5% in category) | Commercial: Cruelty-free bridal makeup (per WS bio) | Active: 2026-09 — WeddingSutra vendor profile last modified (page metadata) | Independent/emerging tier — fame not a factor</t>
        </is>
      </c>
      <c r="Z7" s="2" t="inlineStr">
        <is>
          <t>Lead with their bridal portfolio. Ask how bookings arrive today. Be explicit that service/booking availability at launch is being confirmed (EV-09).</t>
        </is>
      </c>
      <c r="AA7" s="2" t="inlineStr">
        <is>
          <t>Bookings already flow via Instagram/WhatsApp and wedding portals</t>
        </is>
      </c>
      <c r="AB7" s="2" t="inlineStr">
        <is>
          <t>Bookings already via wedding portals/Instagram; off-platform client contact (SP-4a open); peak-season time</t>
        </is>
      </c>
      <c r="AC7" s="2" t="inlineStr">
        <is>
          <t>E01 (Wave 0)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</row>
    <row r="8">
      <c r="A8" s="2" t="n">
        <v>7</v>
      </c>
      <c r="B8" s="2" t="inlineStr">
        <is>
          <t>Wave 0 — Controlled pilot</t>
        </is>
      </c>
      <c r="C8" s="2" t="inlineStr">
        <is>
          <t>UPK2-FL-163</t>
        </is>
      </c>
      <c r="D8" s="2" t="inlineStr">
        <is>
          <t>Bhumika Sharma</t>
        </is>
      </c>
      <c r="E8" s="2" t="inlineStr">
        <is>
          <t>Fashion &amp; Lifestyle</t>
        </is>
      </c>
      <c r="F8" s="2" t="inlineStr">
        <is>
          <t>FL-OCCASION-BRIDAL</t>
        </is>
      </c>
      <c r="G8" s="2" t="inlineStr">
        <is>
          <t>Wedding &amp; Occasion</t>
        </is>
      </c>
      <c r="H8" s="2" t="inlineStr">
        <is>
          <t>Occasion &amp; bridal wear (lehengas, sarees, festive sets)</t>
        </is>
      </c>
      <c r="I8" s="2" t="inlineStr">
        <is>
          <t>Delhi NCR</t>
        </is>
      </c>
      <c r="J8" s="2" t="inlineStr">
        <is>
          <t>B — Established Independent</t>
        </is>
      </c>
      <c r="K8" s="2" t="inlineStr">
        <is>
          <t>Label/brand (D2C store)</t>
        </is>
      </c>
      <c r="L8" s="2" t="inlineStr">
        <is>
          <t>P0</t>
        </is>
      </c>
      <c r="M8" s="2" t="inlineStr">
        <is>
          <t>P0</t>
        </is>
      </c>
      <c r="N8" s="2" t="n">
        <v>87</v>
      </c>
      <c r="O8" s="2" t="n">
        <v>100</v>
      </c>
      <c r="P8" s="2" t="n">
        <v>79.3</v>
      </c>
      <c r="Q8" s="2" t="n">
        <v>86</v>
      </c>
      <c r="R8" s="2" t="n">
        <v>50</v>
      </c>
      <c r="S8" s="2" t="inlineStr">
        <is>
          <t>C1-DIRECT-VERIFIED</t>
        </is>
      </c>
      <c r="T8" s="2" t="inlineStr">
        <is>
          <t>Personal 1:1 email from founder/team to published business email</t>
        </is>
      </c>
      <c r="U8" s="2" t="inlineStr">
        <is>
          <t>https://www.bhumikasharma.in/pages/contact</t>
        </is>
      </c>
      <c r="V8" s="2" t="inlineStr">
        <is>
          <t>2026-09 — newest product published on own Shopify store (Nitibha Kaul in Zarinah Lehenga) per products.json</t>
        </is>
      </c>
      <c r="W8" s="2" t="inlineStr">
        <is>
          <t>Own online store live with 250+ products listed; stocked by multi-designer retailer(s): Aza Fashions, Ogaan</t>
        </is>
      </c>
      <c r="X8" s="2" t="inlineStr">
        <is>
          <t>Aza Fashions (stocked designer (designer index)); Ogaan (stocked designer (designer index))</t>
        </is>
      </c>
      <c r="Y8" s="2" t="inlineStr">
        <is>
          <t>Readiness 87 (top 1% in category) | Commercial: Own online store live with 250+ products listed; stocked by multi-designer retailer(s): A… | Active: 2026-09 — newest product published on own Shopify store (Nitibha Kaul… | Marketplace-familiar: Aza Fashions); Ogaan) | Independent/emerging tier — fame not a factor</t>
        </is>
      </c>
      <c r="Z8" s="2" t="inlineStr">
        <is>
          <t>Lead with the label's craft and name. Ask how made-to-order/bridal enquiries reach them today. Position Uepaki as an additional professional channel, not a replacement for stockists.</t>
        </is>
      </c>
      <c r="AA8" s="2" t="inlineStr">
        <is>
          <t>Already has own D2C store and established multi-designer stockists</t>
        </is>
      </c>
      <c r="AB8" s="2" t="inlineStr">
        <is>
          <t>Own D2C store/stockists already; "who else is on it?"; commission vs stockist margin</t>
        </is>
      </c>
      <c r="AC8" s="2" t="inlineStr">
        <is>
          <t>E01 (Wave 0)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</row>
    <row r="9">
      <c r="A9" s="2" t="n">
        <v>8</v>
      </c>
      <c r="B9" s="2" t="inlineStr">
        <is>
          <t>Wave 0 — Controlled pilot</t>
        </is>
      </c>
      <c r="C9" s="2" t="inlineStr">
        <is>
          <t>UPK2-FL-164</t>
        </is>
      </c>
      <c r="D9" s="2" t="inlineStr">
        <is>
          <t>Devnaagri</t>
        </is>
      </c>
      <c r="E9" s="2" t="inlineStr">
        <is>
          <t>Fashion &amp; Lifestyle</t>
        </is>
      </c>
      <c r="F9" s="2" t="inlineStr">
        <is>
          <t>FL-OCCASION-BRIDAL</t>
        </is>
      </c>
      <c r="G9" s="2" t="inlineStr">
        <is>
          <t>Wedding &amp; Occasion</t>
        </is>
      </c>
      <c r="H9" s="2" t="inlineStr">
        <is>
          <t>Occasion &amp; bridal wear (lehengas, sarees, festive sets)</t>
        </is>
      </c>
      <c r="I9" s="2" t="inlineStr">
        <is>
          <t>Delhi NCR</t>
        </is>
      </c>
      <c r="J9" s="2" t="inlineStr">
        <is>
          <t>B — Established Independent</t>
        </is>
      </c>
      <c r="K9" s="2" t="inlineStr">
        <is>
          <t>Label/brand (D2C store)</t>
        </is>
      </c>
      <c r="L9" s="2" t="inlineStr">
        <is>
          <t>P0</t>
        </is>
      </c>
      <c r="M9" s="2" t="inlineStr">
        <is>
          <t>P0</t>
        </is>
      </c>
      <c r="N9" s="2" t="n">
        <v>87</v>
      </c>
      <c r="O9" s="2" t="n">
        <v>100</v>
      </c>
      <c r="P9" s="2" t="n">
        <v>79.3</v>
      </c>
      <c r="Q9" s="2" t="n">
        <v>86</v>
      </c>
      <c r="R9" s="2" t="n">
        <v>50</v>
      </c>
      <c r="S9" s="2" t="inlineStr">
        <is>
          <t>C1-DIRECT-VERIFIED</t>
        </is>
      </c>
      <c r="T9" s="2" t="inlineStr">
        <is>
          <t>Personal 1:1 email from founder/team to published business email</t>
        </is>
      </c>
      <c r="U9" s="2" t="inlineStr">
        <is>
          <t>https://www.devnaagri.com/pages/contact-us</t>
        </is>
      </c>
      <c r="V9" s="2" t="inlineStr">
        <is>
          <t>2026-10 — newest product published on own Shopify store (Sara Ali Khan in Inaya - Blush Pink Farshi Salwar Set) per products.json</t>
        </is>
      </c>
      <c r="W9" s="2" t="inlineStr">
        <is>
          <t>Own online store live with 250+ products listed; stocked by multi-designer retailer(s): Aza Fashions, Ogaan</t>
        </is>
      </c>
      <c r="X9" s="2" t="inlineStr">
        <is>
          <t>Aza Fashions (stocked designer (designer index)); Ogaan (stocked designer (designer index))</t>
        </is>
      </c>
      <c r="Y9" s="2" t="inlineStr">
        <is>
          <t>Readiness 87 (top 1% in category) | Commercial: Own online store live with 250+ products listed; stocked by multi-designer retailer(s): A… | Active: 2026-10 — newest product published on own Shopify store (Sara Ali Kha… | Marketplace-familiar: Aza Fashions); Ogaan) | Independent/emerging tier — fame not a factor</t>
        </is>
      </c>
      <c r="Z9" s="2" t="inlineStr">
        <is>
          <t>Lead with the label's craft and name. Ask how made-to-order/bridal enquiries reach them today. Position Uepaki as an additional professional channel, not a replacement for stockists.</t>
        </is>
      </c>
      <c r="AA9" s="2" t="inlineStr">
        <is>
          <t>Already has own D2C store and established multi-designer stockists</t>
        </is>
      </c>
      <c r="AB9" s="2" t="inlineStr">
        <is>
          <t>Own D2C store/stockists already; "who else is on it?"; commission vs stockist margin</t>
        </is>
      </c>
      <c r="AC9" s="2" t="inlineStr">
        <is>
          <t>E01 (Wave 0)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</row>
    <row r="10">
      <c r="A10" s="2" t="n">
        <v>9</v>
      </c>
      <c r="B10" s="2" t="inlineStr">
        <is>
          <t>Wave 0 — Controlled pilot</t>
        </is>
      </c>
      <c r="C10" s="2" t="inlineStr">
        <is>
          <t>UPK2-FL-165</t>
        </is>
      </c>
      <c r="D10" s="2" t="inlineStr">
        <is>
          <t>Miss Jo</t>
        </is>
      </c>
      <c r="E10" s="2" t="inlineStr">
        <is>
          <t>Fashion &amp; Lifestyle</t>
        </is>
      </c>
      <c r="F10" s="2" t="inlineStr">
        <is>
          <t>FL-JEWELLERY</t>
        </is>
      </c>
      <c r="G10" s="2" t="inlineStr">
        <is>
          <t>Wedding &amp; Occasion</t>
        </is>
      </c>
      <c r="H10" s="2" t="inlineStr">
        <is>
          <t>Designer jewellery</t>
        </is>
      </c>
      <c r="I10" s="2" t="inlineStr">
        <is>
          <t>Delhi NCR</t>
        </is>
      </c>
      <c r="J10" s="2" t="inlineStr">
        <is>
          <t>B — Established Independent</t>
        </is>
      </c>
      <c r="K10" s="2" t="inlineStr">
        <is>
          <t>Label/brand (D2C store)</t>
        </is>
      </c>
      <c r="L10" s="2" t="inlineStr">
        <is>
          <t>P0</t>
        </is>
      </c>
      <c r="M10" s="2" t="inlineStr">
        <is>
          <t>P0</t>
        </is>
      </c>
      <c r="N10" s="2" t="n">
        <v>87</v>
      </c>
      <c r="O10" s="2" t="n">
        <v>100</v>
      </c>
      <c r="P10" s="2" t="n">
        <v>79.3</v>
      </c>
      <c r="Q10" s="2" t="n">
        <v>86</v>
      </c>
      <c r="R10" s="2" t="n">
        <v>50</v>
      </c>
      <c r="S10" s="2" t="inlineStr">
        <is>
          <t>C1-DIRECT-VERIFIED</t>
        </is>
      </c>
      <c r="T10" s="2" t="inlineStr">
        <is>
          <t>Personal 1:1 email from founder/team to published business email</t>
        </is>
      </c>
      <c r="U10" s="2" t="inlineStr">
        <is>
          <t>https://missjo.com/pages/contact</t>
        </is>
      </c>
      <c r="V10" s="2" t="inlineStr">
        <is>
          <t>2026-08 — newest product published on own Shopify store (Oval Shaped Solitaire Wedding Bands) per products.json</t>
        </is>
      </c>
      <c r="W10" s="2" t="inlineStr">
        <is>
          <t>Own online store live with 250+ products listed; stocked by multi-designer retailer(s): Aza Fashions, Ogaan</t>
        </is>
      </c>
      <c r="X10" s="2" t="inlineStr">
        <is>
          <t>Aza Fashions (stocked designer (designer index)); Ogaan (stocked designer (designer index))</t>
        </is>
      </c>
      <c r="Y10" s="2" t="inlineStr">
        <is>
          <t>Readiness 87 (top 1% in category) | Commercial: Own online store live with 250+ products listed; stocked by multi-designer retailer(s): A… | Active: 2026-08 — newest product published on own Shopify store (Oval Shaped… | Marketplace-familiar: Aza Fashions); Ogaan) | Independent/emerging tier — fame not a factor</t>
        </is>
      </c>
      <c r="Z10" s="2" t="inlineStr">
        <is>
          <t>Lead with a specific collection. Position as an additional channel under the label's own name. No sales promises.</t>
        </is>
      </c>
      <c r="AA10" s="2" t="inlineStr">
        <is>
          <t>Already has own D2C store and established multi-designer stockists</t>
        </is>
      </c>
      <c r="AB10" s="2" t="inlineStr">
        <is>
          <t>Own D2C store/stockists already; "who else is on it?"; commission vs stockist margin</t>
        </is>
      </c>
      <c r="AC10" s="2" t="inlineStr">
        <is>
          <t>E01 (Wave 0)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</row>
    <row r="11">
      <c r="A11" s="2" t="n">
        <v>10</v>
      </c>
      <c r="B11" s="2" t="inlineStr">
        <is>
          <t>Wave 0 — Controlled pilot</t>
        </is>
      </c>
      <c r="C11" s="2" t="inlineStr">
        <is>
          <t>UPK2-FL-167</t>
        </is>
      </c>
      <c r="D11" s="2" t="inlineStr">
        <is>
          <t>The Leather Garden</t>
        </is>
      </c>
      <c r="E11" s="2" t="inlineStr">
        <is>
          <t>Fashion &amp; Lifestyle</t>
        </is>
      </c>
      <c r="F11" s="2" t="inlineStr">
        <is>
          <t>FL-ACCESSORIES</t>
        </is>
      </c>
      <c r="G11" s="2" t="inlineStr">
        <is>
          <t>Brand &amp; Everyday Style</t>
        </is>
      </c>
      <c r="H11" s="2" t="inlineStr">
        <is>
          <t>Designer bags &amp; accessories</t>
        </is>
      </c>
      <c r="I11" s="2" t="inlineStr">
        <is>
          <t>Delhi NCR</t>
        </is>
      </c>
      <c r="J11" s="2" t="inlineStr">
        <is>
          <t>B — Established Independent</t>
        </is>
      </c>
      <c r="K11" s="2" t="inlineStr">
        <is>
          <t>Label/brand (D2C store)</t>
        </is>
      </c>
      <c r="L11" s="2" t="inlineStr">
        <is>
          <t>P0</t>
        </is>
      </c>
      <c r="M11" s="2" t="inlineStr">
        <is>
          <t>P0</t>
        </is>
      </c>
      <c r="N11" s="2" t="n">
        <v>87</v>
      </c>
      <c r="O11" s="2" t="n">
        <v>100</v>
      </c>
      <c r="P11" s="2" t="n">
        <v>79.3</v>
      </c>
      <c r="Q11" s="2" t="n">
        <v>86</v>
      </c>
      <c r="R11" s="2" t="n">
        <v>50</v>
      </c>
      <c r="S11" s="2" t="inlineStr">
        <is>
          <t>C1-DIRECT-VERIFIED</t>
        </is>
      </c>
      <c r="T11" s="2" t="inlineStr">
        <is>
          <t>Personal 1:1 email from founder/team to published business email</t>
        </is>
      </c>
      <c r="U11" s="2" t="inlineStr">
        <is>
          <t>https://theleathergarden.com/collections/notebook</t>
        </is>
      </c>
      <c r="V11" s="2" t="inlineStr">
        <is>
          <t>2026-09 — newest product published on own Shopify store (Mini Holly) per products.json</t>
        </is>
      </c>
      <c r="W11" s="2" t="inlineStr">
        <is>
          <t>Own online store live with 250+ products listed; stocked by multi-designer retailer(s): Aza Fashions, Ogaan</t>
        </is>
      </c>
      <c r="X11" s="2" t="inlineStr">
        <is>
          <t>Aza Fashions (stocked designer (designer index)); Ogaan (stocked designer (designer index))</t>
        </is>
      </c>
      <c r="Y11" s="2" t="inlineStr">
        <is>
          <t>Readiness 87 (top 1% in category) | Commercial: Own online store live with 250+ products listed; stocked by multi-designer retailer(s): A… | Active: 2026-09 — newest product published on own Shopify store (Mini Holly)… | Marketplace-familiar: Aza Fashions); Ogaan) | Independent/emerging tier — fame not a factor</t>
        </is>
      </c>
      <c r="Z11" s="2" t="inlineStr">
        <is>
          <t>Lead with a specific product line. Position as an additional channel under the label's own name.</t>
        </is>
      </c>
      <c r="AA11" s="2" t="inlineStr">
        <is>
          <t>Already has own D2C store and established multi-designer stockists</t>
        </is>
      </c>
      <c r="AB11" s="2" t="inlineStr">
        <is>
          <t>Own D2C store/stockists already; "who else is on it?"; commission vs stockist margin</t>
        </is>
      </c>
      <c r="AC11" s="2" t="inlineStr">
        <is>
          <t>E01 (Wave 0)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</row>
    <row r="12">
      <c r="A12" s="2" t="n">
        <v>11</v>
      </c>
      <c r="B12" s="2" t="inlineStr">
        <is>
          <t>Wave 0 — Controlled pilot</t>
        </is>
      </c>
      <c r="C12" s="2" t="inlineStr">
        <is>
          <t>UPK2-FL-173</t>
        </is>
      </c>
      <c r="D12" s="2" t="inlineStr">
        <is>
          <t>Kamaali Couture</t>
        </is>
      </c>
      <c r="E12" s="2" t="inlineStr">
        <is>
          <t>Fashion &amp; Lifestyle</t>
        </is>
      </c>
      <c r="F12" s="2" t="inlineStr">
        <is>
          <t>FL-CONTEMPORARY</t>
        </is>
      </c>
      <c r="G12" s="2" t="inlineStr">
        <is>
          <t>Brand &amp; Everyday Style</t>
        </is>
      </c>
      <c r="H12" s="2" t="inlineStr">
        <is>
          <t>Contemporary ready-to-wear / festive pret</t>
        </is>
      </c>
      <c r="I12" s="2" t="inlineStr">
        <is>
          <t>Delhi NCR</t>
        </is>
      </c>
      <c r="J12" s="2" t="inlineStr">
        <is>
          <t>B — Established Independent</t>
        </is>
      </c>
      <c r="K12" s="2" t="inlineStr">
        <is>
          <t>Label/brand (D2C store)</t>
        </is>
      </c>
      <c r="L12" s="2" t="inlineStr">
        <is>
          <t>P0</t>
        </is>
      </c>
      <c r="M12" s="2" t="inlineStr">
        <is>
          <t>P0</t>
        </is>
      </c>
      <c r="N12" s="2" t="n">
        <v>86</v>
      </c>
      <c r="O12" s="2" t="n">
        <v>99</v>
      </c>
      <c r="P12" s="2" t="n">
        <v>78.5</v>
      </c>
      <c r="Q12" s="2" t="n">
        <v>85</v>
      </c>
      <c r="R12" s="2" t="n">
        <v>50</v>
      </c>
      <c r="S12" s="2" t="inlineStr">
        <is>
          <t>C1-DIRECT-VERIFIED</t>
        </is>
      </c>
      <c r="T12" s="2" t="inlineStr">
        <is>
          <t>Personal 1:1 email from founder/team to published business email</t>
        </is>
      </c>
      <c r="U12" s="2" t="inlineStr">
        <is>
          <t>https://kamaali.in/pages/contact-us-1</t>
        </is>
      </c>
      <c r="V12" s="2" t="inlineStr">
        <is>
          <t>2026-09 — newest product published on own Shopify store (Liela) per products.json</t>
        </is>
      </c>
      <c r="W12" s="2" t="inlineStr">
        <is>
          <t>Own online store live with 231 products listed; stocked by multi-designer retailer(s): Aza Fashions, Ogaan</t>
        </is>
      </c>
      <c r="X12" s="2" t="inlineStr">
        <is>
          <t>Aza Fashions (stocked designer (designer index)); Ogaan (stocked designer (designer index))</t>
        </is>
      </c>
      <c r="Y12" s="2" t="inlineStr">
        <is>
          <t>Readiness 86 (top 2% in category) | Commercial: Own online store live with 231 products listed; stocked by multi-designer retailer(s): Az… | Active: 2026-09 — newest product published on own Shopify store (Liela) per p… | Marketplace-familiar: Aza Fashions); Ogaan) | Independent/emerging tier — fame not a factor</t>
        </is>
      </c>
      <c r="Z12" s="2" t="inlineStr">
        <is>
          <t>Lead with the label's own range and identity. Position as an additional channel next to own store and stockists. No sales or reach promises.</t>
        </is>
      </c>
      <c r="AA12" s="2" t="inlineStr">
        <is>
          <t>Already has own D2C store and established multi-designer stockists</t>
        </is>
      </c>
      <c r="AB12" s="2" t="inlineStr">
        <is>
          <t>Own D2C store/stockists already; "who else is on it?"; commission vs stockist margin</t>
        </is>
      </c>
      <c r="AC12" s="2" t="inlineStr">
        <is>
          <t>E01 (Wave 0)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</row>
    <row r="13">
      <c r="A13" s="2" t="n">
        <v>12</v>
      </c>
      <c r="B13" s="2" t="inlineStr">
        <is>
          <t>Wave 0 — Controlled pilot</t>
        </is>
      </c>
      <c r="C13" s="2" t="inlineStr">
        <is>
          <t>UPK2-SD-305</t>
        </is>
      </c>
      <c r="D13" s="2" t="inlineStr">
        <is>
          <t>Emanate Home</t>
        </is>
      </c>
      <c r="E13" s="2" t="inlineStr">
        <is>
          <t>Space &amp; Design</t>
        </is>
      </c>
      <c r="F13" s="2" t="inlineStr">
        <is>
          <t>SD-PRODUCT-MAKER</t>
        </is>
      </c>
      <c r="G13" s="2" t="inlineStr">
        <is>
          <t>Home &amp; Space</t>
        </is>
      </c>
      <c r="H13" s="2" t="inlineStr">
        <is>
          <t>Luxury lighting &amp; bespoke home accessories</t>
        </is>
      </c>
      <c r="I13" s="2" t="inlineStr">
        <is>
          <t>Delhi NCR</t>
        </is>
      </c>
      <c r="J13" s="2" t="inlineStr">
        <is>
          <t>C — Strong Mid-tier</t>
        </is>
      </c>
      <c r="K13" s="2" t="inlineStr">
        <is>
          <t>Lighting brand</t>
        </is>
      </c>
      <c r="L13" s="2" t="inlineStr">
        <is>
          <t>P0</t>
        </is>
      </c>
      <c r="M13" s="2" t="inlineStr">
        <is>
          <t>P1</t>
        </is>
      </c>
      <c r="N13" s="2" t="n">
        <v>71.5</v>
      </c>
      <c r="O13" s="2" t="n">
        <v>78</v>
      </c>
      <c r="P13" s="2" t="n">
        <v>70.8</v>
      </c>
      <c r="Q13" s="2" t="n">
        <v>77</v>
      </c>
      <c r="R13" s="2" t="n">
        <v>60</v>
      </c>
      <c r="S13" s="2" t="inlineStr">
        <is>
          <t>C1-DIRECT-VERIFIED</t>
        </is>
      </c>
      <c r="T13" s="2" t="inlineStr">
        <is>
          <t>Personal 1:1 email from founder/team to published business email</t>
        </is>
      </c>
      <c r="U13" s="2" t="inlineStr">
        <is>
          <t>https://www.emanatehome.com/</t>
        </is>
      </c>
      <c r="V13" s="2" t="inlineStr">
        <is>
          <t>2026-10 — listed as exhibitor at India Design ID Mumbai 2026 (indiadesignid.com)</t>
        </is>
      </c>
      <c r="W13" s="2" t="inlineStr">
        <is>
          <t>Exhibitor at India Design ID (2022, 2026)</t>
        </is>
      </c>
      <c r="X13" s="2" t="inlineStr">
        <is>
          <t>India Design ID (exhibitor)</t>
        </is>
      </c>
      <c r="Y13" s="2" t="inlineStr">
        <is>
          <t>Readiness 72 (top 23% in category) | Commercial: Exhibitor at India Design ID (2022, 2026) | Active: 2026-10 — listed as exhibitor at India Design ID Mumbai 2026 (indiade…</t>
        </is>
      </c>
      <c r="Z13" s="2" t="inlineStr">
        <is>
          <t>Lead with a specific piece. Products and commissions under the maker's own name; link to studios in the Home &amp; Space pod.</t>
        </is>
      </c>
      <c r="AA13" s="2" t="inlineStr">
        <is>
          <t>Already sells via own site/showroom and trade fairs.</t>
        </is>
      </c>
      <c r="AB13" s="2" t="inlineStr">
        <is>
          <t>Work comes via referrals; project-based work fit; profile upkeep effort</t>
        </is>
      </c>
      <c r="AC13" s="2" t="inlineStr">
        <is>
          <t>E01 (Wave 0)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</row>
    <row r="14">
      <c r="A14" s="2" t="n">
        <v>13</v>
      </c>
      <c r="B14" s="2" t="inlineStr">
        <is>
          <t>Wave 0 — Controlled pilot</t>
        </is>
      </c>
      <c r="C14" s="2" t="inlineStr">
        <is>
          <t>UPK2-SD-303</t>
        </is>
      </c>
      <c r="D14" s="2" t="inlineStr">
        <is>
          <t>Wriver</t>
        </is>
      </c>
      <c r="E14" s="2" t="inlineStr">
        <is>
          <t>Space &amp; Design</t>
        </is>
      </c>
      <c r="F14" s="2" t="inlineStr">
        <is>
          <t>SD-PRODUCT-MAKER</t>
        </is>
      </c>
      <c r="G14" s="2" t="inlineStr">
        <is>
          <t>Home &amp; Space</t>
        </is>
      </c>
      <c r="H14" s="2" t="inlineStr">
        <is>
          <t>Luxury contemporary furniture brand</t>
        </is>
      </c>
      <c r="I14" s="2" t="inlineStr">
        <is>
          <t>Delhi NCR</t>
        </is>
      </c>
      <c r="J14" s="2" t="inlineStr">
        <is>
          <t>C — Strong Mid-tier</t>
        </is>
      </c>
      <c r="K14" s="2" t="inlineStr">
        <is>
          <t>Furniture brand</t>
        </is>
      </c>
      <c r="L14" s="2" t="inlineStr">
        <is>
          <t>P0</t>
        </is>
      </c>
      <c r="M14" s="2" t="inlineStr">
        <is>
          <t>P1</t>
        </is>
      </c>
      <c r="N14" s="2" t="n">
        <v>71.5</v>
      </c>
      <c r="O14" s="2" t="n">
        <v>78</v>
      </c>
      <c r="P14" s="2" t="n">
        <v>70.8</v>
      </c>
      <c r="Q14" s="2" t="n">
        <v>77</v>
      </c>
      <c r="R14" s="2" t="n">
        <v>60</v>
      </c>
      <c r="S14" s="2" t="inlineStr">
        <is>
          <t>C1-DIRECT-VERIFIED</t>
        </is>
      </c>
      <c r="T14" s="2" t="inlineStr">
        <is>
          <t>Personal 1:1 email from founder/team to published business email</t>
        </is>
      </c>
      <c r="U14" s="2" t="inlineStr">
        <is>
          <t>https://wriver.in/</t>
        </is>
      </c>
      <c r="V14" s="2" t="inlineStr">
        <is>
          <t>2026-10 — listed as exhibitor at India Design ID Mumbai 2026 (indiadesignid.com)</t>
        </is>
      </c>
      <c r="W14" s="2" t="inlineStr">
        <is>
          <t>Exhibitor at India Design ID (2024, 2025, 2026)</t>
        </is>
      </c>
      <c r="X14" s="2" t="inlineStr">
        <is>
          <t>India Design ID (exhibitor)</t>
        </is>
      </c>
      <c r="Y14" s="2" t="inlineStr">
        <is>
          <t>Readiness 72 (top 23% in category) | Commercial: Exhibitor at India Design ID (2024, 2025, 2026) | Active: 2026-10 — listed as exhibitor at India Design ID Mumbai 2026 (indiade…</t>
        </is>
      </c>
      <c r="Z14" s="2" t="inlineStr">
        <is>
          <t>Lead with a specific piece. Products and commissions under the maker's own name; link to studios in the Home &amp; Space pod.</t>
        </is>
      </c>
      <c r="AA14" s="2" t="inlineStr">
        <is>
          <t>Already sells via own site/showroom and trade fairs.</t>
        </is>
      </c>
      <c r="AB14" s="2" t="inlineStr">
        <is>
          <t>Work comes via referrals; project-based work fit; profile upkeep effort</t>
        </is>
      </c>
      <c r="AC14" s="2" t="inlineStr">
        <is>
          <t>E01 (Wave 0)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</row>
    <row r="15">
      <c r="A15" s="2" t="n">
        <v>14</v>
      </c>
      <c r="B15" s="2" t="inlineStr">
        <is>
          <t>Wave 0 — Controlled pilot</t>
        </is>
      </c>
      <c r="C15" s="2" t="inlineStr">
        <is>
          <t>UPK2-SD-012</t>
        </is>
      </c>
      <c r="D15" s="2" t="inlineStr">
        <is>
          <t>TAS World</t>
        </is>
      </c>
      <c r="E15" s="2" t="inlineStr">
        <is>
          <t>Space &amp; Design</t>
        </is>
      </c>
      <c r="F15" s="2" t="inlineStr">
        <is>
          <t>SD-ARCHITECTURE</t>
        </is>
      </c>
      <c r="G15" s="2" t="inlineStr">
        <is>
          <t>Home &amp; Space</t>
        </is>
      </c>
      <c r="H15" s="2" t="inlineStr">
        <is>
          <t>Luxury architecture &amp; interiors</t>
        </is>
      </c>
      <c r="I15" s="2" t="inlineStr">
        <is>
          <t>Delhi NCR</t>
        </is>
      </c>
      <c r="J15" s="2" t="inlineStr">
        <is>
          <t>C — Strong Mid-tier</t>
        </is>
      </c>
      <c r="K15" s="2" t="inlineStr">
        <is>
          <t>Design studio/practice</t>
        </is>
      </c>
      <c r="L15" s="2" t="inlineStr">
        <is>
          <t>P0</t>
        </is>
      </c>
      <c r="M15" s="2" t="inlineStr">
        <is>
          <t>P1</t>
        </is>
      </c>
      <c r="N15" s="2" t="n">
        <v>74.2</v>
      </c>
      <c r="O15" s="2" t="n">
        <v>92</v>
      </c>
      <c r="P15" s="2" t="n">
        <v>69.8</v>
      </c>
      <c r="Q15" s="2" t="n">
        <v>79</v>
      </c>
      <c r="R15" s="2" t="n">
        <v>45</v>
      </c>
      <c r="S15" s="2" t="inlineStr">
        <is>
          <t>C1-DIRECT-VERIFIED</t>
        </is>
      </c>
      <c r="T15" s="2" t="inlineStr">
        <is>
          <t>Personal 1:1 email from founder/team to published business email</t>
        </is>
      </c>
      <c r="U15" s="2" t="inlineStr">
        <is>
          <t>https://www.tasworld.in/contact/</t>
        </is>
      </c>
      <c r="V15" s="2" t="inlineStr">
        <is>
          <t>2026-08 — TAD feature: White Manor</t>
        </is>
      </c>
      <c r="W15" s="2" t="inlineStr">
        <is>
          <t>White Manor farmhouse (Aug 2026); turnkey homes</t>
        </is>
      </c>
      <c r="X15" s="2" t="inlineStr">
        <is>
          <t>The Architects Diary (Editorial feature/list)</t>
        </is>
      </c>
      <c r="Y15" s="2" t="inlineStr">
        <is>
          <t>Readiness 74 (top 9% in category) | Commercial: White Manor farmhouse (Aug 2026); turnkey homes | Active: 2026-08 — TAD feature: White Manor</t>
        </is>
      </c>
      <c r="Z15" s="2" t="inlineStr">
        <is>
          <t>Lead with a specific built project. Present Uepaki as a professional home for the practice's services and project work under its own name. No lead promises.</t>
        </is>
      </c>
      <c r="AA15" s="2" t="inlineStr">
        <is>
          <t>Established practice with steady referral/press pipeline; may see limited need for another channel</t>
        </is>
      </c>
      <c r="AB15" s="2" t="inlineStr">
        <is>
          <t>Work comes via referrals; project-based work fit; profile upkeep effort</t>
        </is>
      </c>
      <c r="AC15" s="2" t="inlineStr">
        <is>
          <t>E01 (Wave 0)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</row>
    <row r="16">
      <c r="A16" s="2" t="n">
        <v>15</v>
      </c>
      <c r="B16" s="2" t="inlineStr">
        <is>
          <t>Wave 0 — Controlled pilot</t>
        </is>
      </c>
      <c r="C16" s="2" t="inlineStr">
        <is>
          <t>UPK2-SD-002</t>
        </is>
      </c>
      <c r="D16" s="2" t="inlineStr">
        <is>
          <t>Logic Design + Build</t>
        </is>
      </c>
      <c r="E16" s="2" t="inlineStr">
        <is>
          <t>Space &amp; Design</t>
        </is>
      </c>
      <c r="F16" s="2" t="inlineStr">
        <is>
          <t>SD-ARCHITECTURE</t>
        </is>
      </c>
      <c r="G16" s="2" t="inlineStr">
        <is>
          <t>Home &amp; Space</t>
        </is>
      </c>
      <c r="H16" s="2" t="inlineStr">
        <is>
          <t>Architecture &amp; interior design-build atelier</t>
        </is>
      </c>
      <c r="I16" s="2" t="inlineStr">
        <is>
          <t>Delhi NCR</t>
        </is>
      </c>
      <c r="J16" s="2" t="inlineStr">
        <is>
          <t>C — Strong Mid-tier</t>
        </is>
      </c>
      <c r="K16" s="2" t="inlineStr">
        <is>
          <t>Design studio/practice</t>
        </is>
      </c>
      <c r="L16" s="2" t="inlineStr">
        <is>
          <t>P0</t>
        </is>
      </c>
      <c r="M16" s="2" t="inlineStr">
        <is>
          <t>P1</t>
        </is>
      </c>
      <c r="N16" s="2" t="n">
        <v>75.5</v>
      </c>
      <c r="O16" s="2" t="n">
        <v>99</v>
      </c>
      <c r="P16" s="2" t="n">
        <v>70.40000000000001</v>
      </c>
      <c r="Q16" s="2" t="n">
        <v>79</v>
      </c>
      <c r="R16" s="2" t="n">
        <v>45</v>
      </c>
      <c r="S16" s="2" t="inlineStr">
        <is>
          <t>C1-DIRECT-VERIFIED</t>
        </is>
      </c>
      <c r="T16" s="2" t="inlineStr">
        <is>
          <t>Personal 1:1 email from founder/team to published business email</t>
        </is>
      </c>
      <c r="U16" s="2" t="inlineStr">
        <is>
          <t>https://www.logic.co.in/</t>
        </is>
      </c>
      <c r="V16" s="2" t="inlineStr">
        <is>
          <t>2026-04 — TAD feature: bespoke penthouse</t>
        </is>
      </c>
      <c r="W16" s="2" t="inlineStr">
        <is>
          <t>Founded 2016; design &amp; build for residential, workspace, commercial</t>
        </is>
      </c>
      <c r="X16" s="2" t="inlineStr">
        <is>
          <t>The Architects Diary (Editorial feature/list); The Architects Diary (Editorial feature/list)</t>
        </is>
      </c>
      <c r="Y16" s="2" t="inlineStr">
        <is>
          <t>Readiness 76 (top 2% in category) | Commercial: Founded 2016; design &amp; build for residential, workspace, commercial | Active: 2026-04 — TAD feature: bespoke penthouse</t>
        </is>
      </c>
      <c r="Z16" s="2" t="inlineStr">
        <is>
          <t>Lead with a specific built project. Present Uepaki as a professional home for the practice's services and project work under its own name. No lead promises.</t>
        </is>
      </c>
      <c r="AA16" s="2" t="inlineStr">
        <is>
          <t>Established practice with steady referral/press pipeline; may see limited need for another channel</t>
        </is>
      </c>
      <c r="AB16" s="2" t="inlineStr">
        <is>
          <t>Work comes via referrals; project-based work fit; profile upkeep effort</t>
        </is>
      </c>
      <c r="AC16" s="2" t="inlineStr">
        <is>
          <t>E01 (Wave 0)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</row>
    <row r="17">
      <c r="A17" s="2" t="n">
        <v>16</v>
      </c>
      <c r="B17" s="2" t="inlineStr">
        <is>
          <t>Wave 0 — Controlled pilot</t>
        </is>
      </c>
      <c r="C17" s="2" t="inlineStr">
        <is>
          <t>UPK2-SD-312</t>
        </is>
      </c>
      <c r="D17" s="2" t="inlineStr">
        <is>
          <t>The Black Touch</t>
        </is>
      </c>
      <c r="E17" s="2" t="inlineStr">
        <is>
          <t>Space &amp; Design</t>
        </is>
      </c>
      <c r="F17" s="2" t="inlineStr">
        <is>
          <t>SD-INTERIOR</t>
        </is>
      </c>
      <c r="G17" s="2" t="inlineStr">
        <is>
          <t>Home &amp; Space</t>
        </is>
      </c>
      <c r="H17" s="2" t="inlineStr">
        <is>
          <t>Turnkey interior design studio</t>
        </is>
      </c>
      <c r="I17" s="2" t="inlineStr">
        <is>
          <t>Mumbai</t>
        </is>
      </c>
      <c r="J17" s="2" t="inlineStr">
        <is>
          <t>B — Established Independent</t>
        </is>
      </c>
      <c r="K17" s="2" t="inlineStr">
        <is>
          <t>Design studio / practice</t>
        </is>
      </c>
      <c r="L17" s="2" t="inlineStr">
        <is>
          <t>P0</t>
        </is>
      </c>
      <c r="M17" s="2" t="inlineStr">
        <is>
          <t>P0</t>
        </is>
      </c>
      <c r="N17" s="2" t="n">
        <v>73.59999999999999</v>
      </c>
      <c r="O17" s="2" t="n">
        <v>91</v>
      </c>
      <c r="P17" s="2" t="n">
        <v>64.40000000000001</v>
      </c>
      <c r="Q17" s="2" t="n">
        <v>72</v>
      </c>
      <c r="R17" s="2" t="n">
        <v>30</v>
      </c>
      <c r="S17" s="2" t="inlineStr">
        <is>
          <t>C1-DIRECT-VERIFIED</t>
        </is>
      </c>
      <c r="T17" s="2" t="inlineStr">
        <is>
          <t>Personal 1:1 email from founder/team to published business email</t>
        </is>
      </c>
      <c r="U17" s="2" t="inlineStr">
        <is>
          <t>https://theblacktouch.com/contact-us</t>
        </is>
      </c>
      <c r="V17" s="2" t="inlineStr">
        <is>
          <t>2026-10 — own-site sitemap lastmod (https://theblacktouch.com/projects/oberoi-4-bhk-modern-luxe-residence-in-mulund-mumbai); last TAD featu…</t>
        </is>
      </c>
      <c r="W17" s="2" t="inlineStr">
        <is>
          <t>Residential Interior Design — Mulund, Mumbai, Maharashtra, India (TAD 2024-06)</t>
        </is>
      </c>
      <c r="X17" s="2" t="inlineStr">
        <is>
          <t>The Architects Diary (Editorial project feature (1 in 2024–26, 0 in 2025–26))</t>
        </is>
      </c>
      <c r="Y17" s="2" t="inlineStr">
        <is>
          <t>Readiness 74 (top 10% in category) | Commercial: Residential Interior Design — Mulund, Mumbai, Maharashtra, India (TAD 2024-06) | Active: 2026-10 — own-site sitemap lastmod (https://theblacktouch.com/project… | Independent/emerging tier — fame not a factor</t>
        </is>
      </c>
      <c r="Z17" s="2" t="inlineStr">
        <is>
          <t>Lead with a specific interior project. Services and project work under the studio's own name. No enquiry promises.</t>
        </is>
      </c>
      <c r="AA17" s="2" t="inlineStr">
        <is>
          <t>Small team; may prioritise direct referrals</t>
        </is>
      </c>
      <c r="AB17" s="2" t="inlineStr">
        <is>
          <t>Work comes via referrals; project-based work fit; profile upkeep effort</t>
        </is>
      </c>
      <c r="AC17" s="2" t="inlineStr">
        <is>
          <t>E01 (Wave 0)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</row>
    <row r="18">
      <c r="A18" s="2" t="n">
        <v>17</v>
      </c>
      <c r="B18" s="2" t="inlineStr">
        <is>
          <t>Wave 0 — Controlled pilot</t>
        </is>
      </c>
      <c r="C18" s="2" t="inlineStr">
        <is>
          <t>UPK2-LM-208</t>
        </is>
      </c>
      <c r="D18" s="2" t="inlineStr">
        <is>
          <t>Photomist</t>
        </is>
      </c>
      <c r="E18" s="2" t="inlineStr">
        <is>
          <t>Lens &amp; Motion</t>
        </is>
      </c>
      <c r="F18" s="2" t="inlineStr">
        <is>
          <t>LM-WEDDING</t>
        </is>
      </c>
      <c r="G18" s="2" t="inlineStr">
        <is>
          <t>Wedding &amp; Occasion</t>
        </is>
      </c>
      <c r="H18" s="2" t="inlineStr">
        <is>
          <t>Wedding photography &amp; filmmaking studio</t>
        </is>
      </c>
      <c r="I18" s="2" t="inlineStr">
        <is>
          <t>Mumbai</t>
        </is>
      </c>
      <c r="J18" s="2" t="inlineStr">
        <is>
          <t>B — Established Independent</t>
        </is>
      </c>
      <c r="K18" s="2" t="inlineStr">
        <is>
          <t>Studio / production house</t>
        </is>
      </c>
      <c r="L18" s="2" t="inlineStr">
        <is>
          <t>P0</t>
        </is>
      </c>
      <c r="M18" s="2" t="inlineStr">
        <is>
          <t>P0</t>
        </is>
      </c>
      <c r="N18" s="2" t="n">
        <v>84.3</v>
      </c>
      <c r="O18" s="2" t="n">
        <v>100</v>
      </c>
      <c r="P18" s="2" t="n">
        <v>71.40000000000001</v>
      </c>
      <c r="Q18" s="2" t="n">
        <v>78</v>
      </c>
      <c r="R18" s="2" t="n">
        <v>29</v>
      </c>
      <c r="S18" s="2" t="inlineStr">
        <is>
          <t>C1-DIRECT-VERIFIED</t>
        </is>
      </c>
      <c r="T18" s="2" t="inlineStr">
        <is>
          <t>Personal 1:1 email from founder/team to published business email</t>
        </is>
      </c>
      <c r="U18" s="2" t="inlineStr">
        <is>
          <t>https://www.photomist.in/</t>
        </is>
      </c>
      <c r="V18" s="2" t="inlineStr">
        <is>
          <t>2026-08 — latest client review on WedMeGood profile (wedmegood.com)</t>
        </is>
      </c>
      <c r="W18" s="2" t="inlineStr">
        <is>
          <t>56 client reviews on WedMeGood (rating 5); Photo + Video packages starting ₹90,000</t>
        </is>
      </c>
      <c r="X18" s="2" t="inlineStr">
        <is>
          <t>WedMeGood (Vendor listing with client reviews); wedding.net (Vendor profile (self-listed))</t>
        </is>
      </c>
      <c r="Y18" s="2" t="inlineStr">
        <is>
          <t>Readiness 84 (top 1% in category) | Commercial: 56 client reviews on WedMeGood (rating 5); Photo + Video packages starting ₹90,000 | Active: 2026-08 — latest client review on WedMeGood profile (wedmegood.com) | Marketplace-familiar: WedMeGood; wedding.net) | Independent/emerging tier — fame not a factor</t>
        </is>
      </c>
      <c r="Z18" s="2" t="inlineStr">
        <is>
          <t>Lead with a specific film or series. Photographers sit at the centre of the wedding ecosystem — invite as a founding peer of designers, MUAs and planners.</t>
        </is>
      </c>
      <c r="AA18" s="2" t="inlineStr">
        <is>
          <t>Enquiries already come via WedMeGood, own website and Instagram</t>
        </is>
      </c>
      <c r="AB18" s="2" t="inlineStr">
        <is>
          <t>Leads via referrals/portals; off-platform contact; time to maintain another profile</t>
        </is>
      </c>
      <c r="AC18" s="2" t="inlineStr">
        <is>
          <t>E01 (Wave 0)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</row>
    <row r="19">
      <c r="A19" s="2" t="n">
        <v>18</v>
      </c>
      <c r="B19" s="2" t="inlineStr">
        <is>
          <t>Wave 0 — Controlled pilot</t>
        </is>
      </c>
      <c r="C19" s="2" t="inlineStr">
        <is>
          <t>UPK2-LM-223</t>
        </is>
      </c>
      <c r="D19" s="2" t="inlineStr">
        <is>
          <t>Bombay Paparazzi</t>
        </is>
      </c>
      <c r="E19" s="2" t="inlineStr">
        <is>
          <t>Lens &amp; Motion</t>
        </is>
      </c>
      <c r="F19" s="2" t="inlineStr">
        <is>
          <t>LM-WEDDING</t>
        </is>
      </c>
      <c r="G19" s="2" t="inlineStr">
        <is>
          <t>Wedding &amp; Occasion</t>
        </is>
      </c>
      <c r="H19" s="2" t="inlineStr">
        <is>
          <t>Wedding photography &amp; filmmaking studio</t>
        </is>
      </c>
      <c r="I19" s="2" t="inlineStr">
        <is>
          <t>Mumbai</t>
        </is>
      </c>
      <c r="J19" s="2" t="inlineStr">
        <is>
          <t>B — Established Independent</t>
        </is>
      </c>
      <c r="K19" s="2" t="inlineStr">
        <is>
          <t>Studio / production house</t>
        </is>
      </c>
      <c r="L19" s="2" t="inlineStr">
        <is>
          <t>P0</t>
        </is>
      </c>
      <c r="M19" s="2" t="inlineStr">
        <is>
          <t>P0</t>
        </is>
      </c>
      <c r="N19" s="2" t="n">
        <v>80.59999999999999</v>
      </c>
      <c r="O19" s="2" t="n">
        <v>98</v>
      </c>
      <c r="P19" s="2" t="n">
        <v>69.3</v>
      </c>
      <c r="Q19" s="2" t="n">
        <v>78</v>
      </c>
      <c r="R19" s="2" t="n">
        <v>28</v>
      </c>
      <c r="S19" s="2" t="inlineStr">
        <is>
          <t>C1-DIRECT-VERIFIED</t>
        </is>
      </c>
      <c r="T19" s="2" t="inlineStr">
        <is>
          <t>Personal 1:1 email from founder/team to published business email</t>
        </is>
      </c>
      <c r="U19" s="2" t="inlineStr">
        <is>
          <t>https://bombaypaparazzi.com/</t>
        </is>
      </c>
      <c r="V19" s="2" t="inlineStr">
        <is>
          <t>2026-07 — latest client review on WedMeGood profile (wedmegood.com)</t>
        </is>
      </c>
      <c r="W19" s="2" t="inlineStr">
        <is>
          <t>52 client reviews on WedMeGood (rating 5); Photo + Video packages starting ₹75,000</t>
        </is>
      </c>
      <c r="X19" s="2" t="inlineStr">
        <is>
          <t>WedMeGood (Vendor listing with client reviews)</t>
        </is>
      </c>
      <c r="Y19" s="2" t="inlineStr">
        <is>
          <t>Readiness 81 (top 3% in category) | Commercial: 52 client reviews on WedMeGood (rating 5); Photo + Video packages starting ₹75,000 | Active: 2026-07 — latest client review on WedMeGood profile (wedmegood.com) | Independent/emerging tier — fame not a factor</t>
        </is>
      </c>
      <c r="Z19" s="2" t="inlineStr">
        <is>
          <t>Lead with a specific film or series. Photographers sit at the centre of the wedding ecosystem — invite as a founding peer of designers, MUAs and planners.</t>
        </is>
      </c>
      <c r="AA19" s="2" t="inlineStr">
        <is>
          <t>Enquiries already come via WedMeGood, own website and Instagram</t>
        </is>
      </c>
      <c r="AB19" s="2" t="inlineStr">
        <is>
          <t>Leads via referrals/portals; off-platform contact; time to maintain another profile</t>
        </is>
      </c>
      <c r="AC19" s="2" t="inlineStr">
        <is>
          <t>E01 (Wave 0)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</row>
    <row r="20">
      <c r="A20" s="2" t="n">
        <v>19</v>
      </c>
      <c r="B20" s="2" t="inlineStr">
        <is>
          <t>Wave 0 — Controlled pilot</t>
        </is>
      </c>
      <c r="C20" s="2" t="inlineStr">
        <is>
          <t>UPK2-LM-238</t>
        </is>
      </c>
      <c r="D20" s="2" t="inlineStr">
        <is>
          <t>North Light Studio</t>
        </is>
      </c>
      <c r="E20" s="2" t="inlineStr">
        <is>
          <t>Lens &amp; Motion</t>
        </is>
      </c>
      <c r="F20" s="2" t="inlineStr">
        <is>
          <t>LM-ARCH-INTERIOR</t>
        </is>
      </c>
      <c r="G20" s="2" t="inlineStr">
        <is>
          <t>Home &amp; Space</t>
        </is>
      </c>
      <c r="H20" s="2" t="inlineStr">
        <is>
          <t>Commercial photography &amp; video (food, product, hospitality, architecture)</t>
        </is>
      </c>
      <c r="I20" s="2" t="inlineStr">
        <is>
          <t>Mumbai</t>
        </is>
      </c>
      <c r="J20" s="2" t="inlineStr">
        <is>
          <t>B — Established Independent</t>
        </is>
      </c>
      <c r="K20" s="2" t="inlineStr">
        <is>
          <t>Micro studio (2-10)</t>
        </is>
      </c>
      <c r="L20" s="2" t="inlineStr">
        <is>
          <t>P0</t>
        </is>
      </c>
      <c r="M20" s="2" t="inlineStr">
        <is>
          <t>P0</t>
        </is>
      </c>
      <c r="N20" s="2" t="n">
        <v>75.2</v>
      </c>
      <c r="O20" s="2" t="n">
        <v>77</v>
      </c>
      <c r="P20" s="2" t="n">
        <v>68.7</v>
      </c>
      <c r="Q20" s="2" t="n">
        <v>77</v>
      </c>
      <c r="R20" s="2" t="n">
        <v>40</v>
      </c>
      <c r="S20" s="2" t="inlineStr">
        <is>
          <t>C1-DIRECT-VERIFIED</t>
        </is>
      </c>
      <c r="T20" s="2" t="inlineStr">
        <is>
          <t>Personal 1:1 email from founder/team to published business email</t>
        </is>
      </c>
      <c r="U20" s="2" t="inlineStr">
        <is>
          <t>https://www.northlightstudio.in/</t>
        </is>
      </c>
      <c r="V20" s="2" t="inlineStr">
        <is>
          <t>2026-09 — photo credit on The Architects Diary project feature (https://thearchitectsdiary.com/arched-abode-builds-a-soft-architectural-rhy…</t>
        </is>
      </c>
      <c r="W20" s="2" t="inlineStr">
        <is>
          <t>Commissioned project photography credited by design publications; enquiry route on own site</t>
        </is>
      </c>
      <c r="X20" s="2" t="inlineStr"/>
      <c r="Y20" s="2" t="inlineStr">
        <is>
          <t>Readiness 75 (top 24%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  <c r="Z20" s="2" t="inlineStr">
        <is>
          <t>Lead with a specific project they documented. Link to the Home &amp; Space pod (studios and makers).</t>
        </is>
      </c>
      <c r="AA20" s="2" t="inlineStr">
        <is>
          <t>Work is commission/referral-driven through architect networks; may not see need for a marketplace</t>
        </is>
      </c>
      <c r="AB20" s="2" t="inlineStr">
        <is>
          <t>Leads via referrals/portals; off-platform contact; time to maintain another profile</t>
        </is>
      </c>
      <c r="AC20" s="2" t="inlineStr">
        <is>
          <t>E01 (Wave 0)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</row>
    <row r="21">
      <c r="A21" s="2" t="n">
        <v>20</v>
      </c>
      <c r="B21" s="2" t="inlineStr">
        <is>
          <t>Wave 0 — Controlled pilot</t>
        </is>
      </c>
      <c r="C21" s="2" t="inlineStr">
        <is>
          <t>UPK2-LM-031</t>
        </is>
      </c>
      <c r="D21" s="2" t="inlineStr">
        <is>
          <t>Digital Studio</t>
        </is>
      </c>
      <c r="E21" s="2" t="inlineStr">
        <is>
          <t>Lens &amp; Motion</t>
        </is>
      </c>
      <c r="F21" s="2" t="inlineStr">
        <is>
          <t>LM-COMMERCIAL-FASHION</t>
        </is>
      </c>
      <c r="G21" s="2" t="inlineStr">
        <is>
          <t>Brand &amp; Everyday Style</t>
        </is>
      </c>
      <c r="H21" s="2" t="inlineStr">
        <is>
          <t>Product photography &amp; industrial/corporate video production</t>
        </is>
      </c>
      <c r="I21" s="2" t="inlineStr">
        <is>
          <t>Mumbai</t>
        </is>
      </c>
      <c r="J21" s="2" t="inlineStr">
        <is>
          <t>B — Established Independent</t>
        </is>
      </c>
      <c r="K21" s="2" t="inlineStr">
        <is>
          <t>Photo/video production studio</t>
        </is>
      </c>
      <c r="L21" s="2" t="inlineStr">
        <is>
          <t>P0</t>
        </is>
      </c>
      <c r="M21" s="2" t="inlineStr">
        <is>
          <t>P1</t>
        </is>
      </c>
      <c r="N21" s="2" t="n">
        <v>73.5</v>
      </c>
      <c r="O21" s="2" t="n">
        <v>72</v>
      </c>
      <c r="P21" s="2" t="n">
        <v>65.59999999999999</v>
      </c>
      <c r="Q21" s="2" t="n">
        <v>73</v>
      </c>
      <c r="R21" s="2" t="n">
        <v>35</v>
      </c>
      <c r="S21" s="2" t="inlineStr">
        <is>
          <t>C1-DIRECT-VERIFIED</t>
        </is>
      </c>
      <c r="T21" s="2" t="inlineStr">
        <is>
          <t>Personal 1:1 email from founder/team to published business email</t>
        </is>
      </c>
      <c r="U21" s="2" t="inlineStr">
        <is>
          <t>https://www.digitalstudio.in/</t>
        </is>
      </c>
      <c r="V21" s="2" t="inlineStr">
        <is>
          <t>2026-10 — site live with service pages (digitalstudio.in)</t>
        </is>
      </c>
      <c r="W21" s="2" t="inlineStr">
        <is>
          <t>Own website advertises paid product photography &amp; industrial/corporate video production services with enquiry routes</t>
        </is>
      </c>
      <c r="X21" s="2" t="inlineStr"/>
      <c r="Y21" s="2" t="inlineStr">
        <is>
          <t>Readiness 74 (top 29% in category) | Commercial: Own website advertises paid product photography &amp; industrial/corporate video production s… | Active: 2026-10 — site live with service pages (digitalstudio.in) | Independent/emerging tier — fame not a factor</t>
        </is>
      </c>
      <c r="Z21" s="2" t="inlineStr">
        <is>
          <t>Lead with product/fashion work. Link to labels in the Brand &amp; Everyday Style pod.</t>
        </is>
      </c>
      <c r="AA21" s="2" t="inlineStr">
        <is>
          <t>Leads already come via own site/Instagram</t>
        </is>
      </c>
      <c r="AB21" s="2" t="inlineStr">
        <is>
          <t>Leads via referrals/portals; off-platform contact; time to maintain another profile</t>
        </is>
      </c>
      <c r="AC21" s="2" t="inlineStr">
        <is>
          <t>E01 (Wave 0)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</row>
    <row r="22">
      <c r="A22" s="2" t="n">
        <v>21</v>
      </c>
      <c r="B22" s="2" t="inlineStr">
        <is>
          <t>Wave 0 — Controlled pilot</t>
        </is>
      </c>
      <c r="C22" s="2" t="inlineStr">
        <is>
          <t>UPK2-CM-046</t>
        </is>
      </c>
      <c r="D22" s="2" t="inlineStr">
        <is>
          <t>Amol Soni</t>
        </is>
      </c>
      <c r="E22" s="2" t="inlineStr">
        <is>
          <t>Content &amp; Media</t>
        </is>
      </c>
      <c r="F22" s="2" t="inlineStr">
        <is>
          <t>CM-EMCEE-HOST</t>
        </is>
      </c>
      <c r="G22" s="2" t="inlineStr">
        <is>
          <t>Wedding &amp; Occasion</t>
        </is>
      </c>
      <c r="H22" s="2" t="inlineStr">
        <is>
          <t>Wedding &amp; event emcee / anchor</t>
        </is>
      </c>
      <c r="I22" s="2" t="inlineStr">
        <is>
          <t>Mumbai</t>
        </is>
      </c>
      <c r="J22" s="2" t="inlineStr">
        <is>
          <t>A — Emerging / High-potential</t>
        </is>
      </c>
      <c r="K22" s="2" t="inlineStr">
        <is>
          <t>Independent professional</t>
        </is>
      </c>
      <c r="L22" s="2" t="inlineStr">
        <is>
          <t>P0</t>
        </is>
      </c>
      <c r="M22" s="2" t="inlineStr">
        <is>
          <t>P0</t>
        </is>
      </c>
      <c r="N22" s="2" t="n">
        <v>74</v>
      </c>
      <c r="O22" s="2" t="n">
        <v>98</v>
      </c>
      <c r="P22" s="2" t="n">
        <v>61.8</v>
      </c>
      <c r="Q22" s="2" t="n">
        <v>66</v>
      </c>
      <c r="R22" s="2" t="n">
        <v>25</v>
      </c>
      <c r="S22" s="2" t="inlineStr">
        <is>
          <t>C1-DIRECT-VERIFIED</t>
        </is>
      </c>
      <c r="T22" s="2" t="inlineStr">
        <is>
          <t>Personal 1:1 email from founder/team to published business email</t>
        </is>
      </c>
      <c r="U22" s="2" t="inlineStr">
        <is>
          <t>https://www.entertaineramolsoni.com/</t>
        </is>
      </c>
      <c r="V22" s="2" t="inlineStr">
        <is>
          <t>2026-08 — WeddingSutra vendor profile updated; carries WeddingSutra Favorites 2026 badge</t>
        </is>
      </c>
      <c r="W22" s="2" t="inlineStr">
        <is>
          <t>Listed by WeddingSutra as a wedding emcee serving Mumbai</t>
        </is>
      </c>
      <c r="X22" s="2" t="inlineStr">
        <is>
          <t>WeddingSutra (vendor showcase profile (Emcees))</t>
        </is>
      </c>
      <c r="Y22" s="2" t="inlineStr">
        <is>
          <t>Readiness 74 (top 3% in category) | Commercial: Listed by WeddingSutra as a wedding emcee serving Mumbai | Active: 2026-08 — WeddingSutra vendor profile updated; carries WeddingSutra F… | Independent/emerging tier — fame not a factor</t>
        </is>
      </c>
      <c r="Z22" s="2" t="inlineStr">
        <is>
          <t>Lead with the event formats they host. Services as a professional; clients, not followers.</t>
        </is>
      </c>
      <c r="AA22" s="2" t="inlineStr">
        <is>
          <t>Gets bookings via Instagram and wedding marketplaces already; may see another profile as low priority.</t>
        </is>
      </c>
      <c r="AB22" s="2" t="inlineStr">
        <is>
          <t>Work via agencies/creator platforms; wants proof brands/clients are present</t>
        </is>
      </c>
      <c r="AC22" s="2" t="inlineStr">
        <is>
          <t>E01 (Wave 0)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</row>
    <row r="23">
      <c r="A23" s="2" t="n">
        <v>22</v>
      </c>
      <c r="B23" s="2" t="inlineStr">
        <is>
          <t>Wave 0 — Controlled pilot</t>
        </is>
      </c>
      <c r="C23" s="2" t="inlineStr">
        <is>
          <t>UPK2-CM-016</t>
        </is>
      </c>
      <c r="D23" s="2" t="inlineStr">
        <is>
          <t>Sirimiri – The Lifestyle Blogazine</t>
        </is>
      </c>
      <c r="E23" s="2" t="inlineStr">
        <is>
          <t>Content &amp; Media</t>
        </is>
      </c>
      <c r="F23" s="2" t="inlineStr">
        <is>
          <t>CM-BLOGGER-WRITER</t>
        </is>
      </c>
      <c r="G23" s="2" t="inlineStr">
        <is>
          <t>Brand &amp; Everyday Style</t>
        </is>
      </c>
      <c r="H23" s="2" t="inlineStr">
        <is>
          <t>Lifestyle blogger, writer, author</t>
        </is>
      </c>
      <c r="I23" s="2" t="inlineStr">
        <is>
          <t>Mumbai</t>
        </is>
      </c>
      <c r="J23" s="2" t="inlineStr">
        <is>
          <t>B — Established Independent</t>
        </is>
      </c>
      <c r="K23" s="2" t="inlineStr">
        <is>
          <t>Independent creator/blog</t>
        </is>
      </c>
      <c r="L23" s="2" t="inlineStr">
        <is>
          <t>P0</t>
        </is>
      </c>
      <c r="M23" s="2" t="inlineStr">
        <is>
          <t>P0</t>
        </is>
      </c>
      <c r="N23" s="2" t="n">
        <v>70.8</v>
      </c>
      <c r="O23" s="2" t="n">
        <v>88</v>
      </c>
      <c r="P23" s="2" t="n">
        <v>59.3</v>
      </c>
      <c r="Q23" s="2" t="n">
        <v>63</v>
      </c>
      <c r="R23" s="2" t="n">
        <v>25</v>
      </c>
      <c r="S23" s="2" t="inlineStr">
        <is>
          <t>C1-DIRECT-VERIFIED</t>
        </is>
      </c>
      <c r="T23" s="2" t="inlineStr">
        <is>
          <t>1:1 message via own-website contact form</t>
        </is>
      </c>
      <c r="U23" s="2" t="inlineStr">
        <is>
          <t>https://sirimiri.in/</t>
        </is>
      </c>
      <c r="V23" s="2" t="inlineStr">
        <is>
          <t>2026 — homepage references 2026</t>
        </is>
      </c>
      <c r="W23" s="2" t="inlineStr">
        <is>
          <t>Has a 'sponsored post' category and book reviews; About: Mumbai-based blogger, writer, author</t>
        </is>
      </c>
      <c r="X23" s="2" t="inlineStr">
        <is>
          <t>Feedspot (Listed in Indian lifestyle blogs)</t>
        </is>
      </c>
      <c r="Y23" s="2" t="inlineStr">
        <is>
          <t>Readiness 71 (top 13% in category) | Commercial: Has a 'sponsored post' category and book reviews; About: Mumbai-based blogger, writer, au… | Active: 2026 — homepage references 2026 | Independent/emerging tier — fame not a factor</t>
        </is>
      </c>
      <c r="Z23" s="2" t="inlineStr">
        <is>
          <t>Lead with their writing/beat. Content work as a professional service for brands; clients, not audience.</t>
        </is>
      </c>
      <c r="AA23" s="2" t="inlineStr">
        <is>
          <t>Works through agencies/creator platforms; wants evidence brands are on the platform.</t>
        </is>
      </c>
      <c r="AB23" s="2" t="inlineStr">
        <is>
          <t>Work via agencies/creator platforms; wants proof brands/clients are present</t>
        </is>
      </c>
      <c r="AC23" s="2" t="inlineStr">
        <is>
          <t>E01 (Wave 0)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</row>
    <row r="24">
      <c r="A24" s="2" t="n">
        <v>23</v>
      </c>
      <c r="B24" s="2" t="inlineStr">
        <is>
          <t>Wave 0 — Controlled pilot</t>
        </is>
      </c>
      <c r="C24" s="2" t="inlineStr">
        <is>
          <t>UPK2-CM-050</t>
        </is>
      </c>
      <c r="D24" s="2" t="inlineStr">
        <is>
          <t>Kunal Jessani</t>
        </is>
      </c>
      <c r="E24" s="2" t="inlineStr">
        <is>
          <t>Content &amp; Media</t>
        </is>
      </c>
      <c r="F24" s="2" t="inlineStr">
        <is>
          <t>CM-EMCEE-HOST</t>
        </is>
      </c>
      <c r="G24" s="2" t="inlineStr">
        <is>
          <t>Wedding &amp; Occasion</t>
        </is>
      </c>
      <c r="H24" s="2" t="inlineStr">
        <is>
          <t>Wedding &amp; event emcee / anchor</t>
        </is>
      </c>
      <c r="I24" s="2" t="inlineStr">
        <is>
          <t>Mumbai</t>
        </is>
      </c>
      <c r="J24" s="2" t="inlineStr">
        <is>
          <t>A — Emerging / High-potential</t>
        </is>
      </c>
      <c r="K24" s="2" t="inlineStr">
        <is>
          <t>Independent professional</t>
        </is>
      </c>
      <c r="L24" s="2" t="inlineStr">
        <is>
          <t>P0</t>
        </is>
      </c>
      <c r="M24" s="2" t="inlineStr">
        <is>
          <t>P0</t>
        </is>
      </c>
      <c r="N24" s="2" t="n">
        <v>73.2</v>
      </c>
      <c r="O24" s="2" t="n">
        <v>96</v>
      </c>
      <c r="P24" s="2" t="n">
        <v>60.8</v>
      </c>
      <c r="Q24" s="2" t="n">
        <v>64</v>
      </c>
      <c r="R24" s="2" t="n">
        <v>25</v>
      </c>
      <c r="S24" s="2" t="inlineStr">
        <is>
          <t>C1-DIRECT-VERIFIED</t>
        </is>
      </c>
      <c r="T24" s="2" t="inlineStr">
        <is>
          <t>Personal 1:1 email from founder/team to published business email</t>
        </is>
      </c>
      <c r="U24" s="2" t="inlineStr">
        <is>
          <t>https://kunaljessani.com/connect-with-us/</t>
        </is>
      </c>
      <c r="V24" s="2" t="inlineStr">
        <is>
          <t>2026-06 — WeddingSutra vendor profile updated</t>
        </is>
      </c>
      <c r="W24" s="2" t="inlineStr">
        <is>
          <t>Listed by WeddingSutra as a wedding emcee serving Mumbai</t>
        </is>
      </c>
      <c r="X24" s="2" t="inlineStr">
        <is>
          <t>WeddingSutra (vendor showcase profile (Emcees))</t>
        </is>
      </c>
      <c r="Y24" s="2" t="inlineStr">
        <is>
          <t>Readiness 73 (top 5% in category) | Commercial: Listed by WeddingSutra as a wedding emcee serving Mumbai | Active: 2026-06 — WeddingSutra vendor profile updated | Independent/emerging tier — fame not a factor</t>
        </is>
      </c>
      <c r="Z24" s="2" t="inlineStr">
        <is>
          <t>Lead with the event formats they host. Services as a professional; clients, not followers.</t>
        </is>
      </c>
      <c r="AA24" s="2" t="inlineStr">
        <is>
          <t>Gets bookings via Instagram and wedding marketplaces already; may see another profile as low priority.</t>
        </is>
      </c>
      <c r="AB24" s="2" t="inlineStr">
        <is>
          <t>Work via agencies/creator platforms; wants proof brands/clients are present</t>
        </is>
      </c>
      <c r="AC24" s="2" t="inlineStr">
        <is>
          <t>E01 (Wave 0)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</row>
    <row r="25">
      <c r="A25" s="2" t="n">
        <v>24</v>
      </c>
      <c r="B25" s="2" t="inlineStr">
        <is>
          <t>Wave 0 — Controlled pilot</t>
        </is>
      </c>
      <c r="C25" s="2" t="inlineStr">
        <is>
          <t>UPK2-DV-003</t>
        </is>
      </c>
      <c r="D25" s="2" t="inlineStr">
        <is>
          <t>Ink n Bliss</t>
        </is>
      </c>
      <c r="E25" s="2" t="inlineStr">
        <is>
          <t>Digital &amp; Visual Arts</t>
        </is>
      </c>
      <c r="F25" s="2" t="inlineStr">
        <is>
          <t>DV-CALLIGRAPHY-STATIONERY</t>
        </is>
      </c>
      <c r="G25" s="2" t="inlineStr">
        <is>
          <t>Wedding &amp; Occasion</t>
        </is>
      </c>
      <c r="H25" s="2" t="inlineStr">
        <is>
          <t>Calligraphy &amp; engraving studio (weddings, corporate)</t>
        </is>
      </c>
      <c r="I25" s="2" t="inlineStr">
        <is>
          <t>Mumbai</t>
        </is>
      </c>
      <c r="J25" s="2" t="inlineStr">
        <is>
          <t>B — Established Independent</t>
        </is>
      </c>
      <c r="K25" s="2" t="inlineStr">
        <is>
          <t>Calligraphy studio</t>
        </is>
      </c>
      <c r="L25" s="2" t="inlineStr">
        <is>
          <t>P0</t>
        </is>
      </c>
      <c r="M25" s="2" t="inlineStr">
        <is>
          <t>P0</t>
        </is>
      </c>
      <c r="N25" s="2" t="n">
        <v>77.90000000000001</v>
      </c>
      <c r="O25" s="2" t="n">
        <v>98</v>
      </c>
      <c r="P25" s="2" t="n">
        <v>67.8</v>
      </c>
      <c r="Q25" s="2" t="n">
        <v>76</v>
      </c>
      <c r="R25" s="2" t="n">
        <v>30</v>
      </c>
      <c r="S25" s="2" t="inlineStr">
        <is>
          <t>C1-DIRECT-VERIFIED</t>
        </is>
      </c>
      <c r="T25" s="2" t="inlineStr">
        <is>
          <t>Personal 1:1 email from founder/team to published business email</t>
        </is>
      </c>
      <c r="U25" s="2" t="inlineStr">
        <is>
          <t>https://www.inknbliss.com/contact</t>
        </is>
      </c>
      <c r="V25" s="2" t="inlineStr">
        <is>
          <t>2026 — site references 2026</t>
        </is>
      </c>
      <c r="W25" s="2" t="inlineStr">
        <is>
          <t>Custom calligraphy for weddings &amp; corporates; has collaborations page</t>
        </is>
      </c>
      <c r="X25" s="2" t="inlineStr">
        <is>
          <t>Nibtique (Directory listing)</t>
        </is>
      </c>
      <c r="Y25" s="2" t="inlineStr">
        <is>
          <t>Readiness 78 (top 3% in category) | Commercial: Custom calligraphy for weddings &amp; corporates; has collaborations page | Active: 2026 — site references 2026 | Independent/emerging tier — fame not a factor</t>
        </is>
      </c>
      <c r="Z25" s="2" t="inlineStr">
        <is>
          <t>Lead with a specific commission (stationery/engraving). Artists who sell both work and commissioned services.</t>
        </is>
      </c>
      <c r="AA25" s="2" t="inlineStr">
        <is>
          <t>Event-booking business may already be booked via Instagram</t>
        </is>
      </c>
      <c r="AB25" s="2" t="inlineStr">
        <is>
          <t>Commission pricing control; IP of artwork; price pressure</t>
        </is>
      </c>
      <c r="AC25" s="2" t="inlineStr">
        <is>
          <t>E01 (Wave 0)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</row>
    <row r="26">
      <c r="A26" s="2" t="n">
        <v>25</v>
      </c>
      <c r="B26" s="2" t="inlineStr">
        <is>
          <t>Wave 0 — Controlled pilot</t>
        </is>
      </c>
      <c r="C26" s="2" t="inlineStr">
        <is>
          <t>UPK2-DV-037</t>
        </is>
      </c>
      <c r="D26" s="2" t="inlineStr">
        <is>
          <t>CRAFX Studio</t>
        </is>
      </c>
      <c r="E26" s="2" t="inlineStr">
        <is>
          <t>Digital &amp; Visual Arts</t>
        </is>
      </c>
      <c r="F26" s="2" t="inlineStr">
        <is>
          <t>DV-DESIGN-STUDIO</t>
        </is>
      </c>
      <c r="G26" s="2" t="inlineStr">
        <is>
          <t>Brand &amp; Everyday Style</t>
        </is>
      </c>
      <c r="H26" s="2" t="inlineStr">
        <is>
          <t>Branding, packaging, motion &amp; 3D design agency</t>
        </is>
      </c>
      <c r="I26" s="2" t="inlineStr">
        <is>
          <t>Mumbai</t>
        </is>
      </c>
      <c r="J26" s="2" t="inlineStr">
        <is>
          <t>B — Established Independent</t>
        </is>
      </c>
      <c r="K26" s="2" t="inlineStr">
        <is>
          <t>Independent branding &amp; design agency</t>
        </is>
      </c>
      <c r="L26" s="2" t="inlineStr">
        <is>
          <t>P0</t>
        </is>
      </c>
      <c r="M26" s="2" t="inlineStr">
        <is>
          <t>P1</t>
        </is>
      </c>
      <c r="N26" s="2" t="n">
        <v>75</v>
      </c>
      <c r="O26" s="2" t="n">
        <v>91</v>
      </c>
      <c r="P26" s="2" t="n">
        <v>66</v>
      </c>
      <c r="Q26" s="2" t="n">
        <v>75</v>
      </c>
      <c r="R26" s="2" t="n">
        <v>30</v>
      </c>
      <c r="S26" s="2" t="inlineStr">
        <is>
          <t>C1-DIRECT-VERIFIED</t>
        </is>
      </c>
      <c r="T26" s="2" t="inlineStr">
        <is>
          <t>Personal 1:1 email from founder/team to published business email</t>
        </is>
      </c>
      <c r="U26" s="2" t="inlineStr">
        <is>
          <t>https://www.crafxstudio.com/</t>
        </is>
      </c>
      <c r="V26" s="2" t="inlineStr">
        <is>
          <t>2026 — site ©2026</t>
        </is>
      </c>
      <c r="W26" s="2" t="inlineStr">
        <is>
          <t>500+ projects across 12+ countries (per own profile)</t>
        </is>
      </c>
      <c r="X26" s="2" t="inlineStr">
        <is>
          <t>Dribbble (profile)</t>
        </is>
      </c>
      <c r="Y26" s="2" t="inlineStr">
        <is>
          <t>Readiness 75 (top 10% in category) | Commercial: 500+ projects across 12+ countries (per own profile) | Active: 2026 — site ©2026 | Independent/emerging tier — fame not a factor</t>
        </is>
      </c>
      <c r="Z26" s="2" t="inlineStr">
        <is>
          <t>Lead with a specific identity/packaging project. Design services under the studio's own name; link to labels in the Brand pod.</t>
        </is>
      </c>
      <c r="AA26" s="2" t="inlineStr">
        <is>
          <t>Agency scale</t>
        </is>
      </c>
      <c r="AB26" s="2" t="inlineStr">
        <is>
          <t>Commission pricing control; IP of artwork; price pressure</t>
        </is>
      </c>
      <c r="AC26" s="2" t="inlineStr">
        <is>
          <t>E01 (Wave 0)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</row>
    <row r="27">
      <c r="A27" s="2" t="n">
        <v>26</v>
      </c>
      <c r="B27" s="2" t="inlineStr">
        <is>
          <t>Wave 1 — Founding cohort</t>
        </is>
      </c>
      <c r="C27" s="2" t="inlineStr">
        <is>
          <t>UPK2-BM-166</t>
        </is>
      </c>
      <c r="D27" s="2" t="inlineStr">
        <is>
          <t>Pinkbyneena</t>
        </is>
      </c>
      <c r="E27" s="2" t="inlineStr">
        <is>
          <t>Beauty &amp; Makeup</t>
        </is>
      </c>
      <c r="F27" s="2" t="inlineStr">
        <is>
          <t>BM-INDEPENDENT-MUA</t>
        </is>
      </c>
      <c r="G27" s="2" t="inlineStr">
        <is>
          <t>Wedding &amp; Occasion</t>
        </is>
      </c>
      <c r="H27" s="2" t="inlineStr">
        <is>
          <t>Bridal &amp; Party Makeup Artist (hair &amp; makeup)</t>
        </is>
      </c>
      <c r="I27" s="2" t="inlineStr">
        <is>
          <t>Bengaluru</t>
        </is>
      </c>
      <c r="J27" s="2" t="inlineStr">
        <is>
          <t>B — Established Independent</t>
        </is>
      </c>
      <c r="K27" s="2" t="inlineStr">
        <is>
          <t>Independent professional</t>
        </is>
      </c>
      <c r="L27" s="2" t="inlineStr">
        <is>
          <t>P0</t>
        </is>
      </c>
      <c r="M27" s="2" t="inlineStr">
        <is>
          <t>P0</t>
        </is>
      </c>
      <c r="N27" s="2" t="n">
        <v>84.09999999999999</v>
      </c>
      <c r="O27" s="2" t="n">
        <v>100</v>
      </c>
      <c r="P27" s="2" t="n">
        <v>73.59999999999999</v>
      </c>
      <c r="Q27" s="2" t="n">
        <v>84</v>
      </c>
      <c r="R27" s="2" t="n">
        <v>32</v>
      </c>
      <c r="S27" s="2" t="inlineStr">
        <is>
          <t>C1-DIRECT-VERIFIED</t>
        </is>
      </c>
      <c r="T27" s="2" t="inlineStr">
        <is>
          <t>Personal 1:1 email from founder/team to published business email</t>
        </is>
      </c>
      <c r="U27" s="2" t="inlineStr">
        <is>
          <t>https://www.pinkbyneena.com/</t>
        </is>
      </c>
      <c r="V27" s="2" t="inlineStr">
        <is>
          <t>2026-07 — latest client review 2026-07; portfolio upload 2024-09 (WedMeGood profile)</t>
        </is>
      </c>
      <c r="W27" s="2" t="inlineStr">
        <is>
          <t>113 client reviews on WedMeGood (rating 4.9); listed price 25,000</t>
        </is>
      </c>
      <c r="X27" s="2" t="inlineStr">
        <is>
          <t>WedMeGood (Vendor profile (Bridal Makeup))</t>
        </is>
      </c>
      <c r="Y27" s="2" t="inlineStr">
        <is>
          <t>Readiness 84 (top 1% in category) | Commercial: 113 client reviews on WedMeGood (rating 4.9); listed price 25,000 | Active: 2026-07 — latest client review 2026-07; portfolio upload 2024-09 (Wed… | Independent/emerging tier — fame not a factor</t>
        </is>
      </c>
      <c r="Z27" s="2" t="inlineStr">
        <is>
          <t>Lead with their bridal portfolio. Ask how bookings arrive today. Be explicit that service/booking availability at launch is being confirmed (EV-09).</t>
        </is>
      </c>
      <c r="AA27" s="2" t="inlineStr">
        <is>
          <t>Bookings already flow through WedMeGood, Instagram and WhatsApp referrals</t>
        </is>
      </c>
      <c r="AB27" s="2" t="inlineStr">
        <is>
          <t>Bookings already via wedding portals/Instagram; off-platform client contact (SP-4a open); peak-season time</t>
        </is>
      </c>
      <c r="AC27" s="2" t="inlineStr">
        <is>
          <t>E03-CTA-A Reply/15-min call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</row>
    <row r="28">
      <c r="A28" s="2" t="n">
        <v>27</v>
      </c>
      <c r="B28" s="2" t="inlineStr">
        <is>
          <t>Wave 1 — Founding cohort</t>
        </is>
      </c>
      <c r="C28" s="2" t="inlineStr">
        <is>
          <t>UPK2-BM-253</t>
        </is>
      </c>
      <c r="D28" s="2" t="inlineStr">
        <is>
          <t>Meera Bhandari Makeovers</t>
        </is>
      </c>
      <c r="E28" s="2" t="inlineStr">
        <is>
          <t>Beauty &amp; Makeup</t>
        </is>
      </c>
      <c r="F28" s="2" t="inlineStr">
        <is>
          <t>BM-INDEPENDENT-MUA</t>
        </is>
      </c>
      <c r="G28" s="2" t="inlineStr">
        <is>
          <t>Wedding &amp; Occasion</t>
        </is>
      </c>
      <c r="H28" s="2" t="inlineStr">
        <is>
          <t>Bridal &amp; party makeup artist</t>
        </is>
      </c>
      <c r="I28" s="2" t="inlineStr">
        <is>
          <t>Jaipur</t>
        </is>
      </c>
      <c r="J28" s="2" t="inlineStr">
        <is>
          <t>B — Established Independent</t>
        </is>
      </c>
      <c r="K28" s="2" t="inlineStr">
        <is>
          <t>Independent makeup artist</t>
        </is>
      </c>
      <c r="L28" s="2" t="inlineStr">
        <is>
          <t>P0</t>
        </is>
      </c>
      <c r="M28" s="2" t="inlineStr">
        <is>
          <t>P0</t>
        </is>
      </c>
      <c r="N28" s="2" t="n">
        <v>78.40000000000001</v>
      </c>
      <c r="O28" s="2" t="n">
        <v>99</v>
      </c>
      <c r="P28" s="2" t="n">
        <v>71.09999999999999</v>
      </c>
      <c r="Q28" s="2" t="n">
        <v>75</v>
      </c>
      <c r="R28" s="2" t="n">
        <v>47</v>
      </c>
      <c r="S28" s="2" t="inlineStr">
        <is>
          <t>C1-DIRECT-VERIFIED</t>
        </is>
      </c>
      <c r="T28" s="2" t="inlineStr">
        <is>
          <t>1:1 message via own-website contact form</t>
        </is>
      </c>
      <c r="U28" s="2" t="inlineStr">
        <is>
          <t>https://meerabhandarimakeovers.com/</t>
        </is>
      </c>
      <c r="V28" s="2" t="inlineStr">
        <is>
          <t>2026-02 — latest client review on WedMeGood profile</t>
        </is>
      </c>
      <c r="W28" s="2" t="inlineStr">
        <is>
          <t>88 client reviews on WedMeGood (rating 4.9); 2 of latest 10 shown reviews dated 2025–26; starting price ₹Price on Request per function listed</t>
        </is>
      </c>
      <c r="X28" s="2" t="inlineStr">
        <is>
          <t>WedMeGood (Vendor profile with client reviews); Own website (First-party site)</t>
        </is>
      </c>
      <c r="Y28" s="2" t="inlineStr">
        <is>
          <t>Readiness 78 (top 2% in category) | Commercial: 88 client reviews on WedMeGood (rating 4.9); 2 of latest 10 shown reviews dated 2025–26;… | Active: 2026-02 — latest client review on WedMeGood profile | Independent/emerging tier — fame not a factor</t>
        </is>
      </c>
      <c r="Z28" s="2" t="inlineStr">
        <is>
          <t>Lead with their bridal portfolio. Ask how bookings arrive today. Be explicit that service/booking availability at launch is being confirmed (EV-09).</t>
        </is>
      </c>
      <c r="AA28" s="2" t="inlineStr">
        <is>
          <t>Bookings already arrive via WedMeGood/Instagram; may see limited need for another platform</t>
        </is>
      </c>
      <c r="AB28" s="2" t="inlineStr">
        <is>
          <t>Bookings already via wedding portals/Instagram; off-platform client contact (SP-4a open); peak-season time</t>
        </is>
      </c>
      <c r="AC28" s="2" t="inlineStr">
        <is>
          <t>E03-CTA-B Written terms + registration link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</row>
    <row r="29">
      <c r="A29" s="2" t="n">
        <v>28</v>
      </c>
      <c r="B29" s="2" t="inlineStr">
        <is>
          <t>Wave 1 — Founding cohort</t>
        </is>
      </c>
      <c r="C29" s="2" t="inlineStr">
        <is>
          <t>UPK2-BM-188</t>
        </is>
      </c>
      <c r="D29" s="2" t="inlineStr">
        <is>
          <t>Seema Sarraf  Makeup Artist</t>
        </is>
      </c>
      <c r="E29" s="2" t="inlineStr">
        <is>
          <t>Beauty &amp; Makeup</t>
        </is>
      </c>
      <c r="F29" s="2" t="inlineStr">
        <is>
          <t>BM-INDEPENDENT-MUA</t>
        </is>
      </c>
      <c r="G29" s="2" t="inlineStr">
        <is>
          <t>Wedding &amp; Occasion</t>
        </is>
      </c>
      <c r="H29" s="2" t="inlineStr">
        <is>
          <t>Bridal &amp; party makeup artist</t>
        </is>
      </c>
      <c r="I29" s="2" t="inlineStr">
        <is>
          <t>Jaipur</t>
        </is>
      </c>
      <c r="J29" s="2" t="inlineStr">
        <is>
          <t>B — Established Independent</t>
        </is>
      </c>
      <c r="K29" s="2" t="inlineStr">
        <is>
          <t>Independent makeup artist</t>
        </is>
      </c>
      <c r="L29" s="2" t="inlineStr">
        <is>
          <t>P0</t>
        </is>
      </c>
      <c r="M29" s="2" t="inlineStr">
        <is>
          <t>P0</t>
        </is>
      </c>
      <c r="N29" s="2" t="n">
        <v>77</v>
      </c>
      <c r="O29" s="2" t="n">
        <v>98</v>
      </c>
      <c r="P29" s="2" t="n">
        <v>70.5</v>
      </c>
      <c r="Q29" s="2" t="n">
        <v>80</v>
      </c>
      <c r="R29" s="2" t="n">
        <v>40</v>
      </c>
      <c r="S29" s="2" t="inlineStr">
        <is>
          <t>C1-DIRECT-VERIFIED</t>
        </is>
      </c>
      <c r="T29" s="2" t="inlineStr">
        <is>
          <t>Personal 1:1 email from founder/team to published business email</t>
        </is>
      </c>
      <c r="U29" s="2" t="inlineStr">
        <is>
          <t>https://seemasarraf.com/</t>
        </is>
      </c>
      <c r="V29" s="2" t="inlineStr">
        <is>
          <t>2025-12 — latest client review on WedMeGood profile</t>
        </is>
      </c>
      <c r="W29" s="2" t="inlineStr">
        <is>
          <t>62 client reviews on WedMeGood (rating 5); 1 of latest 10 shown reviews dated 2025–26; starting price ₹20,000 per function listed</t>
        </is>
      </c>
      <c r="X29" s="2" t="inlineStr">
        <is>
          <t>WedMeGood (Vendor profile with client reviews); Own website (First-party site)</t>
        </is>
      </c>
      <c r="Y29" s="2" t="inlineStr">
        <is>
          <t>Readiness 77 (top 3% in category) | Commercial: 62 client reviews on WedMeGood (rating 5); 1 of latest 10 shown reviews dated 2025–26; st… | Active: 2025-12 — latest client review on WedMeGood profile | Independent/emerging tier — fame not a factor</t>
        </is>
      </c>
      <c r="Z29" s="2" t="inlineStr">
        <is>
          <t>Lead with their bridal portfolio. Ask how bookings arrive today. Be explicit that service/booking availability at launch is being confirmed (EV-09).</t>
        </is>
      </c>
      <c r="AA29" s="2" t="inlineStr">
        <is>
          <t>Bookings already arrive via WedMeGood/Instagram; may see limited need for another platform</t>
        </is>
      </c>
      <c r="AB29" s="2" t="inlineStr">
        <is>
          <t>Bookings already via wedding portals/Instagram; off-platform client contact (SP-4a open); peak-season time</t>
        </is>
      </c>
      <c r="AC29" s="2" t="inlineStr">
        <is>
          <t>E03-CTA-A Reply/15-min call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</row>
    <row r="30">
      <c r="A30" s="2" t="n">
        <v>29</v>
      </c>
      <c r="B30" s="2" t="inlineStr">
        <is>
          <t>Wave 1 — Founding cohort</t>
        </is>
      </c>
      <c r="C30" s="2" t="inlineStr">
        <is>
          <t>UPK2-BM-171</t>
        </is>
      </c>
      <c r="D30" s="2" t="inlineStr">
        <is>
          <t>V2 Makeover</t>
        </is>
      </c>
      <c r="E30" s="2" t="inlineStr">
        <is>
          <t>Beauty &amp; Makeup</t>
        </is>
      </c>
      <c r="F30" s="2" t="inlineStr">
        <is>
          <t>BM-INDEPENDENT-MUA</t>
        </is>
      </c>
      <c r="G30" s="2" t="inlineStr">
        <is>
          <t>Wedding &amp; Occasion</t>
        </is>
      </c>
      <c r="H30" s="2" t="inlineStr">
        <is>
          <t>Bridal &amp; Party Makeup Artist (hair &amp; makeup)</t>
        </is>
      </c>
      <c r="I30" s="2" t="inlineStr">
        <is>
          <t>Bengaluru</t>
        </is>
      </c>
      <c r="J30" s="2" t="inlineStr">
        <is>
          <t>B — Established Independent</t>
        </is>
      </c>
      <c r="K30" s="2" t="inlineStr">
        <is>
          <t>Independent professional</t>
        </is>
      </c>
      <c r="L30" s="2" t="inlineStr">
        <is>
          <t>P0</t>
        </is>
      </c>
      <c r="M30" s="2" t="inlineStr">
        <is>
          <t>P0</t>
        </is>
      </c>
      <c r="N30" s="2" t="n">
        <v>80.59999999999999</v>
      </c>
      <c r="O30" s="2" t="n">
        <v>99</v>
      </c>
      <c r="P30" s="2" t="n">
        <v>67.2</v>
      </c>
      <c r="Q30" s="2" t="n">
        <v>77</v>
      </c>
      <c r="R30" s="2" t="n">
        <v>19</v>
      </c>
      <c r="S30" s="2" t="inlineStr">
        <is>
          <t>C1-DIRECT-VERIFIED</t>
        </is>
      </c>
      <c r="T30" s="2" t="inlineStr">
        <is>
          <t>Personal 1:1 email from founder/team to published business email</t>
        </is>
      </c>
      <c r="U30" s="2" t="inlineStr">
        <is>
          <t>https://v2makeover.com/</t>
        </is>
      </c>
      <c r="V30" s="2" t="inlineStr">
        <is>
          <t>2026-10 — latest client review 2026-10; portfolio upload 2026-02 (WedMeGood profile)</t>
        </is>
      </c>
      <c r="W30" s="2" t="inlineStr">
        <is>
          <t>49 client reviews on WedMeGood (rating 4.9); listed price 15,000</t>
        </is>
      </c>
      <c r="X30" s="2" t="inlineStr">
        <is>
          <t>WedMeGood (Vendor profile (Bridal Makeup))</t>
        </is>
      </c>
      <c r="Y30" s="2" t="inlineStr">
        <is>
          <t>Readiness 81 (top 2% in category) | Commercial: 49 client reviews on WedMeGood (rating 4.9); listed price 15,000 | Active: 2026-10 — latest client review 2026-10; portfolio upload 2026-02 (Wed… | Independent/emerging tier — fame not a factor</t>
        </is>
      </c>
      <c r="Z30" s="2" t="inlineStr">
        <is>
          <t>Lead with their bridal portfolio. Ask how bookings arrive today. Be explicit that service/booking availability at launch is being confirmed (EV-09).</t>
        </is>
      </c>
      <c r="AA30" s="2" t="inlineStr">
        <is>
          <t>Bookings already flow through WedMeGood, Instagram and WhatsApp referrals</t>
        </is>
      </c>
      <c r="AB30" s="2" t="inlineStr">
        <is>
          <t>Bookings already via wedding portals/Instagram; off-platform client contact (SP-4a open); peak-season time</t>
        </is>
      </c>
      <c r="AC30" s="2" t="inlineStr">
        <is>
          <t>E03-CTA-B Written terms + registration link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</row>
    <row r="31">
      <c r="A31" s="2" t="n">
        <v>30</v>
      </c>
      <c r="B31" s="2" t="inlineStr">
        <is>
          <t>Wave 1 — Founding cohort</t>
        </is>
      </c>
      <c r="C31" s="2" t="inlineStr">
        <is>
          <t>UPK2-BM-189</t>
        </is>
      </c>
      <c r="D31" s="2" t="inlineStr">
        <is>
          <t>Mehandi Wale Jaipur</t>
        </is>
      </c>
      <c r="E31" s="2" t="inlineStr">
        <is>
          <t>Beauty &amp; Makeup</t>
        </is>
      </c>
      <c r="F31" s="2" t="inlineStr">
        <is>
          <t>BM-MEHENDI</t>
        </is>
      </c>
      <c r="G31" s="2" t="inlineStr">
        <is>
          <t>Wedding &amp; Occasion</t>
        </is>
      </c>
      <c r="H31" s="2" t="inlineStr">
        <is>
          <t>Mehendi / henna artist</t>
        </is>
      </c>
      <c r="I31" s="2" t="inlineStr">
        <is>
          <t>Jaipur</t>
        </is>
      </c>
      <c r="J31" s="2" t="inlineStr">
        <is>
          <t>A — Emerging / High-potential</t>
        </is>
      </c>
      <c r="K31" s="2" t="inlineStr">
        <is>
          <t>Independent mehendi artist / team</t>
        </is>
      </c>
      <c r="L31" s="2" t="inlineStr">
        <is>
          <t>P0</t>
        </is>
      </c>
      <c r="M31" s="2" t="inlineStr">
        <is>
          <t>P0</t>
        </is>
      </c>
      <c r="N31" s="2" t="n">
        <v>79.40000000000001</v>
      </c>
      <c r="O31" s="2" t="n">
        <v>99</v>
      </c>
      <c r="P31" s="2" t="n">
        <v>66.59999999999999</v>
      </c>
      <c r="Q31" s="2" t="n">
        <v>71</v>
      </c>
      <c r="R31" s="2" t="n">
        <v>28</v>
      </c>
      <c r="S31" s="2" t="inlineStr">
        <is>
          <t>C1-DIRECT-VERIFIED</t>
        </is>
      </c>
      <c r="T31" s="2" t="inlineStr">
        <is>
          <t>Personal 1:1 email from founder/team to published business email</t>
        </is>
      </c>
      <c r="U31" s="2" t="inlineStr">
        <is>
          <t>https://www.mehandiwalejaipur.com/</t>
        </is>
      </c>
      <c r="V31" s="2" t="inlineStr">
        <is>
          <t>2026-02 — latest client review on WedMeGood profile</t>
        </is>
      </c>
      <c r="W31" s="2" t="inlineStr">
        <is>
          <t>12 client reviews on WedMeGood (rating 5); 10 of latest 10 shown reviews dated 2025–26; starting price ₹2500 onwards per package/function listed</t>
        </is>
      </c>
      <c r="X31" s="2" t="inlineStr">
        <is>
          <t>WedMeGood (Vendor profile with client reviews); Own website (First-party site)</t>
        </is>
      </c>
      <c r="Y31" s="2" t="inlineStr">
        <is>
          <t>Readiness 79 (top 2% in category) | Commercial: 12 client reviews on WedMeGood (rating 5); 10 of latest 10 shown reviews dated 2025–26; s… | Active: 2026-02 — latest client review on WedMeGood profile | Independent/emerging tier — fame not a factor</t>
        </is>
      </c>
      <c r="Z31" s="2" t="inlineStr">
        <is>
          <t>Lead with a specific design style. Ask how bookings arrive today. Service/booking availability at launch is being confirmed (EV-09).</t>
        </is>
      </c>
      <c r="AA31" s="2" t="inlineStr">
        <is>
          <t>Bookings already arrive via WedMeGood/Instagram; may see limited need for another platform</t>
        </is>
      </c>
      <c r="AB31" s="2" t="inlineStr">
        <is>
          <t>Bookings already via wedding portals/Instagram; off-platform client contact (SP-4a open); peak-season time</t>
        </is>
      </c>
      <c r="AC31" s="2" t="inlineStr">
        <is>
          <t>E03-CTA-A Reply/15-min call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</row>
    <row r="32">
      <c r="A32" s="2" t="n">
        <v>31</v>
      </c>
      <c r="B32" s="2" t="inlineStr">
        <is>
          <t>Wave 1 — Founding cohort</t>
        </is>
      </c>
      <c r="C32" s="2" t="inlineStr">
        <is>
          <t>UPK2-BM-252</t>
        </is>
      </c>
      <c r="D32" s="2" t="inlineStr">
        <is>
          <t>Raj Mehandi Designer</t>
        </is>
      </c>
      <c r="E32" s="2" t="inlineStr">
        <is>
          <t>Beauty &amp; Makeup</t>
        </is>
      </c>
      <c r="F32" s="2" t="inlineStr">
        <is>
          <t>BM-MEHENDI</t>
        </is>
      </c>
      <c r="G32" s="2" t="inlineStr">
        <is>
          <t>Wedding &amp; Occasion</t>
        </is>
      </c>
      <c r="H32" s="2" t="inlineStr">
        <is>
          <t>Mehendi / henna artist</t>
        </is>
      </c>
      <c r="I32" s="2" t="inlineStr">
        <is>
          <t>Delhi NCR</t>
        </is>
      </c>
      <c r="J32" s="2" t="inlineStr">
        <is>
          <t>B — Established Independent</t>
        </is>
      </c>
      <c r="K32" s="2" t="inlineStr">
        <is>
          <t>Independent mehendi artist / team</t>
        </is>
      </c>
      <c r="L32" s="2" t="inlineStr">
        <is>
          <t>P0</t>
        </is>
      </c>
      <c r="M32" s="2" t="inlineStr">
        <is>
          <t>P0</t>
        </is>
      </c>
      <c r="N32" s="2" t="n">
        <v>75.59999999999999</v>
      </c>
      <c r="O32" s="2" t="n">
        <v>97</v>
      </c>
      <c r="P32" s="2" t="n">
        <v>66</v>
      </c>
      <c r="Q32" s="2" t="n">
        <v>74</v>
      </c>
      <c r="R32" s="2" t="n">
        <v>30</v>
      </c>
      <c r="S32" s="2" t="inlineStr">
        <is>
          <t>C1-DIRECT-VERIFIED</t>
        </is>
      </c>
      <c r="T32" s="2" t="inlineStr">
        <is>
          <t>Personal 1:1 email from founder/team to published business email</t>
        </is>
      </c>
      <c r="U32" s="2" t="inlineStr">
        <is>
          <t>https://www.rajmehandidesigner.com/</t>
        </is>
      </c>
      <c r="V32" s="2" t="inlineStr">
        <is>
          <t>2025-11 — latest client review on WedMeGood profile</t>
        </is>
      </c>
      <c r="W32" s="2" t="inlineStr">
        <is>
          <t>23 client reviews on WedMeGood (rating 4.8); 1 of latest 10 shown reviews dated 2025–26; starting price ₹7100 onwards per package/function listed</t>
        </is>
      </c>
      <c r="X32" s="2" t="inlineStr">
        <is>
          <t>WedMeGood (Vendor profile with client reviews); Own website (First-party site)</t>
        </is>
      </c>
      <c r="Y32" s="2" t="inlineStr">
        <is>
          <t>Readiness 76 (top 4% in category) | Commercial: 23 client reviews on WedMeGood (rating 4.8); 1 of latest 10 shown reviews dated 2025–26;… | Active: 2025-11 — latest client review on WedMeGood profile | Independent/emerging tier — fame not a factor</t>
        </is>
      </c>
      <c r="Z32" s="2" t="inlineStr">
        <is>
          <t>Lead with a specific design style. Ask how bookings arrive today. Service/booking availability at launch is being confirmed (EV-09).</t>
        </is>
      </c>
      <c r="AA32" s="2" t="inlineStr">
        <is>
          <t>Bookings already arrive via WedMeGood/Instagram; may see limited need for another platform</t>
        </is>
      </c>
      <c r="AB32" s="2" t="inlineStr">
        <is>
          <t>Bookings already via wedding portals/Instagram; off-platform client contact (SP-4a open); peak-season time</t>
        </is>
      </c>
      <c r="AC32" s="2" t="inlineStr">
        <is>
          <t>E03-CTA-B Written terms + registration link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</row>
    <row r="33">
      <c r="A33" s="2" t="n">
        <v>32</v>
      </c>
      <c r="B33" s="2" t="inlineStr">
        <is>
          <t>Wave 1 — Founding cohort</t>
        </is>
      </c>
      <c r="C33" s="2" t="inlineStr">
        <is>
          <t>UPK2-BM-015</t>
        </is>
      </c>
      <c r="D33" s="2" t="inlineStr">
        <is>
          <t>Dejavu Makeup by Vinni</t>
        </is>
      </c>
      <c r="E33" s="2" t="inlineStr">
        <is>
          <t>Beauty &amp; Makeup</t>
        </is>
      </c>
      <c r="F33" s="2" t="inlineStr">
        <is>
          <t>BM-STUDIO</t>
        </is>
      </c>
      <c r="G33" s="2" t="inlineStr">
        <is>
          <t>Wedding &amp; Occasion</t>
        </is>
      </c>
      <c r="H33" s="2" t="inlineStr">
        <is>
          <t>Luxury Bridal MUA</t>
        </is>
      </c>
      <c r="I33" s="2" t="inlineStr">
        <is>
          <t>Bengaluru</t>
        </is>
      </c>
      <c r="J33" s="2" t="inlineStr">
        <is>
          <t>C — Strong Mid-tier</t>
        </is>
      </c>
      <c r="K33" s="2" t="inlineStr">
        <is>
          <t>Studio</t>
        </is>
      </c>
      <c r="L33" s="2" t="inlineStr">
        <is>
          <t>P0</t>
        </is>
      </c>
      <c r="M33" s="2" t="inlineStr">
        <is>
          <t>P1</t>
        </is>
      </c>
      <c r="N33" s="2" t="n">
        <v>75.40000000000001</v>
      </c>
      <c r="O33" s="2" t="n">
        <v>97</v>
      </c>
      <c r="P33" s="2" t="n">
        <v>66</v>
      </c>
      <c r="Q33" s="2" t="n">
        <v>71</v>
      </c>
      <c r="R33" s="2" t="n">
        <v>35</v>
      </c>
      <c r="S33" s="2" t="inlineStr">
        <is>
          <t>C1-DIRECT-VERIFIED</t>
        </is>
      </c>
      <c r="T33" s="2" t="inlineStr">
        <is>
          <t>1:1 message via own-website contact form</t>
        </is>
      </c>
      <c r="U33" s="2" t="inlineStr">
        <is>
          <t>https://dejavumakeup.com/</t>
        </is>
      </c>
      <c r="V33" s="2" t="inlineStr">
        <is>
          <t>2026 — site content references 2026 (homepage)</t>
        </is>
      </c>
      <c r="W33" s="2" t="inlineStr">
        <is>
          <t>Site: 4.9 Google rating, 1000+ brides, bridal from ₹18,000/event, free trial</t>
        </is>
      </c>
      <c r="X33" s="2" t="inlineStr">
        <is>
          <t>onehorizonproductions listicle (Listed)</t>
        </is>
      </c>
      <c r="Y33" s="2" t="inlineStr">
        <is>
          <t>Readiness 75 (top 4% in category) | Commercial: Site: 4.9 Google rating, 1000+ brides, bridal from ₹18,000/event, free trial | Active: 2026 — site content references 2026 (homepage)</t>
        </is>
      </c>
      <c r="Z33" s="2" t="inlineStr">
        <is>
          <t>Lead with the studio's body of work and team. Ask how bookings arrive today. Service/booking availability at launch is being confirmed (EV-09).</t>
        </is>
      </c>
      <c r="AA33" s="2" t="inlineStr">
        <is>
          <t>Already gets leads via own site, Google and Instagram</t>
        </is>
      </c>
      <c r="AB33" s="2" t="inlineStr">
        <is>
          <t>Bookings already via wedding portals/Instagram; off-platform client contact (SP-4a open); peak-season time</t>
        </is>
      </c>
      <c r="AC33" s="2" t="inlineStr">
        <is>
          <t>E03-CTA-A Reply/15-min call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</row>
    <row r="34">
      <c r="A34" s="2" t="n">
        <v>33</v>
      </c>
      <c r="B34" s="2" t="inlineStr">
        <is>
          <t>Wave 1 — Founding cohort</t>
        </is>
      </c>
      <c r="C34" s="2" t="inlineStr">
        <is>
          <t>UPK2-BM-034</t>
        </is>
      </c>
      <c r="D34" s="2" t="inlineStr">
        <is>
          <t>GlossnGlass</t>
        </is>
      </c>
      <c r="E34" s="2" t="inlineStr">
        <is>
          <t>Beauty &amp; Makeup</t>
        </is>
      </c>
      <c r="F34" s="2" t="inlineStr">
        <is>
          <t>BM-STUDIO</t>
        </is>
      </c>
      <c r="G34" s="2" t="inlineStr">
        <is>
          <t>Wedding &amp; Occasion</t>
        </is>
      </c>
      <c r="H34" s="2" t="inlineStr">
        <is>
          <t>Makeup Academy &amp; Bridal Services</t>
        </is>
      </c>
      <c r="I34" s="2" t="inlineStr">
        <is>
          <t>Bengaluru</t>
        </is>
      </c>
      <c r="J34" s="2" t="inlineStr">
        <is>
          <t>C — Strong Mid-tier</t>
        </is>
      </c>
      <c r="K34" s="2" t="inlineStr">
        <is>
          <t>Studio &amp; academy</t>
        </is>
      </c>
      <c r="L34" s="2" t="inlineStr">
        <is>
          <t>P0</t>
        </is>
      </c>
      <c r="M34" s="2" t="inlineStr">
        <is>
          <t>P1</t>
        </is>
      </c>
      <c r="N34" s="2" t="n">
        <v>74.09999999999999</v>
      </c>
      <c r="O34" s="2" t="n">
        <v>96</v>
      </c>
      <c r="P34" s="2" t="n">
        <v>65</v>
      </c>
      <c r="Q34" s="2" t="n">
        <v>70</v>
      </c>
      <c r="R34" s="2" t="n">
        <v>35</v>
      </c>
      <c r="S34" s="2" t="inlineStr">
        <is>
          <t>C1-DIRECT-VERIFIED</t>
        </is>
      </c>
      <c r="T34" s="2" t="inlineStr">
        <is>
          <t>Personal 1:1 email from founder/team to published business email</t>
        </is>
      </c>
      <c r="U34" s="2" t="inlineStr">
        <is>
          <t>https://glossnglass.com/contact/</t>
        </is>
      </c>
      <c r="V34" s="2" t="inlineStr">
        <is>
          <t>undated (site live 2026-10)</t>
        </is>
      </c>
      <c r="W34" s="2" t="inlineStr">
        <is>
          <t>Site: artists have worked with Saina Nehwal and KL Rahul; Koramangala &amp; Ulsoor studios</t>
        </is>
      </c>
      <c r="X34" s="2" t="inlineStr"/>
      <c r="Y34" s="2" t="inlineStr">
        <is>
          <t>Readiness 74 (top 5% in category) | Commercial: Site: artists have worked with Saina Nehwal and KL Rahul; Koramangala &amp; Ulsoor studios | Active: undated (site live 2026-10)</t>
        </is>
      </c>
      <c r="Z34" s="2" t="inlineStr">
        <is>
          <t>Lead with the studio's body of work and team. Ask how bookings arrive today. Service/booking availability at launch is being confirmed (EV-09).</t>
        </is>
      </c>
      <c r="AA34" s="2" t="inlineStr">
        <is>
          <t>Already gets leads via own site, Google and Instagram</t>
        </is>
      </c>
      <c r="AB34" s="2" t="inlineStr">
        <is>
          <t>Bookings already via wedding portals/Instagram; off-platform client contact (SP-4a open); peak-season time</t>
        </is>
      </c>
      <c r="AC34" s="2" t="inlineStr">
        <is>
          <t>E03-CTA-B Written terms + registration link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</row>
    <row r="35">
      <c r="A35" s="2" t="n">
        <v>34</v>
      </c>
      <c r="B35" s="2" t="inlineStr">
        <is>
          <t>Wave 1 — Founding cohort</t>
        </is>
      </c>
      <c r="C35" s="2" t="inlineStr">
        <is>
          <t>UPK2-BM-019</t>
        </is>
      </c>
      <c r="D35" s="2" t="inlineStr">
        <is>
          <t>MeriBindiya (MeriBindiya International Academy)</t>
        </is>
      </c>
      <c r="E35" s="2" t="inlineStr">
        <is>
          <t>Beauty &amp; Makeup</t>
        </is>
      </c>
      <c r="F35" s="2" t="inlineStr">
        <is>
          <t>BM-STUDIO</t>
        </is>
      </c>
      <c r="G35" s="2" t="inlineStr">
        <is>
          <t>Wedding &amp; Occasion</t>
        </is>
      </c>
      <c r="H35" s="2" t="inlineStr">
        <is>
          <t>Bridal Makeup Team &amp; Makeup Academy</t>
        </is>
      </c>
      <c r="I35" s="2" t="inlineStr">
        <is>
          <t>Delhi NCR</t>
        </is>
      </c>
      <c r="J35" s="2" t="inlineStr">
        <is>
          <t>C — Strong Mid-tier</t>
        </is>
      </c>
      <c r="K35" s="2" t="inlineStr">
        <is>
          <t>Bridal team + academy</t>
        </is>
      </c>
      <c r="L35" s="2" t="inlineStr">
        <is>
          <t>P0</t>
        </is>
      </c>
      <c r="M35" s="2" t="inlineStr">
        <is>
          <t>P1</t>
        </is>
      </c>
      <c r="N35" s="2" t="n">
        <v>74.09999999999999</v>
      </c>
      <c r="O35" s="2" t="n">
        <v>96</v>
      </c>
      <c r="P35" s="2" t="n">
        <v>66.90000000000001</v>
      </c>
      <c r="Q35" s="2" t="n">
        <v>73</v>
      </c>
      <c r="R35" s="2" t="n">
        <v>40</v>
      </c>
      <c r="S35" s="2" t="inlineStr">
        <is>
          <t>C1-DIRECT-VERIFIED</t>
        </is>
      </c>
      <c r="T35" s="2" t="inlineStr">
        <is>
          <t>Personal 1:1 email from founder/team to published business email</t>
        </is>
      </c>
      <c r="U35" s="2" t="inlineStr">
        <is>
          <t>https://www.meribindiya.com/</t>
        </is>
      </c>
      <c r="V35" s="2" t="inlineStr">
        <is>
          <t>2026-03 — site dateModified</t>
        </is>
      </c>
      <c r="W35" s="2" t="inlineStr">
        <is>
          <t>Bridal services team plus academy; site lists Bridal Services and Courses</t>
        </is>
      </c>
      <c r="X35" s="2" t="inlineStr">
        <is>
          <t>Own website (First-party site)</t>
        </is>
      </c>
      <c r="Y35" s="2" t="inlineStr">
        <is>
          <t>Readiness 74 (top 5% in category) | Commercial: Bridal services team plus academy; site lists Bridal Services and Courses | Active: 2026-03 — site dateModified</t>
        </is>
      </c>
      <c r="Z35" s="2" t="inlineStr">
        <is>
          <t>Lead with the studio's body of work and team. Ask how bookings arrive today. Service/booking availability at launch is being confirmed (EV-09).</t>
        </is>
      </c>
      <c r="AA35" s="2" t="inlineStr">
        <is>
          <t>Academy-focused; may prioritise course sales</t>
        </is>
      </c>
      <c r="AB35" s="2" t="inlineStr">
        <is>
          <t>Bookings already via wedding portals/Instagram; off-platform client contact (SP-4a open); peak-season time</t>
        </is>
      </c>
      <c r="AC35" s="2" t="inlineStr">
        <is>
          <t>E03-CTA-A Reply/15-min call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</row>
    <row r="36">
      <c r="A36" s="2" t="n">
        <v>35</v>
      </c>
      <c r="B36" s="2" t="inlineStr">
        <is>
          <t>Wave 1 — Founding cohort</t>
        </is>
      </c>
      <c r="C36" s="2" t="inlineStr">
        <is>
          <t>UPK2-BM-003</t>
        </is>
      </c>
      <c r="D36" s="2" t="inlineStr">
        <is>
          <t>Sonal Sharma Makeup</t>
        </is>
      </c>
      <c r="E36" s="2" t="inlineStr">
        <is>
          <t>Beauty &amp; Makeup</t>
        </is>
      </c>
      <c r="F36" s="2" t="inlineStr">
        <is>
          <t>BM-INDEPENDENT-MUA</t>
        </is>
      </c>
      <c r="G36" s="2" t="inlineStr">
        <is>
          <t>Wedding &amp; Occasion</t>
        </is>
      </c>
      <c r="H36" s="2" t="inlineStr">
        <is>
          <t>Bridal &amp; Party Makeup Artist</t>
        </is>
      </c>
      <c r="I36" s="2" t="inlineStr">
        <is>
          <t>Delhi NCR</t>
        </is>
      </c>
      <c r="J36" s="2" t="inlineStr">
        <is>
          <t>B — Established Independent</t>
        </is>
      </c>
      <c r="K36" s="2" t="inlineStr">
        <is>
          <t>Independent artist</t>
        </is>
      </c>
      <c r="L36" s="2" t="inlineStr">
        <is>
          <t>P0</t>
        </is>
      </c>
      <c r="M36" s="2" t="inlineStr">
        <is>
          <t>P0</t>
        </is>
      </c>
      <c r="N36" s="2" t="n">
        <v>74.8</v>
      </c>
      <c r="O36" s="2" t="n">
        <v>97</v>
      </c>
      <c r="P36" s="2" t="n">
        <v>64</v>
      </c>
      <c r="Q36" s="2" t="n">
        <v>72</v>
      </c>
      <c r="R36" s="2" t="n">
        <v>25</v>
      </c>
      <c r="S36" s="2" t="inlineStr">
        <is>
          <t>C1-DIRECT-VERIFIED</t>
        </is>
      </c>
      <c r="T36" s="2" t="inlineStr">
        <is>
          <t>Personal 1:1 email from founder/team to published business email</t>
        </is>
      </c>
      <c r="U36" s="2" t="inlineStr">
        <is>
          <t>https://sonalsharmamakeup.com/</t>
        </is>
      </c>
      <c r="V36" s="2" t="inlineStr">
        <is>
          <t>2026-04 — site dateModified; copyright 2026</t>
        </is>
      </c>
      <c r="W36" s="2" t="inlineStr">
        <is>
          <t>Site claims 500+ brides; serves Delhi, Noida, Gurgaon, Faridabad</t>
        </is>
      </c>
      <c r="X36" s="2" t="inlineStr">
        <is>
          <t>Own website (First-party site)</t>
        </is>
      </c>
      <c r="Y36" s="2" t="inlineStr">
        <is>
          <t>Readiness 75 (top 4% in category) | Commercial: Site claims 500+ brides; serves Delhi, Noida, Gurgaon, Faridabad | Active: 2026-04 — site dateModified; copyright 2026 | Independent/emerging tier — fame not a factor</t>
        </is>
      </c>
      <c r="Z36" s="2" t="inlineStr">
        <is>
          <t>Lead with their bridal portfolio. Ask how bookings arrive today. Be explicit that service/booking availability at launch is being confirmed (EV-09).</t>
        </is>
      </c>
      <c r="AA36" s="2" t="inlineStr">
        <is>
          <t>Bookings mainly via Instagram/WhatsApp</t>
        </is>
      </c>
      <c r="AB36" s="2" t="inlineStr">
        <is>
          <t>Bookings already via wedding portals/Instagram; off-platform client contact (SP-4a open); peak-season time</t>
        </is>
      </c>
      <c r="AC36" s="2" t="inlineStr">
        <is>
          <t>E03-CTA-B Written terms + registration link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</row>
    <row r="37">
      <c r="A37" s="2" t="n">
        <v>36</v>
      </c>
      <c r="B37" s="2" t="inlineStr">
        <is>
          <t>Wave 1 — Founding cohort</t>
        </is>
      </c>
      <c r="C37" s="2" t="inlineStr">
        <is>
          <t>UPK2-BM-006</t>
        </is>
      </c>
      <c r="D37" s="2" t="inlineStr">
        <is>
          <t>Shivangi Verma Makeup Studio &amp; Academy</t>
        </is>
      </c>
      <c r="E37" s="2" t="inlineStr">
        <is>
          <t>Beauty &amp; Makeup</t>
        </is>
      </c>
      <c r="F37" s="2" t="inlineStr">
        <is>
          <t>BM-STUDIO</t>
        </is>
      </c>
      <c r="G37" s="2" t="inlineStr">
        <is>
          <t>Wedding &amp; Occasion</t>
        </is>
      </c>
      <c r="H37" s="2" t="inlineStr">
        <is>
          <t>Bridal Makeup Artist &amp; Academy</t>
        </is>
      </c>
      <c r="I37" s="2" t="inlineStr">
        <is>
          <t>Delhi NCR</t>
        </is>
      </c>
      <c r="J37" s="2" t="inlineStr">
        <is>
          <t>B — Established Independent</t>
        </is>
      </c>
      <c r="K37" s="2" t="inlineStr">
        <is>
          <t>Studio + academy</t>
        </is>
      </c>
      <c r="L37" s="2" t="inlineStr">
        <is>
          <t>P0</t>
        </is>
      </c>
      <c r="M37" s="2" t="inlineStr">
        <is>
          <t>P0</t>
        </is>
      </c>
      <c r="N37" s="2" t="n">
        <v>76.2</v>
      </c>
      <c r="O37" s="2" t="n">
        <v>98</v>
      </c>
      <c r="P37" s="2" t="n">
        <v>63.7</v>
      </c>
      <c r="Q37" s="2" t="n">
        <v>72</v>
      </c>
      <c r="R37" s="2" t="n">
        <v>20</v>
      </c>
      <c r="S37" s="2" t="inlineStr">
        <is>
          <t>C1-DIRECT-VERIFIED</t>
        </is>
      </c>
      <c r="T37" s="2" t="inlineStr">
        <is>
          <t>Personal 1:1 email from founder/team to published business email</t>
        </is>
      </c>
      <c r="U37" s="2" t="inlineStr">
        <is>
          <t>https://shivangivermamakeupstudioandacademy.com/</t>
        </is>
      </c>
      <c r="V37" s="2" t="inlineStr">
        <is>
          <t>2026 — site copyright 2026</t>
        </is>
      </c>
      <c r="W37" s="2" t="inlineStr">
        <is>
          <t>Site: 13+ years, trained at Makeup Studio Netherlands, 1000+ brides (self-reported), bridal from ₹28,000</t>
        </is>
      </c>
      <c r="X37" s="2" t="inlineStr">
        <is>
          <t>Own website (First-party site)</t>
        </is>
      </c>
      <c r="Y37" s="2" t="inlineStr">
        <is>
          <t>Readiness 76 (top 3% in category) | Commercial: Site: 13+ years, trained at Makeup Studio Netherlands, 1000+ brides (self-reported), brid… | Active: 2026 — site copyright 2026 | Independent/emerging tier — fame not a factor</t>
        </is>
      </c>
      <c r="Z37" s="2" t="inlineStr">
        <is>
          <t>Lead with the studio's body of work and team. Ask how bookings arrive today. Service/booking availability at launch is being confirmed (EV-09).</t>
        </is>
      </c>
      <c r="AA37" s="2" t="inlineStr">
        <is>
          <t>—</t>
        </is>
      </c>
      <c r="AB37" s="2" t="inlineStr">
        <is>
          <t>Bookings already via wedding portals/Instagram; off-platform client contact (SP-4a open); peak-season time</t>
        </is>
      </c>
      <c r="AC37" s="2" t="inlineStr">
        <is>
          <t>E03-CTA-A Reply/15-min call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</row>
    <row r="38">
      <c r="A38" s="2" t="n">
        <v>37</v>
      </c>
      <c r="B38" s="2" t="inlineStr">
        <is>
          <t>Wave 1 — Founding cohort</t>
        </is>
      </c>
      <c r="C38" s="2" t="inlineStr">
        <is>
          <t>UPK2-BM-277</t>
        </is>
      </c>
      <c r="D38" s="2" t="inlineStr">
        <is>
          <t>Ram Kumar Mehandi</t>
        </is>
      </c>
      <c r="E38" s="2" t="inlineStr">
        <is>
          <t>Beauty &amp; Makeup</t>
        </is>
      </c>
      <c r="F38" s="2" t="inlineStr">
        <is>
          <t>BM-MEHENDI</t>
        </is>
      </c>
      <c r="G38" s="2" t="inlineStr">
        <is>
          <t>Wedding &amp; Occasion</t>
        </is>
      </c>
      <c r="H38" s="2" t="inlineStr">
        <is>
          <t>Mehendi / henna artist</t>
        </is>
      </c>
      <c r="I38" s="2" t="inlineStr">
        <is>
          <t>Delhi NCR</t>
        </is>
      </c>
      <c r="J38" s="2" t="inlineStr">
        <is>
          <t>A — Emerging / High-potential</t>
        </is>
      </c>
      <c r="K38" s="2" t="inlineStr">
        <is>
          <t>Independent mehendi artist / team</t>
        </is>
      </c>
      <c r="L38" s="2" t="inlineStr">
        <is>
          <t>P0</t>
        </is>
      </c>
      <c r="M38" s="2" t="inlineStr">
        <is>
          <t>P0</t>
        </is>
      </c>
      <c r="N38" s="2" t="n">
        <v>74.7</v>
      </c>
      <c r="O38" s="2" t="n">
        <v>96</v>
      </c>
      <c r="P38" s="2" t="n">
        <v>62.6</v>
      </c>
      <c r="Q38" s="2" t="n">
        <v>67</v>
      </c>
      <c r="R38" s="2" t="n">
        <v>26</v>
      </c>
      <c r="S38" s="2" t="inlineStr">
        <is>
          <t>C1-DIRECT-VERIFIED</t>
        </is>
      </c>
      <c r="T38" s="2" t="inlineStr">
        <is>
          <t>Personal 1:1 email from founder/team to published business email</t>
        </is>
      </c>
      <c r="U38" s="2" t="inlineStr">
        <is>
          <t>https://ramkumarmehandi.com/landing/</t>
        </is>
      </c>
      <c r="V38" s="2" t="inlineStr">
        <is>
          <t>2026-01 — latest client review on WedMeGood profile</t>
        </is>
      </c>
      <c r="W38" s="2" t="inlineStr">
        <is>
          <t>4 client reviews on WedMeGood (rating 4.9); 1 of latest 4 shown reviews dated 2025–26; starting price ₹Price on Request per package/function listed</t>
        </is>
      </c>
      <c r="X38" s="2" t="inlineStr">
        <is>
          <t>WedMeGood (Vendor profile with client reviews); Own website (First-party site)</t>
        </is>
      </c>
      <c r="Y38" s="2" t="inlineStr">
        <is>
          <t>Readiness 75 (top 5% in category) | Commercial: 4 client reviews on WedMeGood (rating 4.9); 1 of latest 4 shown reviews dated 2025–26; st… | Active: 2026-01 — latest client review on WedMeGood profile | Independent/emerging tier — fame not a factor</t>
        </is>
      </c>
      <c r="Z38" s="2" t="inlineStr">
        <is>
          <t>Lead with a specific design style. Ask how bookings arrive today. Service/booking availability at launch is being confirmed (EV-09).</t>
        </is>
      </c>
      <c r="AA38" s="2" t="inlineStr">
        <is>
          <t>Bookings already arrive via WedMeGood/Instagram; may see limited need for another platform</t>
        </is>
      </c>
      <c r="AB38" s="2" t="inlineStr">
        <is>
          <t>Bookings already via wedding portals/Instagram; off-platform client contact (SP-4a open); peak-season time</t>
        </is>
      </c>
      <c r="AC38" s="2" t="inlineStr">
        <is>
          <t>E03-CTA-B Written terms + registration link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</row>
    <row r="39">
      <c r="A39" s="2" t="n">
        <v>38</v>
      </c>
      <c r="B39" s="2" t="inlineStr">
        <is>
          <t>Wave 1 — Founding cohort</t>
        </is>
      </c>
      <c r="C39" s="2" t="inlineStr">
        <is>
          <t>UPK2-BM-064</t>
        </is>
      </c>
      <c r="D39" s="2" t="inlineStr">
        <is>
          <t>Zorain's Studio &amp; Academy</t>
        </is>
      </c>
      <c r="E39" s="2" t="inlineStr">
        <is>
          <t>Beauty &amp; Makeup</t>
        </is>
      </c>
      <c r="F39" s="2" t="inlineStr">
        <is>
          <t>BM-STUDIO</t>
        </is>
      </c>
      <c r="G39" s="2" t="inlineStr">
        <is>
          <t>Wedding &amp; Occasion</t>
        </is>
      </c>
      <c r="H39" s="2" t="inlineStr">
        <is>
          <t>Makeup Studio, Academy &amp; Products</t>
        </is>
      </c>
      <c r="I39" s="2" t="inlineStr">
        <is>
          <t>Bengaluru</t>
        </is>
      </c>
      <c r="J39" s="2" t="inlineStr">
        <is>
          <t>C — Strong Mid-tier</t>
        </is>
      </c>
      <c r="K39" s="2" t="inlineStr">
        <is>
          <t>Studio &amp; academy</t>
        </is>
      </c>
      <c r="L39" s="2" t="inlineStr">
        <is>
          <t>P0</t>
        </is>
      </c>
      <c r="M39" s="2" t="inlineStr">
        <is>
          <t>P1</t>
        </is>
      </c>
      <c r="N39" s="2" t="n">
        <v>69.90000000000001</v>
      </c>
      <c r="O39" s="2" t="n">
        <v>85</v>
      </c>
      <c r="P39" s="2" t="n">
        <v>64.2</v>
      </c>
      <c r="Q39" s="2" t="n">
        <v>71</v>
      </c>
      <c r="R39" s="2" t="n">
        <v>40</v>
      </c>
      <c r="S39" s="2" t="inlineStr">
        <is>
          <t>C1-DIRECT-VERIFIED</t>
        </is>
      </c>
      <c r="T39" s="2" t="inlineStr">
        <is>
          <t>Personal 1:1 email from founder/team to published business email</t>
        </is>
      </c>
      <c r="U39" s="2" t="inlineStr">
        <is>
          <t>https://zorainsstudio.com/</t>
        </is>
      </c>
      <c r="V39" s="2" t="inlineStr">
        <is>
          <t>2025-11 — site dateModified</t>
        </is>
      </c>
      <c r="W39" s="2" t="inlineStr">
        <is>
          <t>Training + services + products (site title); Koramangala</t>
        </is>
      </c>
      <c r="X39" s="2" t="inlineStr"/>
      <c r="Y39" s="2" t="inlineStr">
        <is>
          <t>Readiness 70 (top 16% in category) | Commercial: Training + services + products (site title); Koramangala | Active: 2025-11 — site dateModified</t>
        </is>
      </c>
      <c r="Z39" s="2" t="inlineStr">
        <is>
          <t>Lead with the studio's body of work and team. Ask how bookings arrive today. Service/booking availability at launch is being confirmed (EV-09).</t>
        </is>
      </c>
      <c r="AA39" s="2" t="inlineStr">
        <is>
          <t>Already gets leads via own site, Google and Instagram</t>
        </is>
      </c>
      <c r="AB39" s="2" t="inlineStr">
        <is>
          <t>Bookings already via wedding portals/Instagram; off-platform client contact (SP-4a open); peak-season time</t>
        </is>
      </c>
      <c r="AC39" s="2" t="inlineStr">
        <is>
          <t>E03-CTA-A Reply/15-min call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</row>
    <row r="40">
      <c r="A40" s="2" t="n">
        <v>39</v>
      </c>
      <c r="B40" s="2" t="inlineStr">
        <is>
          <t>Wave 1 — Founding cohort</t>
        </is>
      </c>
      <c r="C40" s="2" t="inlineStr">
        <is>
          <t>UPK2-BM-021</t>
        </is>
      </c>
      <c r="D40" s="2" t="inlineStr">
        <is>
          <t>Brides by Sabahat</t>
        </is>
      </c>
      <c r="E40" s="2" t="inlineStr">
        <is>
          <t>Beauty &amp; Makeup</t>
        </is>
      </c>
      <c r="F40" s="2" t="inlineStr">
        <is>
          <t>BM-INDEPENDENT-MUA</t>
        </is>
      </c>
      <c r="G40" s="2" t="inlineStr">
        <is>
          <t>Wedding &amp; Occasion</t>
        </is>
      </c>
      <c r="H40" s="2" t="inlineStr">
        <is>
          <t>Celebrity &amp; Bridal MUA</t>
        </is>
      </c>
      <c r="I40" s="2" t="inlineStr">
        <is>
          <t>Mumbai</t>
        </is>
      </c>
      <c r="J40" s="2" t="inlineStr">
        <is>
          <t>C — Strong Mid-tier</t>
        </is>
      </c>
      <c r="K40" s="2" t="inlineStr">
        <is>
          <t>Independent professional</t>
        </is>
      </c>
      <c r="L40" s="2" t="inlineStr">
        <is>
          <t>P0</t>
        </is>
      </c>
      <c r="M40" s="2" t="inlineStr">
        <is>
          <t>P1</t>
        </is>
      </c>
      <c r="N40" s="2" t="n">
        <v>69.5</v>
      </c>
      <c r="O40" s="2" t="n">
        <v>78</v>
      </c>
      <c r="P40" s="2" t="n">
        <v>64</v>
      </c>
      <c r="Q40" s="2" t="n">
        <v>71</v>
      </c>
      <c r="R40" s="2" t="n">
        <v>40</v>
      </c>
      <c r="S40" s="2" t="inlineStr">
        <is>
          <t>C3-PRO-SOCIAL</t>
        </is>
      </c>
      <c r="T40" s="2" t="inlineStr">
        <is>
          <t>1:1 Instagram DM from Uepaki professional account</t>
        </is>
      </c>
      <c r="U40" s="2" t="inlineStr">
        <is>
          <t>https://www.instagram.com/bridesbysabahat?igsh=MWl6eTh0cm1kOHZ0Mg%3D%3D&amp;utm_source=qr</t>
        </is>
      </c>
      <c r="V40" s="2" t="inlineStr">
        <is>
          <t>2026-03 — WeddingSutra vendor profile last modified (page metadata)</t>
        </is>
      </c>
      <c r="W40" s="2" t="inlineStr">
        <is>
          <t>Ambani pre-wedding events; Tendulkar family (per WS bio, 2025-09)</t>
        </is>
      </c>
      <c r="X40" s="2" t="inlineStr">
        <is>
          <t>WeddingSutra (Vendor showcase profile (Makeup Artists))</t>
        </is>
      </c>
      <c r="Y40" s="2" t="inlineStr">
        <is>
          <t>Readiness 70 (top 23% in category) | Commercial: Ambani pre-wedding events; Tendulkar family (per WS bio, 2025-09) | Active: 2026-03 — WeddingSutra vendor profile last modified (page metadata)</t>
        </is>
      </c>
      <c r="Z40" s="2" t="inlineStr">
        <is>
          <t>Lead with their bridal portfolio. Ask how bookings arrive today. Be explicit that service/booking availability at launch is being confirmed (EV-09).</t>
        </is>
      </c>
      <c r="AA40" s="2" t="inlineStr">
        <is>
          <t>Fully booked via referrals; limited need for another listing</t>
        </is>
      </c>
      <c r="AB40" s="2" t="inlineStr">
        <is>
          <t>Bookings already via wedding portals/Instagram; off-platform client contact (SP-4a open); peak-season time</t>
        </is>
      </c>
      <c r="AC40" s="2" t="inlineStr">
        <is>
          <t>E03-CTA-B Written terms + registration link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</row>
    <row r="41">
      <c r="A41" s="2" t="n">
        <v>40</v>
      </c>
      <c r="B41" s="2" t="inlineStr">
        <is>
          <t>Wave 1 — Founding cohort</t>
        </is>
      </c>
      <c r="C41" s="2" t="inlineStr">
        <is>
          <t>UPK2-BM-036</t>
        </is>
      </c>
      <c r="D41" s="2" t="inlineStr">
        <is>
          <t>Vrunda's Beauty Maker</t>
        </is>
      </c>
      <c r="E41" s="2" t="inlineStr">
        <is>
          <t>Beauty &amp; Makeup</t>
        </is>
      </c>
      <c r="F41" s="2" t="inlineStr">
        <is>
          <t>BM-INDEPENDENT-MUA</t>
        </is>
      </c>
      <c r="G41" s="2" t="inlineStr">
        <is>
          <t>Wedding &amp; Occasion</t>
        </is>
      </c>
      <c r="H41" s="2" t="inlineStr">
        <is>
          <t>HD Bridal Hair &amp; Makeup</t>
        </is>
      </c>
      <c r="I41" s="2" t="inlineStr">
        <is>
          <t>Mumbai</t>
        </is>
      </c>
      <c r="J41" s="2" t="inlineStr">
        <is>
          <t>B — Established Independent</t>
        </is>
      </c>
      <c r="K41" s="2" t="inlineStr">
        <is>
          <t>Independent professional</t>
        </is>
      </c>
      <c r="L41" s="2" t="inlineStr">
        <is>
          <t>P0</t>
        </is>
      </c>
      <c r="M41" s="2" t="inlineStr">
        <is>
          <t>P0</t>
        </is>
      </c>
      <c r="N41" s="2" t="n">
        <v>68.7</v>
      </c>
      <c r="O41" s="2" t="n">
        <v>72</v>
      </c>
      <c r="P41" s="2" t="n">
        <v>59.2</v>
      </c>
      <c r="Q41" s="2" t="n">
        <v>66</v>
      </c>
      <c r="R41" s="2" t="n">
        <v>25</v>
      </c>
      <c r="S41" s="2" t="inlineStr">
        <is>
          <t>C3-PRO-SOCIAL</t>
        </is>
      </c>
      <c r="T41" s="2" t="inlineStr">
        <is>
          <t>1:1 Instagram DM from Uepaki professional account</t>
        </is>
      </c>
      <c r="U41" s="2" t="inlineStr">
        <is>
          <t>https://beautymaker.in/</t>
        </is>
      </c>
      <c r="V41" s="2" t="inlineStr">
        <is>
          <t>2026-08 — site dateModified</t>
        </is>
      </c>
      <c r="W41" s="2" t="inlineStr">
        <is>
          <t>Bridal consultations; training (site)</t>
        </is>
      </c>
      <c r="X41" s="2" t="inlineStr"/>
      <c r="Y41" s="2" t="inlineStr">
        <is>
          <t>Readiness 69 (top 29% in category) | Commercial: Bridal consultations; training (site) | Active: 2026-08 — site dateModified | Independent/emerging tier — fame not a factor</t>
        </is>
      </c>
      <c r="Z41" s="2" t="inlineStr">
        <is>
          <t>Lead with their bridal portfolio. Ask how bookings arrive today. Be explicit that service/booking availability at launch is being confirmed (EV-09).</t>
        </is>
      </c>
      <c r="AA41" s="2" t="inlineStr">
        <is>
          <t>Already gets leads via own site, Google and Instagram</t>
        </is>
      </c>
      <c r="AB41" s="2" t="inlineStr">
        <is>
          <t>Bookings already via wedding portals/Instagram; off-platform client contact (SP-4a open); peak-season time</t>
        </is>
      </c>
      <c r="AC41" s="2" t="inlineStr">
        <is>
          <t>E03-CTA-A Reply/15-min call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</row>
    <row r="42">
      <c r="A42" s="2" t="n">
        <v>41</v>
      </c>
      <c r="B42" s="2" t="inlineStr">
        <is>
          <t>Wave 1 — Founding cohort</t>
        </is>
      </c>
      <c r="C42" s="2" t="inlineStr">
        <is>
          <t>UPK2-BM-029</t>
        </is>
      </c>
      <c r="D42" s="2" t="inlineStr">
        <is>
          <t>Richa Thakkar Makeup</t>
        </is>
      </c>
      <c r="E42" s="2" t="inlineStr">
        <is>
          <t>Beauty &amp; Makeup</t>
        </is>
      </c>
      <c r="F42" s="2" t="inlineStr">
        <is>
          <t>BM-INDEPENDENT-MUA</t>
        </is>
      </c>
      <c r="G42" s="2" t="inlineStr">
        <is>
          <t>Wedding &amp; Occasion</t>
        </is>
      </c>
      <c r="H42" s="2" t="inlineStr">
        <is>
          <t>Bridal Eye Makeup &amp; Hairstyling</t>
        </is>
      </c>
      <c r="I42" s="2" t="inlineStr">
        <is>
          <t>Mumbai</t>
        </is>
      </c>
      <c r="J42" s="2" t="inlineStr">
        <is>
          <t>B — Established Independent</t>
        </is>
      </c>
      <c r="K42" s="2" t="inlineStr">
        <is>
          <t>Independent professional</t>
        </is>
      </c>
      <c r="L42" s="2" t="inlineStr">
        <is>
          <t>P0</t>
        </is>
      </c>
      <c r="M42" s="2" t="inlineStr">
        <is>
          <t>P0</t>
        </is>
      </c>
      <c r="N42" s="2" t="n">
        <v>69.09999999999999</v>
      </c>
      <c r="O42" s="2" t="n">
        <v>76</v>
      </c>
      <c r="P42" s="2" t="n">
        <v>61.2</v>
      </c>
      <c r="Q42" s="2" t="n">
        <v>69</v>
      </c>
      <c r="R42" s="2" t="n">
        <v>30</v>
      </c>
      <c r="S42" s="2" t="inlineStr">
        <is>
          <t>C3-PRO-SOCIAL</t>
        </is>
      </c>
      <c r="T42" s="2" t="inlineStr">
        <is>
          <t>1:1 Instagram DM from Uepaki professional account</t>
        </is>
      </c>
      <c r="U42" s="2" t="inlineStr">
        <is>
          <t>https://www.instagram.com/richa_thakkar26/</t>
        </is>
      </c>
      <c r="V42" s="2" t="inlineStr">
        <is>
          <t>2026-09 — WeddingSutra vendor profile last modified (page metadata)</t>
        </is>
      </c>
      <c r="W42" s="2" t="inlineStr">
        <is>
          <t>4+ yrs; travels pan-India; team of eight (per WS bio)</t>
        </is>
      </c>
      <c r="X42" s="2" t="inlineStr">
        <is>
          <t>WeddingSutra (Vendor showcase profile (Makeup Artists))</t>
        </is>
      </c>
      <c r="Y42" s="2" t="inlineStr">
        <is>
          <t>Readiness 69 (top 25% in category) | Commercial: 4+ yrs; travels pan-India; team of eight (per WS bio) | Active: 2026-09 — WeddingSutra vendor profile last modified (page metadata) | Independent/emerging tier — fame not a factor</t>
        </is>
      </c>
      <c r="Z42" s="2" t="inlineStr">
        <is>
          <t>Lead with their bridal portfolio. Ask how bookings arrive today. Be explicit that service/booking availability at launch is being confirmed (EV-09).</t>
        </is>
      </c>
      <c r="AA42" s="2" t="inlineStr">
        <is>
          <t>Bookings already flow via Instagram/WhatsApp and wedding portals</t>
        </is>
      </c>
      <c r="AB42" s="2" t="inlineStr">
        <is>
          <t>Bookings already via wedding portals/Instagram; off-platform client contact (SP-4a open); peak-season time</t>
        </is>
      </c>
      <c r="AC42" s="2" t="inlineStr">
        <is>
          <t>E03-CTA-B Written terms + registration link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</row>
    <row r="43">
      <c r="A43" s="2" t="n">
        <v>42</v>
      </c>
      <c r="B43" s="2" t="inlineStr">
        <is>
          <t>Wave 1 — Founding cohort</t>
        </is>
      </c>
      <c r="C43" s="2" t="inlineStr">
        <is>
          <t>UPK2-BM-048</t>
        </is>
      </c>
      <c r="D43" s="2" t="inlineStr">
        <is>
          <t>The Makeup Wala</t>
        </is>
      </c>
      <c r="E43" s="2" t="inlineStr">
        <is>
          <t>Beauty &amp; Makeup</t>
        </is>
      </c>
      <c r="F43" s="2" t="inlineStr">
        <is>
          <t>BM-STUDIO</t>
        </is>
      </c>
      <c r="G43" s="2" t="inlineStr">
        <is>
          <t>Wedding &amp; Occasion</t>
        </is>
      </c>
      <c r="H43" s="2" t="inlineStr">
        <is>
          <t>Bridal, Party &amp; Airbrush Makeup Artist</t>
        </is>
      </c>
      <c r="I43" s="2" t="inlineStr">
        <is>
          <t>Delhi NCR</t>
        </is>
      </c>
      <c r="J43" s="2" t="inlineStr">
        <is>
          <t>B — Established Independent</t>
        </is>
      </c>
      <c r="K43" s="2" t="inlineStr">
        <is>
          <t>Makeup studio</t>
        </is>
      </c>
      <c r="L43" s="2" t="inlineStr">
        <is>
          <t>P0</t>
        </is>
      </c>
      <c r="M43" s="2" t="inlineStr">
        <is>
          <t>P0</t>
        </is>
      </c>
      <c r="N43" s="2" t="n">
        <v>71.90000000000001</v>
      </c>
      <c r="O43" s="2" t="n">
        <v>89</v>
      </c>
      <c r="P43" s="2" t="n">
        <v>57.4</v>
      </c>
      <c r="Q43" s="2" t="n">
        <v>65</v>
      </c>
      <c r="R43" s="2" t="n">
        <v>10</v>
      </c>
      <c r="S43" s="2" t="inlineStr">
        <is>
          <t>C1-DIRECT-VERIFIED</t>
        </is>
      </c>
      <c r="T43" s="2" t="inlineStr">
        <is>
          <t>Personal 1:1 email from founder/team to published business email</t>
        </is>
      </c>
      <c r="U43" s="2" t="inlineStr">
        <is>
          <t>https://www.themakeupwala.com/contact/</t>
        </is>
      </c>
      <c r="V43" s="2" t="inlineStr">
        <is>
          <t>2026-07 — site dateModified</t>
        </is>
      </c>
      <c r="W43" s="2" t="inlineStr">
        <is>
          <t>Malviya Nagar studio serving South Delhi &amp; NCR; bridal, HD, airbrush</t>
        </is>
      </c>
      <c r="X43" s="2" t="inlineStr">
        <is>
          <t>Own website (First-party site)</t>
        </is>
      </c>
      <c r="Y43" s="2" t="inlineStr">
        <is>
          <t>Readiness 72 (top 12% in category) | Commercial: Malviya Nagar studio serving South Delhi &amp; NCR; bridal, HD, airbrush | Active: 2026-07 — site dateModified | Independent/emerging tier — fame not a factor</t>
        </is>
      </c>
      <c r="Z43" s="2" t="inlineStr">
        <is>
          <t>Lead with the studio's body of work and team. Ask how bookings arrive today. Service/booking availability at launch is being confirmed (EV-09).</t>
        </is>
      </c>
      <c r="AA43" s="2" t="inlineStr">
        <is>
          <t>—</t>
        </is>
      </c>
      <c r="AB43" s="2" t="inlineStr">
        <is>
          <t>Bookings already via wedding portals/Instagram; off-platform client contact (SP-4a open); peak-season time</t>
        </is>
      </c>
      <c r="AC43" s="2" t="inlineStr">
        <is>
          <t>E03-CTA-A Reply/15-min call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</row>
    <row r="44">
      <c r="A44" s="2" t="n">
        <v>43</v>
      </c>
      <c r="B44" s="2" t="inlineStr">
        <is>
          <t>Wave 1 — Founding cohort</t>
        </is>
      </c>
      <c r="C44" s="2" t="inlineStr">
        <is>
          <t>UPK2-FL-166</t>
        </is>
      </c>
      <c r="D44" s="2" t="inlineStr">
        <is>
          <t>Preeti Mohan</t>
        </is>
      </c>
      <c r="E44" s="2" t="inlineStr">
        <is>
          <t>Fashion &amp; Lifestyle</t>
        </is>
      </c>
      <c r="F44" s="2" t="inlineStr">
        <is>
          <t>FL-JEWELLERY</t>
        </is>
      </c>
      <c r="G44" s="2" t="inlineStr">
        <is>
          <t>Wedding &amp; Occasion</t>
        </is>
      </c>
      <c r="H44" s="2" t="inlineStr">
        <is>
          <t>Designer jewellery</t>
        </is>
      </c>
      <c r="I44" s="2" t="inlineStr">
        <is>
          <t>Delhi NCR</t>
        </is>
      </c>
      <c r="J44" s="2" t="inlineStr">
        <is>
          <t>B — Established Independent</t>
        </is>
      </c>
      <c r="K44" s="2" t="inlineStr">
        <is>
          <t>Label/brand (D2C store)</t>
        </is>
      </c>
      <c r="L44" s="2" t="inlineStr">
        <is>
          <t>P0</t>
        </is>
      </c>
      <c r="M44" s="2" t="inlineStr">
        <is>
          <t>P0</t>
        </is>
      </c>
      <c r="N44" s="2" t="n">
        <v>87</v>
      </c>
      <c r="O44" s="2" t="n">
        <v>100</v>
      </c>
      <c r="P44" s="2" t="n">
        <v>79.3</v>
      </c>
      <c r="Q44" s="2" t="n">
        <v>86</v>
      </c>
      <c r="R44" s="2" t="n">
        <v>50</v>
      </c>
      <c r="S44" s="2" t="inlineStr">
        <is>
          <t>C1-DIRECT-VERIFIED</t>
        </is>
      </c>
      <c r="T44" s="2" t="inlineStr">
        <is>
          <t>Personal 1:1 email from founder/team to published business email</t>
        </is>
      </c>
      <c r="U44" s="2" t="inlineStr">
        <is>
          <t>https://preetimohan.com/pages/contact</t>
        </is>
      </c>
      <c r="V44" s="2" t="inlineStr">
        <is>
          <t>2026-09 — newest product published on own Shopify store (MAWYA MINT GREEN POLKI NECKLACE SET) per products.json</t>
        </is>
      </c>
      <c r="W44" s="2" t="inlineStr">
        <is>
          <t>Own online store live with 250+ products listed; stocked by multi-designer retailer(s): Aza Fashions, Ogaan</t>
        </is>
      </c>
      <c r="X44" s="2" t="inlineStr">
        <is>
          <t>Aza Fashions (stocked designer (designer index)); Ogaan (stocked designer (designer index))</t>
        </is>
      </c>
      <c r="Y44" s="2" t="inlineStr">
        <is>
          <t>Readiness 87 (top 1% in category) | Commercial: Own online store live with 250+ products listed; stocked by multi-designer retailer(s): A… | Active: 2026-09 — newest product published on own Shopify store (MAWYA MINT G… | Marketplace-familiar: Aza Fashions); Ogaan) | Independent/emerging tier — fame not a factor</t>
        </is>
      </c>
      <c r="Z44" s="2" t="inlineStr">
        <is>
          <t>Lead with a specific collection. Position as an additional channel under the label's own name. No sales promises.</t>
        </is>
      </c>
      <c r="AA44" s="2" t="inlineStr">
        <is>
          <t>Already has own D2C store and established multi-designer stockists</t>
        </is>
      </c>
      <c r="AB44" s="2" t="inlineStr">
        <is>
          <t>Own D2C store/stockists already; "who else is on it?"; commission vs stockist margin</t>
        </is>
      </c>
      <c r="AC44" s="2" t="inlineStr">
        <is>
          <t>E03-CTA-B Written terms + registration link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</row>
    <row r="45">
      <c r="A45" s="2" t="n">
        <v>44</v>
      </c>
      <c r="B45" s="2" t="inlineStr">
        <is>
          <t>Wave 1 — Founding cohort</t>
        </is>
      </c>
      <c r="C45" s="2" t="inlineStr">
        <is>
          <t>UPK2-FL-162</t>
        </is>
      </c>
      <c r="D45" s="2" t="inlineStr">
        <is>
          <t>Azga</t>
        </is>
      </c>
      <c r="E45" s="2" t="inlineStr">
        <is>
          <t>Fashion &amp; Lifestyle</t>
        </is>
      </c>
      <c r="F45" s="2" t="inlineStr">
        <is>
          <t>FL-CONTEMPORARY</t>
        </is>
      </c>
      <c r="G45" s="2" t="inlineStr">
        <is>
          <t>Brand &amp; Everyday Style</t>
        </is>
      </c>
      <c r="H45" s="2" t="inlineStr">
        <is>
          <t>Contemporary ready-to-wear / festive pret</t>
        </is>
      </c>
      <c r="I45" s="2" t="inlineStr">
        <is>
          <t>Jaipur</t>
        </is>
      </c>
      <c r="J45" s="2" t="inlineStr">
        <is>
          <t>B — Established Independent</t>
        </is>
      </c>
      <c r="K45" s="2" t="inlineStr">
        <is>
          <t>Label/brand (D2C store)</t>
        </is>
      </c>
      <c r="L45" s="2" t="inlineStr">
        <is>
          <t>P0</t>
        </is>
      </c>
      <c r="M45" s="2" t="inlineStr">
        <is>
          <t>P0</t>
        </is>
      </c>
      <c r="N45" s="2" t="n">
        <v>87</v>
      </c>
      <c r="O45" s="2" t="n">
        <v>100</v>
      </c>
      <c r="P45" s="2" t="n">
        <v>79.3</v>
      </c>
      <c r="Q45" s="2" t="n">
        <v>86</v>
      </c>
      <c r="R45" s="2" t="n">
        <v>50</v>
      </c>
      <c r="S45" s="2" t="inlineStr">
        <is>
          <t>C1-DIRECT-VERIFIED</t>
        </is>
      </c>
      <c r="T45" s="2" t="inlineStr">
        <is>
          <t>Personal 1:1 email from founder/team to published business email</t>
        </is>
      </c>
      <c r="U45" s="2" t="inlineStr">
        <is>
          <t>https://www.azga.in/pages/reach-us</t>
        </is>
      </c>
      <c r="V45" s="2" t="inlineStr">
        <is>
          <t>2026-09 — newest product published on own Shopify store (Aurelia Botanical Enamel Earrings - Turquoise &amp; Green) per products.json</t>
        </is>
      </c>
      <c r="W45" s="2" t="inlineStr">
        <is>
          <t>Own online store live with 250+ products listed; stocked by multi-designer retailer(s): Aza Fashions, Ogaan</t>
        </is>
      </c>
      <c r="X45" s="2" t="inlineStr">
        <is>
          <t>Aza Fashions (stocked designer (designer index)); Ogaan (stocked designer (designer index))</t>
        </is>
      </c>
      <c r="Y45" s="2" t="inlineStr">
        <is>
          <t>Readiness 87 (top 1% in category) | Commercial: Own online store live with 250+ products listed; stocked by multi-designer retailer(s): A… | Active: 2026-09 — newest product published on own Shopify store (Aurelia Bota… | Marketplace-familiar: Aza Fashions); Ogaan) | Independent/emerging tier — fame not a factor</t>
        </is>
      </c>
      <c r="Z45" s="2" t="inlineStr">
        <is>
          <t>Lead with the label's own range and identity. Position as an additional channel next to own store and stockists. No sales or reach promises.</t>
        </is>
      </c>
      <c r="AA45" s="2" t="inlineStr">
        <is>
          <t>Already has own D2C store and established multi-designer stockists</t>
        </is>
      </c>
      <c r="AB45" s="2" t="inlineStr">
        <is>
          <t>Own D2C store/stockists already; "who else is on it?"; commission vs stockist margin</t>
        </is>
      </c>
      <c r="AC45" s="2" t="inlineStr">
        <is>
          <t>E03-CTA-A Reply/15-min call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</row>
    <row r="46">
      <c r="A46" s="2" t="n">
        <v>45</v>
      </c>
      <c r="B46" s="2" t="inlineStr">
        <is>
          <t>Wave 1 — Founding cohort</t>
        </is>
      </c>
      <c r="C46" s="2" t="inlineStr">
        <is>
          <t>UPK2-FL-169</t>
        </is>
      </c>
      <c r="D46" s="2" t="inlineStr">
        <is>
          <t>Lajjoo C</t>
        </is>
      </c>
      <c r="E46" s="2" t="inlineStr">
        <is>
          <t>Fashion &amp; Lifestyle</t>
        </is>
      </c>
      <c r="F46" s="2" t="inlineStr">
        <is>
          <t>FL-OCCASION-BRIDAL</t>
        </is>
      </c>
      <c r="G46" s="2" t="inlineStr">
        <is>
          <t>Wedding &amp; Occasion</t>
        </is>
      </c>
      <c r="H46" s="2" t="inlineStr">
        <is>
          <t>Occasion &amp; bridal wear (lehengas, sarees, festive sets)</t>
        </is>
      </c>
      <c r="I46" s="2" t="inlineStr">
        <is>
          <t>Mumbai</t>
        </is>
      </c>
      <c r="J46" s="2" t="inlineStr">
        <is>
          <t>B — Established Independent</t>
        </is>
      </c>
      <c r="K46" s="2" t="inlineStr">
        <is>
          <t>Label/brand (D2C store)</t>
        </is>
      </c>
      <c r="L46" s="2" t="inlineStr">
        <is>
          <t>P0</t>
        </is>
      </c>
      <c r="M46" s="2" t="inlineStr">
        <is>
          <t>P0</t>
        </is>
      </c>
      <c r="N46" s="2" t="n">
        <v>86</v>
      </c>
      <c r="O46" s="2" t="n">
        <v>99</v>
      </c>
      <c r="P46" s="2" t="n">
        <v>78.8</v>
      </c>
      <c r="Q46" s="2" t="n">
        <v>86</v>
      </c>
      <c r="R46" s="2" t="n">
        <v>50</v>
      </c>
      <c r="S46" s="2" t="inlineStr">
        <is>
          <t>C1-DIRECT-VERIFIED</t>
        </is>
      </c>
      <c r="T46" s="2" t="inlineStr">
        <is>
          <t>Personal 1:1 email from founder/team to published business email</t>
        </is>
      </c>
      <c r="U46" s="2" t="inlineStr">
        <is>
          <t>https://lajjooc.com/</t>
        </is>
      </c>
      <c r="V46" s="2" t="inlineStr">
        <is>
          <t>2026-07 — newest product published on own Shopify store (Nargis Kurta and Pant) per products.json</t>
        </is>
      </c>
      <c r="W46" s="2" t="inlineStr">
        <is>
          <t>Own online store live with 250+ products listed; stocked by multi-designer retailer(s): Aza Fashions, Ogaan</t>
        </is>
      </c>
      <c r="X46" s="2" t="inlineStr">
        <is>
          <t>Aza Fashions (stocked designer (designer index)); Ogaan (stocked designer (designer index))</t>
        </is>
      </c>
      <c r="Y46" s="2" t="inlineStr">
        <is>
          <t>Readiness 86 (top 2% in category) | Commercial: Own online store live with 250+ products listed; stocked by multi-designer retailer(s): A… | Active: 2026-07 — newest product published on own Shopify store (Nargis Kurta… | Marketplace-familiar: Aza Fashions); Ogaan) | Independent/emerging tier — fame not a factor</t>
        </is>
      </c>
      <c r="Z46" s="2" t="inlineStr">
        <is>
          <t>Lead with the label's craft and name. Ask how made-to-order/bridal enquiries reach them today. Position Uepaki as an additional professional channel, not a replacement for stockists.</t>
        </is>
      </c>
      <c r="AA46" s="2" t="inlineStr">
        <is>
          <t>Already has own D2C store and established multi-designer stockists</t>
        </is>
      </c>
      <c r="AB46" s="2" t="inlineStr">
        <is>
          <t>Own D2C store/stockists already; "who else is on it?"; commission vs stockist margin</t>
        </is>
      </c>
      <c r="AC46" s="2" t="inlineStr">
        <is>
          <t>E03-CTA-B Written terms + registration link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</row>
    <row r="47">
      <c r="A47" s="2" t="n">
        <v>46</v>
      </c>
      <c r="B47" s="2" t="inlineStr">
        <is>
          <t>Wave 1 — Founding cohort</t>
        </is>
      </c>
      <c r="C47" s="2" t="inlineStr">
        <is>
          <t>UPK2-FL-175</t>
        </is>
      </c>
      <c r="D47" s="2" t="inlineStr">
        <is>
          <t>Madzin</t>
        </is>
      </c>
      <c r="E47" s="2" t="inlineStr">
        <is>
          <t>Fashion &amp; Lifestyle</t>
        </is>
      </c>
      <c r="F47" s="2" t="inlineStr">
        <is>
          <t>FL-OCCASION-BRIDAL</t>
        </is>
      </c>
      <c r="G47" s="2" t="inlineStr">
        <is>
          <t>Wedding &amp; Occasion</t>
        </is>
      </c>
      <c r="H47" s="2" t="inlineStr">
        <is>
          <t>Occasion &amp; bridal wear (lehengas, sarees, festive sets)</t>
        </is>
      </c>
      <c r="I47" s="2" t="inlineStr">
        <is>
          <t>Delhi NCR</t>
        </is>
      </c>
      <c r="J47" s="2" t="inlineStr">
        <is>
          <t>B — Established Independent</t>
        </is>
      </c>
      <c r="K47" s="2" t="inlineStr">
        <is>
          <t>Label/brand (D2C store)</t>
        </is>
      </c>
      <c r="L47" s="2" t="inlineStr">
        <is>
          <t>P0</t>
        </is>
      </c>
      <c r="M47" s="2" t="inlineStr">
        <is>
          <t>P0</t>
        </is>
      </c>
      <c r="N47" s="2" t="n">
        <v>86</v>
      </c>
      <c r="O47" s="2" t="n">
        <v>99</v>
      </c>
      <c r="P47" s="2" t="n">
        <v>78.5</v>
      </c>
      <c r="Q47" s="2" t="n">
        <v>85</v>
      </c>
      <c r="R47" s="2" t="n">
        <v>50</v>
      </c>
      <c r="S47" s="2" t="inlineStr">
        <is>
          <t>C1-DIRECT-VERIFIED</t>
        </is>
      </c>
      <c r="T47" s="2" t="inlineStr">
        <is>
          <t>Personal 1:1 email from founder/team to published business email</t>
        </is>
      </c>
      <c r="U47" s="2" t="inlineStr">
        <is>
          <t>https://www.madzinlabel.com/pages/contact</t>
        </is>
      </c>
      <c r="V47" s="2" t="inlineStr">
        <is>
          <t>2026-10 — newest product published on own Shopify store (Nightsky &amp; Rose Pink Hand Embroidered Silk Lehenga Set) per products.json</t>
        </is>
      </c>
      <c r="W47" s="2" t="inlineStr">
        <is>
          <t>Own online store live with 250+ products listed; stocked by multi-designer retailer(s): Aza Fashions, Ogaan</t>
        </is>
      </c>
      <c r="X47" s="2" t="inlineStr">
        <is>
          <t>Aza Fashions (stocked designer (designer index)); Ogaan (stocked designer (designer index))</t>
        </is>
      </c>
      <c r="Y47" s="2" t="inlineStr">
        <is>
          <t>Readiness 86 (top 2% in category) | Commercial: Own online store live with 250+ products listed; stocked by multi-designer retailer(s): A… | Active: 2026-10 — newest product published on own Shopify store (Nightsky &amp; R… | Marketplace-familiar: Aza Fashions); Ogaan) | Independent/emerging tier — fame not a factor</t>
        </is>
      </c>
      <c r="Z47" s="2" t="inlineStr">
        <is>
          <t>Lead with the label's craft and name. Ask how made-to-order/bridal enquiries reach them today. Position Uepaki as an additional professional channel, not a replacement for stockists.</t>
        </is>
      </c>
      <c r="AA47" s="2" t="inlineStr">
        <is>
          <t>Already has own D2C store and established multi-designer stockists</t>
        </is>
      </c>
      <c r="AB47" s="2" t="inlineStr">
        <is>
          <t>Own D2C store/stockists already; "who else is on it?"; commission vs stockist margin</t>
        </is>
      </c>
      <c r="AC47" s="2" t="inlineStr">
        <is>
          <t>E03-CTA-A Reply/15-min call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</row>
    <row r="48">
      <c r="A48" s="2" t="n">
        <v>47</v>
      </c>
      <c r="B48" s="2" t="inlineStr">
        <is>
          <t>Wave 1 — Founding cohort</t>
        </is>
      </c>
      <c r="C48" s="2" t="inlineStr">
        <is>
          <t>UPK2-FL-176</t>
        </is>
      </c>
      <c r="D48" s="2" t="inlineStr">
        <is>
          <t>Pita Nila</t>
        </is>
      </c>
      <c r="E48" s="2" t="inlineStr">
        <is>
          <t>Fashion &amp; Lifestyle</t>
        </is>
      </c>
      <c r="F48" s="2" t="inlineStr">
        <is>
          <t>FL-OCCASION-BRIDAL</t>
        </is>
      </c>
      <c r="G48" s="2" t="inlineStr">
        <is>
          <t>Wedding &amp; Occasion</t>
        </is>
      </c>
      <c r="H48" s="2" t="inlineStr">
        <is>
          <t>Occasion &amp; bridal wear (lehengas, sarees, festive sets)</t>
        </is>
      </c>
      <c r="I48" s="2" t="inlineStr">
        <is>
          <t>Delhi NCR</t>
        </is>
      </c>
      <c r="J48" s="2" t="inlineStr">
        <is>
          <t>B — Established Independent</t>
        </is>
      </c>
      <c r="K48" s="2" t="inlineStr">
        <is>
          <t>Label/brand (D2C store)</t>
        </is>
      </c>
      <c r="L48" s="2" t="inlineStr">
        <is>
          <t>P0</t>
        </is>
      </c>
      <c r="M48" s="2" t="inlineStr">
        <is>
          <t>P0</t>
        </is>
      </c>
      <c r="N48" s="2" t="n">
        <v>86</v>
      </c>
      <c r="O48" s="2" t="n">
        <v>99</v>
      </c>
      <c r="P48" s="2" t="n">
        <v>78.5</v>
      </c>
      <c r="Q48" s="2" t="n">
        <v>85</v>
      </c>
      <c r="R48" s="2" t="n">
        <v>50</v>
      </c>
      <c r="S48" s="2" t="inlineStr">
        <is>
          <t>C1-DIRECT-VERIFIED</t>
        </is>
      </c>
      <c r="T48" s="2" t="inlineStr">
        <is>
          <t>Personal 1:1 email from founder/team to published business email</t>
        </is>
      </c>
      <c r="U48" s="2" t="inlineStr">
        <is>
          <t>https://www.pitanila.com/pages/contact-us</t>
        </is>
      </c>
      <c r="V48" s="2" t="inlineStr">
        <is>
          <t>2026-09 — newest product published on own Shopify store (ZOHRA SAREE - PURPLE) per products.json</t>
        </is>
      </c>
      <c r="W48" s="2" t="inlineStr">
        <is>
          <t>Own online store live with 250+ products listed; stocked by multi-designer retailer(s): Aza Fashions, Ogaan</t>
        </is>
      </c>
      <c r="X48" s="2" t="inlineStr">
        <is>
          <t>Aza Fashions (stocked designer (designer index)); Ogaan (stocked designer (designer index))</t>
        </is>
      </c>
      <c r="Y48" s="2" t="inlineStr">
        <is>
          <t>Readiness 86 (top 2% in category) | Commercial: Own online store live with 250+ products listed; stocked by multi-designer retailer(s): A… | Active: 2026-09 — newest product published on own Shopify store (ZOHRA SAREE… | Marketplace-familiar: Aza Fashions); Ogaan) | Independent/emerging tier — fame not a factor</t>
        </is>
      </c>
      <c r="Z48" s="2" t="inlineStr">
        <is>
          <t>Lead with the label's craft and name. Ask how made-to-order/bridal enquiries reach them today. Position Uepaki as an additional professional channel, not a replacement for stockists.</t>
        </is>
      </c>
      <c r="AA48" s="2" t="inlineStr">
        <is>
          <t>Already has own D2C store and established multi-designer stockists</t>
        </is>
      </c>
      <c r="AB48" s="2" t="inlineStr">
        <is>
          <t>Own D2C store/stockists already; "who else is on it?"; commission vs stockist margin</t>
        </is>
      </c>
      <c r="AC48" s="2" t="inlineStr">
        <is>
          <t>E03-CTA-B Written terms + registration link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</row>
    <row r="49">
      <c r="A49" s="2" t="n">
        <v>48</v>
      </c>
      <c r="B49" s="2" t="inlineStr">
        <is>
          <t>Wave 1 — Founding cohort</t>
        </is>
      </c>
      <c r="C49" s="2" t="inlineStr">
        <is>
          <t>UPK2-FL-179</t>
        </is>
      </c>
      <c r="D49" s="2" t="inlineStr">
        <is>
          <t>Itrh</t>
        </is>
      </c>
      <c r="E49" s="2" t="inlineStr">
        <is>
          <t>Fashion &amp; Lifestyle</t>
        </is>
      </c>
      <c r="F49" s="2" t="inlineStr">
        <is>
          <t>FL-OCCASION-BRIDAL</t>
        </is>
      </c>
      <c r="G49" s="2" t="inlineStr">
        <is>
          <t>Wedding &amp; Occasion</t>
        </is>
      </c>
      <c r="H49" s="2" t="inlineStr">
        <is>
          <t>Occasion &amp; bridal wear (lehengas, sarees, festive sets)</t>
        </is>
      </c>
      <c r="I49" s="2" t="inlineStr">
        <is>
          <t>Delhi NCR</t>
        </is>
      </c>
      <c r="J49" s="2" t="inlineStr">
        <is>
          <t>B — Established Independent</t>
        </is>
      </c>
      <c r="K49" s="2" t="inlineStr">
        <is>
          <t>Label/brand (D2C store)</t>
        </is>
      </c>
      <c r="L49" s="2" t="inlineStr">
        <is>
          <t>P0</t>
        </is>
      </c>
      <c r="M49" s="2" t="inlineStr">
        <is>
          <t>P0</t>
        </is>
      </c>
      <c r="N49" s="2" t="n">
        <v>87</v>
      </c>
      <c r="O49" s="2" t="n">
        <v>100</v>
      </c>
      <c r="P49" s="2" t="n">
        <v>78.09999999999999</v>
      </c>
      <c r="Q49" s="2" t="n">
        <v>82</v>
      </c>
      <c r="R49" s="2" t="n">
        <v>50</v>
      </c>
      <c r="S49" s="2" t="inlineStr">
        <is>
          <t>C1-DIRECT-VERIFIED</t>
        </is>
      </c>
      <c r="T49" s="2" t="inlineStr">
        <is>
          <t>1:1 message via own-website contact form</t>
        </is>
      </c>
      <c r="U49" s="2" t="inlineStr">
        <is>
          <t>https://itrh.co/pages/contact</t>
        </is>
      </c>
      <c r="V49" s="2" t="inlineStr">
        <is>
          <t>2026-10 — newest product published on own Shopify store (Kalyani in Noir Saree) per products.json</t>
        </is>
      </c>
      <c r="W49" s="2" t="inlineStr">
        <is>
          <t>Own online store live with 250+ products listed; stocked by multi-designer retailer(s): Aza Fashions, Ogaan</t>
        </is>
      </c>
      <c r="X49" s="2" t="inlineStr">
        <is>
          <t>Aza Fashions (stocked designer (designer index)); Ogaan (stocked designer (designer index))</t>
        </is>
      </c>
      <c r="Y49" s="2" t="inlineStr">
        <is>
          <t>Readiness 87 (top 1% in category) | Commercial: Own online store live with 250+ products listed; stocked by multi-designer retailer(s): A… | Active: 2026-10 — newest product published on own Shopify store (Kalyani in N… | Marketplace-familiar: Aza Fashions); Ogaan) | Independent/emerging tier — fame not a factor</t>
        </is>
      </c>
      <c r="Z49" s="2" t="inlineStr">
        <is>
          <t>Lead with the label's craft and name. Ask how made-to-order/bridal enquiries reach them today. Position Uepaki as an additional professional channel, not a replacement for stockists.</t>
        </is>
      </c>
      <c r="AA49" s="2" t="inlineStr">
        <is>
          <t>Already has own D2C store and established multi-designer stockists</t>
        </is>
      </c>
      <c r="AB49" s="2" t="inlineStr">
        <is>
          <t>Own D2C store/stockists already; "who else is on it?"; commission vs stockist margin</t>
        </is>
      </c>
      <c r="AC49" s="2" t="inlineStr">
        <is>
          <t>E03-CTA-A Reply/15-min call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</row>
    <row r="50">
      <c r="A50" s="2" t="n">
        <v>49</v>
      </c>
      <c r="B50" s="2" t="inlineStr">
        <is>
          <t>Wave 1 — Founding cohort</t>
        </is>
      </c>
      <c r="C50" s="2" t="inlineStr">
        <is>
          <t>UPK2-FL-181</t>
        </is>
      </c>
      <c r="D50" s="2" t="inlineStr">
        <is>
          <t>Jajaabor</t>
        </is>
      </c>
      <c r="E50" s="2" t="inlineStr">
        <is>
          <t>Fashion &amp; Lifestyle</t>
        </is>
      </c>
      <c r="F50" s="2" t="inlineStr">
        <is>
          <t>FL-CONTEMPORARY</t>
        </is>
      </c>
      <c r="G50" s="2" t="inlineStr">
        <is>
          <t>Brand &amp; Everyday Style</t>
        </is>
      </c>
      <c r="H50" s="2" t="inlineStr">
        <is>
          <t>Contemporary ready-to-wear / festive pret</t>
        </is>
      </c>
      <c r="I50" s="2" t="inlineStr">
        <is>
          <t>Delhi NCR</t>
        </is>
      </c>
      <c r="J50" s="2" t="inlineStr">
        <is>
          <t>B — Established Independent</t>
        </is>
      </c>
      <c r="K50" s="2" t="inlineStr">
        <is>
          <t>Label/brand (D2C store)</t>
        </is>
      </c>
      <c r="L50" s="2" t="inlineStr">
        <is>
          <t>P0</t>
        </is>
      </c>
      <c r="M50" s="2" t="inlineStr">
        <is>
          <t>P0</t>
        </is>
      </c>
      <c r="N50" s="2" t="n">
        <v>85</v>
      </c>
      <c r="O50" s="2" t="n">
        <v>98</v>
      </c>
      <c r="P50" s="2" t="n">
        <v>78</v>
      </c>
      <c r="Q50" s="2" t="n">
        <v>85</v>
      </c>
      <c r="R50" s="2" t="n">
        <v>50</v>
      </c>
      <c r="S50" s="2" t="inlineStr">
        <is>
          <t>C1-DIRECT-VERIFIED</t>
        </is>
      </c>
      <c r="T50" s="2" t="inlineStr">
        <is>
          <t>Personal 1:1 email from founder/team to published business email</t>
        </is>
      </c>
      <c r="U50" s="2" t="inlineStr">
        <is>
          <t>https://jajaabor.com/pages/contact-us</t>
        </is>
      </c>
      <c r="V50" s="2" t="inlineStr">
        <is>
          <t>2026-07 — newest product published on own Shopify store (LONG EMB GOLD JACKET COMBINED WITH EMB GOLD SHORT TRENCH + E) per products.json</t>
        </is>
      </c>
      <c r="W50" s="2" t="inlineStr">
        <is>
          <t>Own online store live with 250+ products listed; stocked by multi-designer retailer(s): Aza Fashions, Ogaan</t>
        </is>
      </c>
      <c r="X50" s="2" t="inlineStr">
        <is>
          <t>Aza Fashions (stocked designer (designer index)); Ogaan (stocked designer (designer index))</t>
        </is>
      </c>
      <c r="Y50" s="2" t="inlineStr">
        <is>
          <t>Readiness 85 (top 3% in category) | Commercial: Own online store live with 250+ products listed; stocked by multi-designer retailer(s): A… | Active: 2026-07 — newest product published on own Shopify store (LONG EMB GOL… | Marketplace-familiar: Aza Fashions); Ogaan) | Independent/emerging tier — fame not a factor</t>
        </is>
      </c>
      <c r="Z50" s="2" t="inlineStr">
        <is>
          <t>Lead with the label's own range and identity. Position as an additional channel next to own store and stockists. No sales or reach promises.</t>
        </is>
      </c>
      <c r="AA50" s="2" t="inlineStr">
        <is>
          <t>Already has own D2C store and established multi-designer stockists</t>
        </is>
      </c>
      <c r="AB50" s="2" t="inlineStr">
        <is>
          <t>Own D2C store/stockists already; "who else is on it?"; commission vs stockist margin</t>
        </is>
      </c>
      <c r="AC50" s="2" t="inlineStr">
        <is>
          <t>E03-CTA-B Written terms + registration link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</row>
    <row r="51">
      <c r="A51" s="2" t="n">
        <v>50</v>
      </c>
      <c r="B51" s="2" t="inlineStr">
        <is>
          <t>Wave 1 — Founding cohort</t>
        </is>
      </c>
      <c r="C51" s="2" t="inlineStr">
        <is>
          <t>UPK2-FL-180</t>
        </is>
      </c>
      <c r="D51" s="2" t="inlineStr">
        <is>
          <t>Ituvana</t>
        </is>
      </c>
      <c r="E51" s="2" t="inlineStr">
        <is>
          <t>Fashion &amp; Lifestyle</t>
        </is>
      </c>
      <c r="F51" s="2" t="inlineStr">
        <is>
          <t>FL-JEWELLERY</t>
        </is>
      </c>
      <c r="G51" s="2" t="inlineStr">
        <is>
          <t>Wedding &amp; Occasion</t>
        </is>
      </c>
      <c r="H51" s="2" t="inlineStr">
        <is>
          <t>Designer jewellery</t>
        </is>
      </c>
      <c r="I51" s="2" t="inlineStr">
        <is>
          <t>Delhi NCR</t>
        </is>
      </c>
      <c r="J51" s="2" t="inlineStr">
        <is>
          <t>B — Established Independent</t>
        </is>
      </c>
      <c r="K51" s="2" t="inlineStr">
        <is>
          <t>Label/brand (D2C store)</t>
        </is>
      </c>
      <c r="L51" s="2" t="inlineStr">
        <is>
          <t>P0</t>
        </is>
      </c>
      <c r="M51" s="2" t="inlineStr">
        <is>
          <t>P0</t>
        </is>
      </c>
      <c r="N51" s="2" t="n">
        <v>85</v>
      </c>
      <c r="O51" s="2" t="n">
        <v>98</v>
      </c>
      <c r="P51" s="2" t="n">
        <v>78</v>
      </c>
      <c r="Q51" s="2" t="n">
        <v>85</v>
      </c>
      <c r="R51" s="2" t="n">
        <v>50</v>
      </c>
      <c r="S51" s="2" t="inlineStr">
        <is>
          <t>C1-DIRECT-VERIFIED</t>
        </is>
      </c>
      <c r="T51" s="2" t="inlineStr">
        <is>
          <t>Personal 1:1 email from founder/team to published business email</t>
        </is>
      </c>
      <c r="U51" s="2" t="inlineStr">
        <is>
          <t>https://www.ituvana.com/pages/contact-us</t>
        </is>
      </c>
      <c r="V51" s="2" t="inlineStr">
        <is>
          <t>2026-10 — newest product published on own Shopify store (Chaya Chappals) per products.json</t>
        </is>
      </c>
      <c r="W51" s="2" t="inlineStr">
        <is>
          <t>Own online store live with 194 products listed; stocked by multi-designer retailer(s): Aza Fashions, Ogaan</t>
        </is>
      </c>
      <c r="X51" s="2" t="inlineStr">
        <is>
          <t>Aza Fashions (stocked designer (designer index)); Ogaan (stocked designer (designer index))</t>
        </is>
      </c>
      <c r="Y51" s="2" t="inlineStr">
        <is>
          <t>Readiness 85 (top 3% in category) | Commercial: Own online store live with 194 products listed; stocked by multi-designer retailer(s): Az… | Active: 2026-10 — newest product published on own Shopify store (Chaya Chappa… | Marketplace-familiar: Aza Fashions); Ogaan) | Independent/emerging tier — fame not a factor</t>
        </is>
      </c>
      <c r="Z51" s="2" t="inlineStr">
        <is>
          <t>Lead with a specific collection. Position as an additional channel under the label's own name. No sales promises.</t>
        </is>
      </c>
      <c r="AA51" s="2" t="inlineStr">
        <is>
          <t>Already has own D2C store and established multi-designer stockists</t>
        </is>
      </c>
      <c r="AB51" s="2" t="inlineStr">
        <is>
          <t>Own D2C store/stockists already; "who else is on it?"; commission vs stockist margin</t>
        </is>
      </c>
      <c r="AC51" s="2" t="inlineStr">
        <is>
          <t>E03-CTA-A Reply/15-min call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</row>
    <row r="52">
      <c r="A52" s="2" t="n">
        <v>51</v>
      </c>
      <c r="B52" s="2" t="inlineStr">
        <is>
          <t>Wave 1 — Founding cohort</t>
        </is>
      </c>
      <c r="C52" s="2" t="inlineStr">
        <is>
          <t>UPK2-FL-183</t>
        </is>
      </c>
      <c r="D52" s="2" t="inlineStr">
        <is>
          <t>Kavita Bhartia</t>
        </is>
      </c>
      <c r="E52" s="2" t="inlineStr">
        <is>
          <t>Fashion &amp; Lifestyle</t>
        </is>
      </c>
      <c r="F52" s="2" t="inlineStr">
        <is>
          <t>FL-OCCASION-BRIDAL</t>
        </is>
      </c>
      <c r="G52" s="2" t="inlineStr">
        <is>
          <t>Wedding &amp; Occasion</t>
        </is>
      </c>
      <c r="H52" s="2" t="inlineStr">
        <is>
          <t>Occasion &amp; bridal wear (lehengas, sarees, festive sets)</t>
        </is>
      </c>
      <c r="I52" s="2" t="inlineStr">
        <is>
          <t>Delhi NCR</t>
        </is>
      </c>
      <c r="J52" s="2" t="inlineStr">
        <is>
          <t>B — Established Independent</t>
        </is>
      </c>
      <c r="K52" s="2" t="inlineStr">
        <is>
          <t>Label/brand (D2C store)</t>
        </is>
      </c>
      <c r="L52" s="2" t="inlineStr">
        <is>
          <t>P0</t>
        </is>
      </c>
      <c r="M52" s="2" t="inlineStr">
        <is>
          <t>P0</t>
        </is>
      </c>
      <c r="N52" s="2" t="n">
        <v>85</v>
      </c>
      <c r="O52" s="2" t="n">
        <v>98</v>
      </c>
      <c r="P52" s="2" t="n">
        <v>78</v>
      </c>
      <c r="Q52" s="2" t="n">
        <v>85</v>
      </c>
      <c r="R52" s="2" t="n">
        <v>50</v>
      </c>
      <c r="S52" s="2" t="inlineStr">
        <is>
          <t>C1-DIRECT-VERIFIED</t>
        </is>
      </c>
      <c r="T52" s="2" t="inlineStr">
        <is>
          <t>Personal 1:1 email from founder/team to published business email</t>
        </is>
      </c>
      <c r="U52" s="2" t="inlineStr">
        <is>
          <t>https://kavitabhartia.com/pages/contact</t>
        </is>
      </c>
      <c r="V52" s="2" t="inlineStr">
        <is>
          <t>2026-09 — newest product published on own Shopify store (Blue Printed and Embroidered Loose Fit Kurta with Salwar) per products.json</t>
        </is>
      </c>
      <c r="W52" s="2" t="inlineStr">
        <is>
          <t>Own online store live with 250+ products listed; stocked by multi-designer retailer(s): Aza Fashions, Ogaan</t>
        </is>
      </c>
      <c r="X52" s="2" t="inlineStr">
        <is>
          <t>Aza Fashions (stocked designer (designer index)); Ogaan (stocked designer (designer index))</t>
        </is>
      </c>
      <c r="Y52" s="2" t="inlineStr">
        <is>
          <t>Readiness 85 (top 3% in category) | Commercial: Own online store live with 250+ products listed; stocked by multi-designer retailer(s): A… | Active: 2026-09 — newest product published on own Shopify store (Blue Printed… | Marketplace-familiar: Aza Fashions); Ogaan) | Independent/emerging tier — fame not a factor</t>
        </is>
      </c>
      <c r="Z52" s="2" t="inlineStr">
        <is>
          <t>Lead with the label's craft and name. Ask how made-to-order/bridal enquiries reach them today. Position Uepaki as an additional professional channel, not a replacement for stockists.</t>
        </is>
      </c>
      <c r="AA52" s="2" t="inlineStr">
        <is>
          <t>Already has own D2C store and established multi-designer stockists</t>
        </is>
      </c>
      <c r="AB52" s="2" t="inlineStr">
        <is>
          <t>Own D2C store/stockists already; "who else is on it?"; commission vs stockist margin</t>
        </is>
      </c>
      <c r="AC52" s="2" t="inlineStr">
        <is>
          <t>E03-CTA-B Written terms + registration link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</row>
    <row r="53">
      <c r="A53" s="2" t="n">
        <v>52</v>
      </c>
      <c r="B53" s="2" t="inlineStr">
        <is>
          <t>Wave 1 — Founding cohort</t>
        </is>
      </c>
      <c r="C53" s="2" t="inlineStr">
        <is>
          <t>UPK2-FL-186</t>
        </is>
      </c>
      <c r="D53" s="2" t="inlineStr">
        <is>
          <t>Parul And Preyanka</t>
        </is>
      </c>
      <c r="E53" s="2" t="inlineStr">
        <is>
          <t>Fashion &amp; Lifestyle</t>
        </is>
      </c>
      <c r="F53" s="2" t="inlineStr">
        <is>
          <t>FL-OCCASION-BRIDAL</t>
        </is>
      </c>
      <c r="G53" s="2" t="inlineStr">
        <is>
          <t>Wedding &amp; Occasion</t>
        </is>
      </c>
      <c r="H53" s="2" t="inlineStr">
        <is>
          <t>Occasion &amp; bridal wear (lehengas, sarees, festive sets)</t>
        </is>
      </c>
      <c r="I53" s="2" t="inlineStr">
        <is>
          <t>Delhi NCR</t>
        </is>
      </c>
      <c r="J53" s="2" t="inlineStr">
        <is>
          <t>B — Established Independent</t>
        </is>
      </c>
      <c r="K53" s="2" t="inlineStr">
        <is>
          <t>Label/brand (D2C store)</t>
        </is>
      </c>
      <c r="L53" s="2" t="inlineStr">
        <is>
          <t>P0</t>
        </is>
      </c>
      <c r="M53" s="2" t="inlineStr">
        <is>
          <t>P0</t>
        </is>
      </c>
      <c r="N53" s="2" t="n">
        <v>85</v>
      </c>
      <c r="O53" s="2" t="n">
        <v>98</v>
      </c>
      <c r="P53" s="2" t="n">
        <v>78</v>
      </c>
      <c r="Q53" s="2" t="n">
        <v>85</v>
      </c>
      <c r="R53" s="2" t="n">
        <v>50</v>
      </c>
      <c r="S53" s="2" t="inlineStr">
        <is>
          <t>C1-DIRECT-VERIFIED</t>
        </is>
      </c>
      <c r="T53" s="2" t="inlineStr">
        <is>
          <t>Personal 1:1 email from founder/team to published business email</t>
        </is>
      </c>
      <c r="U53" s="2" t="inlineStr">
        <is>
          <t>https://parulandpreyanka.com/pages/contact</t>
        </is>
      </c>
      <c r="V53" s="2" t="inlineStr">
        <is>
          <t>2026-09 — newest product published on own Shopify store (OLIVE BOMBER JACKET) per products.json</t>
        </is>
      </c>
      <c r="W53" s="2" t="inlineStr">
        <is>
          <t>Own online store live with 250+ products listed; stocked by multi-designer retailer(s): Aza Fashions, Ogaan</t>
        </is>
      </c>
      <c r="X53" s="2" t="inlineStr">
        <is>
          <t>Aza Fashions (stocked designer (designer index)); Ogaan (stocked designer (designer index))</t>
        </is>
      </c>
      <c r="Y53" s="2" t="inlineStr">
        <is>
          <t>Readiness 85 (top 3% in category) | Commercial: Own online store live with 250+ products listed; stocked by multi-designer retailer(s): A… | Active: 2026-09 — newest product published on own Shopify store (OLIVE BOMBER… | Marketplace-familiar: Aza Fashions); Ogaan) | Independent/emerging tier — fame not a factor</t>
        </is>
      </c>
      <c r="Z53" s="2" t="inlineStr">
        <is>
          <t>Lead with the label's craft and name. Ask how made-to-order/bridal enquiries reach them today. Position Uepaki as an additional professional channel, not a replacement for stockists.</t>
        </is>
      </c>
      <c r="AA53" s="2" t="inlineStr">
        <is>
          <t>Already has own D2C store and established multi-designer stockists</t>
        </is>
      </c>
      <c r="AB53" s="2" t="inlineStr">
        <is>
          <t>Own D2C store/stockists already; "who else is on it?"; commission vs stockist margin</t>
        </is>
      </c>
      <c r="AC53" s="2" t="inlineStr">
        <is>
          <t>E03-CTA-A Reply/15-min call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</row>
    <row r="54">
      <c r="A54" s="2" t="n">
        <v>53</v>
      </c>
      <c r="B54" s="2" t="inlineStr">
        <is>
          <t>Wave 1 — Founding cohort</t>
        </is>
      </c>
      <c r="C54" s="2" t="inlineStr">
        <is>
          <t>UPK2-FL-188</t>
        </is>
      </c>
      <c r="D54" s="2" t="inlineStr">
        <is>
          <t>Varnika Arora</t>
        </is>
      </c>
      <c r="E54" s="2" t="inlineStr">
        <is>
          <t>Fashion &amp; Lifestyle</t>
        </is>
      </c>
      <c r="F54" s="2" t="inlineStr">
        <is>
          <t>FL-JEWELLERY</t>
        </is>
      </c>
      <c r="G54" s="2" t="inlineStr">
        <is>
          <t>Wedding &amp; Occasion</t>
        </is>
      </c>
      <c r="H54" s="2" t="inlineStr">
        <is>
          <t>Designer jewellery</t>
        </is>
      </c>
      <c r="I54" s="2" t="inlineStr">
        <is>
          <t>Mumbai</t>
        </is>
      </c>
      <c r="J54" s="2" t="inlineStr">
        <is>
          <t>B — Established Independent</t>
        </is>
      </c>
      <c r="K54" s="2" t="inlineStr">
        <is>
          <t>Label/brand (D2C store)</t>
        </is>
      </c>
      <c r="L54" s="2" t="inlineStr">
        <is>
          <t>P0</t>
        </is>
      </c>
      <c r="M54" s="2" t="inlineStr">
        <is>
          <t>P0</t>
        </is>
      </c>
      <c r="N54" s="2" t="n">
        <v>85</v>
      </c>
      <c r="O54" s="2" t="n">
        <v>98</v>
      </c>
      <c r="P54" s="2" t="n">
        <v>78</v>
      </c>
      <c r="Q54" s="2" t="n">
        <v>85</v>
      </c>
      <c r="R54" s="2" t="n">
        <v>50</v>
      </c>
      <c r="S54" s="2" t="inlineStr">
        <is>
          <t>C1-DIRECT-VERIFIED</t>
        </is>
      </c>
      <c r="T54" s="2" t="inlineStr">
        <is>
          <t>Personal 1:1 email from founder/team to published business email</t>
        </is>
      </c>
      <c r="U54" s="2" t="inlineStr">
        <is>
          <t>https://varnikaarora.com/pages/contact-us-new</t>
        </is>
      </c>
      <c r="V54" s="2" t="inlineStr">
        <is>
          <t>2026-10 — newest product published on own Shopify store (Titan Ring) per products.json</t>
        </is>
      </c>
      <c r="W54" s="2" t="inlineStr">
        <is>
          <t>Own online store live with 250+ products listed; stocked by multi-designer retailer(s): Aza Fashions, Ogaan</t>
        </is>
      </c>
      <c r="X54" s="2" t="inlineStr">
        <is>
          <t>Aza Fashions (stocked designer (designer index)); Ogaan (stocked designer (designer index))</t>
        </is>
      </c>
      <c r="Y54" s="2" t="inlineStr">
        <is>
          <t>Readiness 85 (top 3% in category) | Commercial: Own online store live with 250+ products listed; stocked by multi-designer retailer(s): A… | Active: 2026-10 — newest product published on own Shopify store (Titan Ring)… | Marketplace-familiar: Aza Fashions); Ogaan) | Independent/emerging tier — fame not a factor</t>
        </is>
      </c>
      <c r="Z54" s="2" t="inlineStr">
        <is>
          <t>Lead with a specific collection. Position as an additional channel under the label's own name. No sales promises.</t>
        </is>
      </c>
      <c r="AA54" s="2" t="inlineStr">
        <is>
          <t>Already has own D2C store and established multi-designer stockists</t>
        </is>
      </c>
      <c r="AB54" s="2" t="inlineStr">
        <is>
          <t>Own D2C store/stockists already; "who else is on it?"; commission vs stockist margin</t>
        </is>
      </c>
      <c r="AC54" s="2" t="inlineStr">
        <is>
          <t>E03-CTA-B Written terms + registration link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</row>
    <row r="55">
      <c r="A55" s="2" t="n">
        <v>54</v>
      </c>
      <c r="B55" s="2" t="inlineStr">
        <is>
          <t>Wave 1 — Founding cohort</t>
        </is>
      </c>
      <c r="C55" s="2" t="inlineStr">
        <is>
          <t>UPK2-FL-185</t>
        </is>
      </c>
      <c r="D55" s="2" t="inlineStr">
        <is>
          <t>One Not Two</t>
        </is>
      </c>
      <c r="E55" s="2" t="inlineStr">
        <is>
          <t>Fashion &amp; Lifestyle</t>
        </is>
      </c>
      <c r="F55" s="2" t="inlineStr">
        <is>
          <t>FL-CONTEMPORARY</t>
        </is>
      </c>
      <c r="G55" s="2" t="inlineStr">
        <is>
          <t>Brand &amp; Everyday Style</t>
        </is>
      </c>
      <c r="H55" s="2" t="inlineStr">
        <is>
          <t>Contemporary ready-to-wear / festive pret</t>
        </is>
      </c>
      <c r="I55" s="2" t="inlineStr">
        <is>
          <t>Delhi NCR</t>
        </is>
      </c>
      <c r="J55" s="2" t="inlineStr">
        <is>
          <t>B — Established Independent</t>
        </is>
      </c>
      <c r="K55" s="2" t="inlineStr">
        <is>
          <t>Label/brand (D2C store)</t>
        </is>
      </c>
      <c r="L55" s="2" t="inlineStr">
        <is>
          <t>P0</t>
        </is>
      </c>
      <c r="M55" s="2" t="inlineStr">
        <is>
          <t>P0</t>
        </is>
      </c>
      <c r="N55" s="2" t="n">
        <v>85</v>
      </c>
      <c r="O55" s="2" t="n">
        <v>98</v>
      </c>
      <c r="P55" s="2" t="n">
        <v>78</v>
      </c>
      <c r="Q55" s="2" t="n">
        <v>85</v>
      </c>
      <c r="R55" s="2" t="n">
        <v>50</v>
      </c>
      <c r="S55" s="2" t="inlineStr">
        <is>
          <t>C1-DIRECT-VERIFIED</t>
        </is>
      </c>
      <c r="T55" s="2" t="inlineStr">
        <is>
          <t>Personal 1:1 email from founder/team to published business email</t>
        </is>
      </c>
      <c r="U55" s="2" t="inlineStr">
        <is>
          <t>https://onenottwo.com/pages/contact</t>
        </is>
      </c>
      <c r="V55" s="2" t="inlineStr">
        <is>
          <t>2026-10 — newest product published on own Shopify store (Silver silk kalidar salwar set with intricate hand embroider) per products.json</t>
        </is>
      </c>
      <c r="W55" s="2" t="inlineStr">
        <is>
          <t>Own online store live with 250+ products listed; stocked by multi-designer retailer(s): Aza Fashions, Ogaan</t>
        </is>
      </c>
      <c r="X55" s="2" t="inlineStr">
        <is>
          <t>Aza Fashions (stocked designer (designer index)); Ogaan (stocked designer (designer index))</t>
        </is>
      </c>
      <c r="Y55" s="2" t="inlineStr">
        <is>
          <t>Readiness 85 (top 3% in category) | Commercial: Own online store live with 250+ products listed; stocked by multi-designer retailer(s): A… | Active: 2026-10 — newest product published on own Shopify store (Silver silk… | Marketplace-familiar: Aza Fashions); Ogaan) | Independent/emerging tier — fame not a factor</t>
        </is>
      </c>
      <c r="Z55" s="2" t="inlineStr">
        <is>
          <t>Lead with the label's own range and identity. Position as an additional channel next to own store and stockists. No sales or reach promises.</t>
        </is>
      </c>
      <c r="AA55" s="2" t="inlineStr">
        <is>
          <t>Already has own D2C store and established multi-designer stockists</t>
        </is>
      </c>
      <c r="AB55" s="2" t="inlineStr">
        <is>
          <t>Own D2C store/stockists already; "who else is on it?"; commission vs stockist margin</t>
        </is>
      </c>
      <c r="AC55" s="2" t="inlineStr">
        <is>
          <t>E03-CTA-A Reply/15-min call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</row>
    <row r="56">
      <c r="A56" s="2" t="n">
        <v>55</v>
      </c>
      <c r="B56" s="2" t="inlineStr">
        <is>
          <t>Wave 1 — Founding cohort</t>
        </is>
      </c>
      <c r="C56" s="2" t="inlineStr">
        <is>
          <t>UPK2-FL-193</t>
        </is>
      </c>
      <c r="D56" s="2" t="inlineStr">
        <is>
          <t>Kharakapas</t>
        </is>
      </c>
      <c r="E56" s="2" t="inlineStr">
        <is>
          <t>Fashion &amp; Lifestyle</t>
        </is>
      </c>
      <c r="F56" s="2" t="inlineStr">
        <is>
          <t>FL-CONTEMPORARY</t>
        </is>
      </c>
      <c r="G56" s="2" t="inlineStr">
        <is>
          <t>Brand &amp; Everyday Style</t>
        </is>
      </c>
      <c r="H56" s="2" t="inlineStr">
        <is>
          <t>Contemporary ready-to-wear / festive pret</t>
        </is>
      </c>
      <c r="I56" s="2" t="inlineStr">
        <is>
          <t>Delhi NCR</t>
        </is>
      </c>
      <c r="J56" s="2" t="inlineStr">
        <is>
          <t>B — Established Independent</t>
        </is>
      </c>
      <c r="K56" s="2" t="inlineStr">
        <is>
          <t>Label/brand (D2C store)</t>
        </is>
      </c>
      <c r="L56" s="2" t="inlineStr">
        <is>
          <t>P0</t>
        </is>
      </c>
      <c r="M56" s="2" t="inlineStr">
        <is>
          <t>P0</t>
        </is>
      </c>
      <c r="N56" s="2" t="n">
        <v>84</v>
      </c>
      <c r="O56" s="2" t="n">
        <v>96</v>
      </c>
      <c r="P56" s="2" t="n">
        <v>77.5</v>
      </c>
      <c r="Q56" s="2" t="n">
        <v>85</v>
      </c>
      <c r="R56" s="2" t="n">
        <v>50</v>
      </c>
      <c r="S56" s="2" t="inlineStr">
        <is>
          <t>C1-DIRECT-VERIFIED</t>
        </is>
      </c>
      <c r="T56" s="2" t="inlineStr">
        <is>
          <t>Personal 1:1 email from founder/team to published business email</t>
        </is>
      </c>
      <c r="U56" s="2" t="inlineStr">
        <is>
          <t>https://kharakapas.com/</t>
        </is>
      </c>
      <c r="V56" s="2" t="inlineStr">
        <is>
          <t>2026-09 — newest product published on own Shopify store (Seance Set) per products.json</t>
        </is>
      </c>
      <c r="W56" s="2" t="inlineStr">
        <is>
          <t>Own online store live with 250+ products listed; stocked by multi-designer retailer(s): Aza Fashions, Ogaan</t>
        </is>
      </c>
      <c r="X56" s="2" t="inlineStr">
        <is>
          <t>Aza Fashions (stocked designer (designer index)); Ogaan (stocked designer (designer index))</t>
        </is>
      </c>
      <c r="Y56" s="2" t="inlineStr">
        <is>
          <t>Readiness 84 (top 5% in category) | Commercial: Own online store live with 250+ products listed; stocked by multi-designer retailer(s): A… | Active: 2026-09 — newest product published on own Shopify store (Seance Set)… | Marketplace-familiar: Aza Fashions); Ogaan) | Independent/emerging tier — fame not a factor</t>
        </is>
      </c>
      <c r="Z56" s="2" t="inlineStr">
        <is>
          <t>Lead with the label's own range and identity. Position as an additional channel next to own store and stockists. No sales or reach promises.</t>
        </is>
      </c>
      <c r="AA56" s="2" t="inlineStr">
        <is>
          <t>Already has own D2C store and established multi-designer stockists</t>
        </is>
      </c>
      <c r="AB56" s="2" t="inlineStr">
        <is>
          <t>Own D2C store/stockists already; "who else is on it?"; commission vs stockist margin</t>
        </is>
      </c>
      <c r="AC56" s="2" t="inlineStr">
        <is>
          <t>E03-CTA-B Written terms + registration link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</row>
    <row r="57">
      <c r="A57" s="2" t="n">
        <v>56</v>
      </c>
      <c r="B57" s="2" t="inlineStr">
        <is>
          <t>Wave 1 — Founding cohort</t>
        </is>
      </c>
      <c r="C57" s="2" t="inlineStr">
        <is>
          <t>UPK2-FL-012</t>
        </is>
      </c>
      <c r="D57" s="2" t="inlineStr">
        <is>
          <t>Surily G</t>
        </is>
      </c>
      <c r="E57" s="2" t="inlineStr">
        <is>
          <t>Fashion &amp; Lifestyle</t>
        </is>
      </c>
      <c r="F57" s="2" t="inlineStr">
        <is>
          <t>FL-CONTEMPORARY</t>
        </is>
      </c>
      <c r="G57" s="2" t="inlineStr">
        <is>
          <t>Brand &amp; Everyday Style</t>
        </is>
      </c>
      <c r="H57" s="2" t="inlineStr">
        <is>
          <t>Designer wear &amp; styling</t>
        </is>
      </c>
      <c r="I57" s="2" t="inlineStr">
        <is>
          <t>Mumbai</t>
        </is>
      </c>
      <c r="J57" s="2" t="inlineStr">
        <is>
          <t>C — Strong Mid-tier</t>
        </is>
      </c>
      <c r="K57" s="2" t="inlineStr">
        <is>
          <t>Label/brand + stylist</t>
        </is>
      </c>
      <c r="L57" s="2" t="inlineStr">
        <is>
          <t>P0</t>
        </is>
      </c>
      <c r="M57" s="2" t="inlineStr">
        <is>
          <t>P1</t>
        </is>
      </c>
      <c r="N57" s="2" t="n">
        <v>81.2</v>
      </c>
      <c r="O57" s="2" t="n">
        <v>85</v>
      </c>
      <c r="P57" s="2" t="n">
        <v>76.8</v>
      </c>
      <c r="Q57" s="2" t="n">
        <v>84</v>
      </c>
      <c r="R57" s="2" t="n">
        <v>55</v>
      </c>
      <c r="S57" s="2" t="inlineStr">
        <is>
          <t>C1-DIRECT-VERIFIED</t>
        </is>
      </c>
      <c r="T57" s="2" t="inlineStr">
        <is>
          <t>Personal 1:1 email from founder/team to published business email</t>
        </is>
      </c>
      <c r="U57" s="2" t="inlineStr">
        <is>
          <t>https://surilyg.com/pages/contact</t>
        </is>
      </c>
      <c r="V57" s="2" t="inlineStr">
        <is>
          <t>2026-09 — newest product published on surilyg.com</t>
        </is>
      </c>
      <c r="W57" s="2" t="inlineStr"/>
      <c r="X57" s="2" t="inlineStr">
        <is>
          <t>FDCI (member listing (registered-)); Aza Fashions (designer storefront)</t>
        </is>
      </c>
      <c r="Y57" s="2" t="inlineStr">
        <is>
          <t>Readiness 81 (top 16% in category) | Commercial:  | Active: 2026-09 — newest product published on surilyg.com</t>
        </is>
      </c>
      <c r="Z57" s="2" t="inlineStr">
        <is>
          <t>Lead with the label's own range and identity. Position as an additional channel next to own store and stockists. No sales or reach promises.</t>
        </is>
      </c>
      <c r="AA57" s="2" t="inlineStr">
        <is>
          <t>Established own D2C site and multi-designer stockists</t>
        </is>
      </c>
      <c r="AB57" s="2" t="inlineStr">
        <is>
          <t>Own D2C store/stockists already; "who else is on it?"; commission vs stockist margin</t>
        </is>
      </c>
      <c r="AC57" s="2" t="inlineStr">
        <is>
          <t>E03-CTA-A Reply/15-min call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</row>
    <row r="58">
      <c r="A58" s="2" t="n">
        <v>57</v>
      </c>
      <c r="B58" s="2" t="inlineStr">
        <is>
          <t>Wave 1 — Founding cohort</t>
        </is>
      </c>
      <c r="C58" s="2" t="inlineStr">
        <is>
          <t>UPK2-FL-238</t>
        </is>
      </c>
      <c r="D58" s="2" t="inlineStr">
        <is>
          <t>Plumcheeks</t>
        </is>
      </c>
      <c r="E58" s="2" t="inlineStr">
        <is>
          <t>Fashion &amp; Lifestyle</t>
        </is>
      </c>
      <c r="F58" s="2" t="inlineStr">
        <is>
          <t>FL-ACCESSORIES</t>
        </is>
      </c>
      <c r="G58" s="2" t="inlineStr">
        <is>
          <t>Brand &amp; Everyday Style</t>
        </is>
      </c>
      <c r="H58" s="2" t="inlineStr">
        <is>
          <t>Designer footwear &amp; accessories</t>
        </is>
      </c>
      <c r="I58" s="2" t="inlineStr">
        <is>
          <t>Jaipur</t>
        </is>
      </c>
      <c r="J58" s="2" t="inlineStr">
        <is>
          <t>B — Established Independent</t>
        </is>
      </c>
      <c r="K58" s="2" t="inlineStr">
        <is>
          <t>Label/brand (D2C store)</t>
        </is>
      </c>
      <c r="L58" s="2" t="inlineStr">
        <is>
          <t>P0</t>
        </is>
      </c>
      <c r="M58" s="2" t="inlineStr">
        <is>
          <t>P0</t>
        </is>
      </c>
      <c r="N58" s="2" t="n">
        <v>81.59999999999999</v>
      </c>
      <c r="O58" s="2" t="n">
        <v>90</v>
      </c>
      <c r="P58" s="2" t="n">
        <v>73.09999999999999</v>
      </c>
      <c r="Q58" s="2" t="n">
        <v>81</v>
      </c>
      <c r="R58" s="2" t="n">
        <v>40</v>
      </c>
      <c r="S58" s="2" t="inlineStr">
        <is>
          <t>C1-DIRECT-VERIFIED</t>
        </is>
      </c>
      <c r="T58" s="2" t="inlineStr">
        <is>
          <t>Personal 1:1 email from founder/team to published business email</t>
        </is>
      </c>
      <c r="U58" s="2" t="inlineStr">
        <is>
          <t>https://plumcheeks.com/pages/contact</t>
        </is>
      </c>
      <c r="V58" s="2" t="inlineStr">
        <is>
          <t>2026-09 — newest product published on own Shopify store (Pink Urban Set) per products.json</t>
        </is>
      </c>
      <c r="W58" s="2" t="inlineStr">
        <is>
          <t>Own online store live with 250+ products listed; stocked by multi-designer retailer(s): Aza Fashions</t>
        </is>
      </c>
      <c r="X58" s="2" t="inlineStr">
        <is>
          <t>Aza Fashions (stocked designer (designer index))</t>
        </is>
      </c>
      <c r="Y58" s="2" t="inlineStr">
        <is>
          <t>Readiness 82 (top 11% in category) | Commercial: Own online store live with 250+ products listed; stocked by multi-designer retailer(s): A… | Active: 2026-09 — newest product published on own Shopify store (Pink Urban S… | Independent/emerging tier — fame not a factor</t>
        </is>
      </c>
      <c r="Z58" s="2" t="inlineStr">
        <is>
          <t>Lead with a specific product line. Position as an additional channel under the label's own name.</t>
        </is>
      </c>
      <c r="AA58" s="2" t="inlineStr">
        <is>
          <t>Already has own D2C store and established multi-designer stockists</t>
        </is>
      </c>
      <c r="AB58" s="2" t="inlineStr">
        <is>
          <t>Own D2C store/stockists already; "who else is on it?"; commission vs stockist margin</t>
        </is>
      </c>
      <c r="AC58" s="2" t="inlineStr">
        <is>
          <t>E03-CTA-B Written terms + registration link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</row>
    <row r="59">
      <c r="A59" s="2" t="n">
        <v>58</v>
      </c>
      <c r="B59" s="2" t="inlineStr">
        <is>
          <t>Wave 1 — Founding cohort</t>
        </is>
      </c>
      <c r="C59" s="2" t="inlineStr">
        <is>
          <t>UPK2-FL-220</t>
        </is>
      </c>
      <c r="D59" s="2" t="inlineStr">
        <is>
          <t>Kaaj Button</t>
        </is>
      </c>
      <c r="E59" s="2" t="inlineStr">
        <is>
          <t>Fashion &amp; Lifestyle</t>
        </is>
      </c>
      <c r="F59" s="2" t="inlineStr">
        <is>
          <t>FL-MENSWEAR</t>
        </is>
      </c>
      <c r="G59" s="2" t="inlineStr">
        <is>
          <t>Wedding &amp; Occasion</t>
        </is>
      </c>
      <c r="H59" s="2" t="inlineStr">
        <is>
          <t>Menswear / groomswear</t>
        </is>
      </c>
      <c r="I59" s="2" t="inlineStr">
        <is>
          <t>Mumbai</t>
        </is>
      </c>
      <c r="J59" s="2" t="inlineStr">
        <is>
          <t>B — Established Independent</t>
        </is>
      </c>
      <c r="K59" s="2" t="inlineStr">
        <is>
          <t>Label/brand (D2C store)</t>
        </is>
      </c>
      <c r="L59" s="2" t="inlineStr">
        <is>
          <t>P0</t>
        </is>
      </c>
      <c r="M59" s="2" t="inlineStr">
        <is>
          <t>P0</t>
        </is>
      </c>
      <c r="N59" s="2" t="n">
        <v>81.59999999999999</v>
      </c>
      <c r="O59" s="2" t="n">
        <v>90</v>
      </c>
      <c r="P59" s="2" t="n">
        <v>73.09999999999999</v>
      </c>
      <c r="Q59" s="2" t="n">
        <v>81</v>
      </c>
      <c r="R59" s="2" t="n">
        <v>40</v>
      </c>
      <c r="S59" s="2" t="inlineStr">
        <is>
          <t>C1-DIRECT-VERIFIED</t>
        </is>
      </c>
      <c r="T59" s="2" t="inlineStr">
        <is>
          <t>Personal 1:1 email from founder/team to published business email</t>
        </is>
      </c>
      <c r="U59" s="2" t="inlineStr">
        <is>
          <t>https://kaajbuttonstudio.com/pages/contact</t>
        </is>
      </c>
      <c r="V59" s="2" t="inlineStr">
        <is>
          <t>2026-09 — newest product published on own Shopify store (Warli Kurta Set) per products.json</t>
        </is>
      </c>
      <c r="W59" s="2" t="inlineStr">
        <is>
          <t>Own online store live with 190 products listed; stocked by multi-designer retailer(s): Aza Fashions</t>
        </is>
      </c>
      <c r="X59" s="2" t="inlineStr">
        <is>
          <t>Aza Fashions (stocked designer (designer index))</t>
        </is>
      </c>
      <c r="Y59" s="2" t="inlineStr">
        <is>
          <t>Readiness 82 (top 11% in category) | Commercial: Own online store live with 190 products listed; stocked by multi-designer retailer(s): Az… | Active: 2026-09 — newest product published on own Shopify store (Warli Kurta… | Independent/emerging tier — fame not a factor</t>
        </is>
      </c>
      <c r="Z59" s="2" t="inlineStr">
        <is>
          <t>Lead with groomswear/menswear craft; link to the Wedding &amp; Occasion founding pod in their city.</t>
        </is>
      </c>
      <c r="AA59" s="2" t="inlineStr">
        <is>
          <t>Already has own D2C store and established multi-designer stockists</t>
        </is>
      </c>
      <c r="AB59" s="2" t="inlineStr">
        <is>
          <t>Own D2C store/stockists already; "who else is on it?"; commission vs stockist margin</t>
        </is>
      </c>
      <c r="AC59" s="2" t="inlineStr">
        <is>
          <t>E03-CTA-A Reply/15-min call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</row>
    <row r="60">
      <c r="A60" s="2" t="n">
        <v>59</v>
      </c>
      <c r="B60" s="2" t="inlineStr">
        <is>
          <t>Wave 1 — Founding cohort</t>
        </is>
      </c>
      <c r="C60" s="2" t="inlineStr">
        <is>
          <t>UPK2-FL-201</t>
        </is>
      </c>
      <c r="D60" s="2" t="inlineStr">
        <is>
          <t>Amit Behki</t>
        </is>
      </c>
      <c r="E60" s="2" t="inlineStr">
        <is>
          <t>Fashion &amp; Lifestyle</t>
        </is>
      </c>
      <c r="F60" s="2" t="inlineStr">
        <is>
          <t>FL-MENSWEAR</t>
        </is>
      </c>
      <c r="G60" s="2" t="inlineStr">
        <is>
          <t>Wedding &amp; Occasion</t>
        </is>
      </c>
      <c r="H60" s="2" t="inlineStr">
        <is>
          <t>Menswear / groomswear</t>
        </is>
      </c>
      <c r="I60" s="2" t="inlineStr">
        <is>
          <t>Delhi NCR</t>
        </is>
      </c>
      <c r="J60" s="2" t="inlineStr">
        <is>
          <t>B — Established Independent</t>
        </is>
      </c>
      <c r="K60" s="2" t="inlineStr">
        <is>
          <t>Label/brand (D2C store)</t>
        </is>
      </c>
      <c r="L60" s="2" t="inlineStr">
        <is>
          <t>P0</t>
        </is>
      </c>
      <c r="M60" s="2" t="inlineStr">
        <is>
          <t>P0</t>
        </is>
      </c>
      <c r="N60" s="2" t="n">
        <v>81.59999999999999</v>
      </c>
      <c r="O60" s="2" t="n">
        <v>90</v>
      </c>
      <c r="P60" s="2" t="n">
        <v>73.09999999999999</v>
      </c>
      <c r="Q60" s="2" t="n">
        <v>81</v>
      </c>
      <c r="R60" s="2" t="n">
        <v>40</v>
      </c>
      <c r="S60" s="2" t="inlineStr">
        <is>
          <t>C1-DIRECT-VERIFIED</t>
        </is>
      </c>
      <c r="T60" s="2" t="inlineStr">
        <is>
          <t>Personal 1:1 email from founder/team to published business email</t>
        </is>
      </c>
      <c r="U60" s="2" t="inlineStr">
        <is>
          <t>https://amitbehki.com/pages/contact</t>
        </is>
      </c>
      <c r="V60" s="2" t="inlineStr">
        <is>
          <t>2026-09 — newest product published on own Shopify store (Cocktail fusion blazer set) per products.json</t>
        </is>
      </c>
      <c r="W60" s="2" t="inlineStr">
        <is>
          <t>Own online store live with 138 products listed; stocked by multi-designer retailer(s): Aza Fashions</t>
        </is>
      </c>
      <c r="X60" s="2" t="inlineStr">
        <is>
          <t>Aza Fashions (stocked designer (designer index))</t>
        </is>
      </c>
      <c r="Y60" s="2" t="inlineStr">
        <is>
          <t>Readiness 82 (top 11% in category) | Commercial: Own online store live with 138 products listed; stocked by multi-designer retailer(s): Az… | Active: 2026-09 — newest product published on own Shopify store (Cocktail fus… | Independent/emerging tier — fame not a factor</t>
        </is>
      </c>
      <c r="Z60" s="2" t="inlineStr">
        <is>
          <t>Lead with groomswear/menswear craft; link to the Wedding &amp; Occasion founding pod in their city.</t>
        </is>
      </c>
      <c r="AA60" s="2" t="inlineStr">
        <is>
          <t>Already has own D2C store and established multi-designer stockists</t>
        </is>
      </c>
      <c r="AB60" s="2" t="inlineStr">
        <is>
          <t>Own D2C store/stockists already; "who else is on it?"; commission vs stockist margin</t>
        </is>
      </c>
      <c r="AC60" s="2" t="inlineStr">
        <is>
          <t>E03-CTA-B Written terms + registration link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</row>
    <row r="61">
      <c r="A61" s="2" t="n">
        <v>60</v>
      </c>
      <c r="B61" s="2" t="inlineStr">
        <is>
          <t>Wave 1 — Founding cohort</t>
        </is>
      </c>
      <c r="C61" s="2" t="inlineStr">
        <is>
          <t>UPK2-SD-316</t>
        </is>
      </c>
      <c r="D61" s="2" t="inlineStr">
        <is>
          <t>Hatsu</t>
        </is>
      </c>
      <c r="E61" s="2" t="inlineStr">
        <is>
          <t>Space &amp; Design</t>
        </is>
      </c>
      <c r="F61" s="2" t="inlineStr">
        <is>
          <t>SD-PRODUCT-MAKER</t>
        </is>
      </c>
      <c r="G61" s="2" t="inlineStr">
        <is>
          <t>Home &amp; Space</t>
        </is>
      </c>
      <c r="H61" s="2" t="inlineStr">
        <is>
          <t>Sculptural lighting, furniture &amp; rugs</t>
        </is>
      </c>
      <c r="I61" s="2" t="inlineStr">
        <is>
          <t>Mumbai</t>
        </is>
      </c>
      <c r="J61" s="2" t="inlineStr">
        <is>
          <t>C — Strong Mid-tier</t>
        </is>
      </c>
      <c r="K61" s="2" t="inlineStr">
        <is>
          <t>Design brand</t>
        </is>
      </c>
      <c r="L61" s="2" t="inlineStr">
        <is>
          <t>P0</t>
        </is>
      </c>
      <c r="M61" s="2" t="inlineStr">
        <is>
          <t>P1</t>
        </is>
      </c>
      <c r="N61" s="2" t="n">
        <v>71.5</v>
      </c>
      <c r="O61" s="2" t="n">
        <v>78</v>
      </c>
      <c r="P61" s="2" t="n">
        <v>70.59999999999999</v>
      </c>
      <c r="Q61" s="2" t="n">
        <v>76</v>
      </c>
      <c r="R61" s="2" t="n">
        <v>60</v>
      </c>
      <c r="S61" s="2" t="inlineStr">
        <is>
          <t>C1-DIRECT-VERIFIED</t>
        </is>
      </c>
      <c r="T61" s="2" t="inlineStr">
        <is>
          <t>Personal 1:1 email from founder/team to published business email</t>
        </is>
      </c>
      <c r="U61" s="2" t="inlineStr">
        <is>
          <t>https://www.hatsu.in/</t>
        </is>
      </c>
      <c r="V61" s="2" t="inlineStr">
        <is>
          <t>2026-10 — listed as exhibitor at India Design ID Mumbai 2026 (indiadesignid.com)</t>
        </is>
      </c>
      <c r="W61" s="2" t="inlineStr">
        <is>
          <t>Exhibitor at India Design ID (2022, 2024, 2025, 2026)</t>
        </is>
      </c>
      <c r="X61" s="2" t="inlineStr">
        <is>
          <t>India Design ID (exhibitor)</t>
        </is>
      </c>
      <c r="Y61" s="2" t="inlineStr">
        <is>
          <t>Readiness 72 (top 23% in category) | Commercial: Exhibitor at India Design ID (2022, 2024, 2025, 2026) | Active: 2026-10 — listed as exhibitor at India Design ID Mumbai 2026 (indiade…</t>
        </is>
      </c>
      <c r="Z61" s="2" t="inlineStr">
        <is>
          <t>Lead with a specific piece. Products and commissions under the maker's own name; link to studios in the Home &amp; Space pod.</t>
        </is>
      </c>
      <c r="AA61" s="2" t="inlineStr">
        <is>
          <t>Already sells via own site/showroom and trade fairs.</t>
        </is>
      </c>
      <c r="AB61" s="2" t="inlineStr">
        <is>
          <t>Work comes via referrals; project-based work fit; profile upkeep effort</t>
        </is>
      </c>
      <c r="AC61" s="2" t="inlineStr">
        <is>
          <t>E03-CTA-B Written terms + registration link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</row>
    <row r="62">
      <c r="A62" s="2" t="n">
        <v>61</v>
      </c>
      <c r="B62" s="2" t="inlineStr">
        <is>
          <t>Wave 1 — Founding cohort</t>
        </is>
      </c>
      <c r="C62" s="2" t="inlineStr">
        <is>
          <t>UPK2-SD-315</t>
        </is>
      </c>
      <c r="D62" s="2" t="inlineStr">
        <is>
          <t>Orvi</t>
        </is>
      </c>
      <c r="E62" s="2" t="inlineStr">
        <is>
          <t>Space &amp; Design</t>
        </is>
      </c>
      <c r="F62" s="2" t="inlineStr">
        <is>
          <t>SD-PRODUCT-MAKER</t>
        </is>
      </c>
      <c r="G62" s="2" t="inlineStr">
        <is>
          <t>Home &amp; Space</t>
        </is>
      </c>
      <c r="H62" s="2" t="inlineStr">
        <is>
          <t>Handcrafted surfaces, tiles &amp; home pieces</t>
        </is>
      </c>
      <c r="I62" s="2" t="inlineStr">
        <is>
          <t>Jaipur</t>
        </is>
      </c>
      <c r="J62" s="2" t="inlineStr">
        <is>
          <t>C — Strong Mid-tier</t>
        </is>
      </c>
      <c r="K62" s="2" t="inlineStr">
        <is>
          <t>Surfaces &amp; craft brand</t>
        </is>
      </c>
      <c r="L62" s="2" t="inlineStr">
        <is>
          <t>P0</t>
        </is>
      </c>
      <c r="M62" s="2" t="inlineStr">
        <is>
          <t>P1</t>
        </is>
      </c>
      <c r="N62" s="2" t="n">
        <v>71.5</v>
      </c>
      <c r="O62" s="2" t="n">
        <v>78</v>
      </c>
      <c r="P62" s="2" t="n">
        <v>70.59999999999999</v>
      </c>
      <c r="Q62" s="2" t="n">
        <v>76</v>
      </c>
      <c r="R62" s="2" t="n">
        <v>60</v>
      </c>
      <c r="S62" s="2" t="inlineStr">
        <is>
          <t>C1-DIRECT-VERIFIED</t>
        </is>
      </c>
      <c r="T62" s="2" t="inlineStr">
        <is>
          <t>Personal 1:1 email from founder/team to published business email</t>
        </is>
      </c>
      <c r="U62" s="2" t="inlineStr">
        <is>
          <t>https://orvi.com/</t>
        </is>
      </c>
      <c r="V62" s="2" t="inlineStr">
        <is>
          <t>2026-10 — listed as exhibitor at India Design ID Mumbai 2026 (indiadesignid.com)</t>
        </is>
      </c>
      <c r="W62" s="2" t="inlineStr">
        <is>
          <t>Exhibitor at India Design ID (2023, 2024, 2025, 2026)</t>
        </is>
      </c>
      <c r="X62" s="2" t="inlineStr">
        <is>
          <t>India Design ID (exhibitor)</t>
        </is>
      </c>
      <c r="Y62" s="2" t="inlineStr">
        <is>
          <t>Readiness 72 (top 23% in category) | Commercial: Exhibitor at India Design ID (2023, 2024, 2025, 2026) | Active: 2026-10 — listed as exhibitor at India Design ID Mumbai 2026 (indiade…</t>
        </is>
      </c>
      <c r="Z62" s="2" t="inlineStr">
        <is>
          <t>Lead with a specific piece. Products and commissions under the maker's own name; link to studios in the Home &amp; Space pod.</t>
        </is>
      </c>
      <c r="AA62" s="2" t="inlineStr">
        <is>
          <t>Already sells via own site/showroom and trade fairs.</t>
        </is>
      </c>
      <c r="AB62" s="2" t="inlineStr">
        <is>
          <t>Work comes via referrals; project-based work fit; profile upkeep effort</t>
        </is>
      </c>
      <c r="AC62" s="2" t="inlineStr">
        <is>
          <t>E03-CTA-A Reply/15-min call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</row>
    <row r="63">
      <c r="A63" s="2" t="n">
        <v>62</v>
      </c>
      <c r="B63" s="2" t="inlineStr">
        <is>
          <t>Wave 1 — Founding cohort</t>
        </is>
      </c>
      <c r="C63" s="2" t="inlineStr">
        <is>
          <t>UPK2-SD-279</t>
        </is>
      </c>
      <c r="D63" s="2" t="inlineStr">
        <is>
          <t>Pasana</t>
        </is>
      </c>
      <c r="E63" s="2" t="inlineStr">
        <is>
          <t>Space &amp; Design</t>
        </is>
      </c>
      <c r="F63" s="2" t="inlineStr">
        <is>
          <t>SD-PRODUCT-MAKER</t>
        </is>
      </c>
      <c r="G63" s="2" t="inlineStr">
        <is>
          <t>Home &amp; Space</t>
        </is>
      </c>
      <c r="H63" s="2" t="inlineStr">
        <is>
          <t>Sculptural stone furniture</t>
        </is>
      </c>
      <c r="I63" s="2" t="inlineStr">
        <is>
          <t>Jaipur</t>
        </is>
      </c>
      <c r="J63" s="2" t="inlineStr">
        <is>
          <t>B — Established Independent</t>
        </is>
      </c>
      <c r="K63" s="2" t="inlineStr">
        <is>
          <t>Furniture brand (extension of Stone Land)</t>
        </is>
      </c>
      <c r="L63" s="2" t="inlineStr">
        <is>
          <t>P0</t>
        </is>
      </c>
      <c r="M63" s="2" t="inlineStr">
        <is>
          <t>P1</t>
        </is>
      </c>
      <c r="N63" s="2" t="n">
        <v>75.2</v>
      </c>
      <c r="O63" s="2" t="n">
        <v>97</v>
      </c>
      <c r="P63" s="2" t="n">
        <v>70.3</v>
      </c>
      <c r="Q63" s="2" t="n">
        <v>79</v>
      </c>
      <c r="R63" s="2" t="n">
        <v>45</v>
      </c>
      <c r="S63" s="2" t="inlineStr">
        <is>
          <t>C1-DIRECT-VERIFIED</t>
        </is>
      </c>
      <c r="T63" s="2" t="inlineStr">
        <is>
          <t>Personal 1:1 email from founder/team to published business email</t>
        </is>
      </c>
      <c r="U63" s="2" t="inlineStr">
        <is>
          <t>https://pasana.co.in/contact-us/</t>
        </is>
      </c>
      <c r="V63" s="2" t="inlineStr">
        <is>
          <t>2026-10 — listed as exhibitor at India Design ID Mumbai 2026 (indiadesignid.com)</t>
        </is>
      </c>
      <c r="W63" s="2" t="inlineStr">
        <is>
          <t>Exhibitor at India Design ID (2025, 2026)</t>
        </is>
      </c>
      <c r="X63" s="2" t="inlineStr">
        <is>
          <t>India Design ID (exhibitor)</t>
        </is>
      </c>
      <c r="Y63" s="2" t="inlineStr">
        <is>
          <t>Readiness 75 (top 4% in category) | Commercial: Exhibitor at India Design ID (2025, 2026) | Active: 2026-10 — listed as exhibitor at India Design ID Mumbai 2026 (indiade… | Independent/emerging tier — fame not a factor</t>
        </is>
      </c>
      <c r="Z63" s="2" t="inlineStr">
        <is>
          <t>Lead with a specific piece. Products and commissions under the maker's own name; link to studios in the Home &amp; Space pod.</t>
        </is>
      </c>
      <c r="AA63" s="2" t="inlineStr">
        <is>
          <t>Already sells via own site/showroom and trade fairs.</t>
        </is>
      </c>
      <c r="AB63" s="2" t="inlineStr">
        <is>
          <t>Work comes via referrals; project-based work fit; profile upkeep effort</t>
        </is>
      </c>
      <c r="AC63" s="2" t="inlineStr">
        <is>
          <t>E03-CTA-B Written terms + registration link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</row>
    <row r="64">
      <c r="A64" s="2" t="n">
        <v>63</v>
      </c>
      <c r="B64" s="2" t="inlineStr">
        <is>
          <t>Wave 1 — Founding cohort</t>
        </is>
      </c>
      <c r="C64" s="2" t="inlineStr">
        <is>
          <t>UPK2-SD-278</t>
        </is>
      </c>
      <c r="D64" s="2" t="inlineStr">
        <is>
          <t>Vakr Studio</t>
        </is>
      </c>
      <c r="E64" s="2" t="inlineStr">
        <is>
          <t>Space &amp; Design</t>
        </is>
      </c>
      <c r="F64" s="2" t="inlineStr">
        <is>
          <t>SD-PRODUCT-MAKER</t>
        </is>
      </c>
      <c r="G64" s="2" t="inlineStr">
        <is>
          <t>Home &amp; Space</t>
        </is>
      </c>
      <c r="H64" s="2" t="inlineStr">
        <is>
          <t>Bespoke furniture design studio (concrete/CAD + craft)</t>
        </is>
      </c>
      <c r="I64" s="2" t="inlineStr">
        <is>
          <t>Delhi NCR</t>
        </is>
      </c>
      <c r="J64" s="2" t="inlineStr">
        <is>
          <t>B — Established Independent</t>
        </is>
      </c>
      <c r="K64" s="2" t="inlineStr">
        <is>
          <t>Furniture design studio</t>
        </is>
      </c>
      <c r="L64" s="2" t="inlineStr">
        <is>
          <t>P0</t>
        </is>
      </c>
      <c r="M64" s="2" t="inlineStr">
        <is>
          <t>P1</t>
        </is>
      </c>
      <c r="N64" s="2" t="n">
        <v>75.2</v>
      </c>
      <c r="O64" s="2" t="n">
        <v>97</v>
      </c>
      <c r="P64" s="2" t="n">
        <v>70.3</v>
      </c>
      <c r="Q64" s="2" t="n">
        <v>79</v>
      </c>
      <c r="R64" s="2" t="n">
        <v>45</v>
      </c>
      <c r="S64" s="2" t="inlineStr">
        <is>
          <t>C1-DIRECT-VERIFIED</t>
        </is>
      </c>
      <c r="T64" s="2" t="inlineStr">
        <is>
          <t>Personal 1:1 email from founder/team to published business email</t>
        </is>
      </c>
      <c r="U64" s="2" t="inlineStr">
        <is>
          <t>https://www.vakrstudio.com/</t>
        </is>
      </c>
      <c r="V64" s="2" t="inlineStr">
        <is>
          <t>2026-10 — listed as exhibitor at India Design ID Mumbai 2026 (indiadesignid.com)</t>
        </is>
      </c>
      <c r="W64" s="2" t="inlineStr">
        <is>
          <t>Exhibitor at India Design ID (2022, 2024, 2025, 2026)</t>
        </is>
      </c>
      <c r="X64" s="2" t="inlineStr">
        <is>
          <t>India Design ID (exhibitor)</t>
        </is>
      </c>
      <c r="Y64" s="2" t="inlineStr">
        <is>
          <t>Readiness 75 (top 4% in category) | Commercial: Exhibitor at India Design ID (2022, 2024, 2025, 2026) | Active: 2026-10 — listed as exhibitor at India Design ID Mumbai 2026 (indiade… | Independent/emerging tier — fame not a factor</t>
        </is>
      </c>
      <c r="Z64" s="2" t="inlineStr">
        <is>
          <t>Lead with a specific piece. Products and commissions under the maker's own name; link to studios in the Home &amp; Space pod.</t>
        </is>
      </c>
      <c r="AA64" s="2" t="inlineStr">
        <is>
          <t>Already sells via own site/showroom and trade fairs.</t>
        </is>
      </c>
      <c r="AB64" s="2" t="inlineStr">
        <is>
          <t>Work comes via referrals; project-based work fit; profile upkeep effort</t>
        </is>
      </c>
      <c r="AC64" s="2" t="inlineStr">
        <is>
          <t>E03-CTA-A Reply/15-min call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</row>
    <row r="65">
      <c r="A65" s="2" t="n">
        <v>64</v>
      </c>
      <c r="B65" s="2" t="inlineStr">
        <is>
          <t>Wave 1 — Founding cohort</t>
        </is>
      </c>
      <c r="C65" s="2" t="inlineStr">
        <is>
          <t>UPK2-SD-053</t>
        </is>
      </c>
      <c r="D65" s="2" t="inlineStr">
        <is>
          <t>IDEAS (Ideas Jaipur)</t>
        </is>
      </c>
      <c r="E65" s="2" t="inlineStr">
        <is>
          <t>Space &amp; Design</t>
        </is>
      </c>
      <c r="F65" s="2" t="inlineStr">
        <is>
          <t>SD-ARCHITECTURE</t>
        </is>
      </c>
      <c r="G65" s="2" t="inlineStr">
        <is>
          <t>Home &amp; Space</t>
        </is>
      </c>
      <c r="H65" s="2" t="inlineStr">
        <is>
          <t>Architecture, urban planning, interiors</t>
        </is>
      </c>
      <c r="I65" s="2" t="inlineStr">
        <is>
          <t>Jaipur</t>
        </is>
      </c>
      <c r="J65" s="2" t="inlineStr">
        <is>
          <t>C — Strong Mid-tier</t>
        </is>
      </c>
      <c r="K65" s="2" t="inlineStr">
        <is>
          <t>Design studio/practice</t>
        </is>
      </c>
      <c r="L65" s="2" t="inlineStr">
        <is>
          <t>P0</t>
        </is>
      </c>
      <c r="M65" s="2" t="inlineStr">
        <is>
          <t>P1</t>
        </is>
      </c>
      <c r="N65" s="2" t="n">
        <v>74.2</v>
      </c>
      <c r="O65" s="2" t="n">
        <v>92</v>
      </c>
      <c r="P65" s="2" t="n">
        <v>68.59999999999999</v>
      </c>
      <c r="Q65" s="2" t="n">
        <v>75</v>
      </c>
      <c r="R65" s="2" t="n">
        <v>45</v>
      </c>
      <c r="S65" s="2" t="inlineStr">
        <is>
          <t>C1-DIRECT-VERIFIED</t>
        </is>
      </c>
      <c r="T65" s="2" t="inlineStr">
        <is>
          <t>Personal 1:1 email from founder/team to published business email</t>
        </is>
      </c>
      <c r="U65" s="2" t="inlineStr">
        <is>
          <t>https://ideasjaipur.com/</t>
        </is>
      </c>
      <c r="V65" s="2" t="inlineStr">
        <is>
          <t>2026-09 — TAD50 Edition 2</t>
        </is>
      </c>
      <c r="W65" s="2" t="inlineStr">
        <is>
          <t>Founded 1997; TAD50 2026</t>
        </is>
      </c>
      <c r="X65" s="2" t="inlineStr">
        <is>
          <t>The Architects Diary (Editorial feature/list)</t>
        </is>
      </c>
      <c r="Y65" s="2" t="inlineStr">
        <is>
          <t>Readiness 74 (top 9% in category) | Commercial: Founded 1997; TAD50 2026 | Active: 2026-09 — TAD50 Edition 2</t>
        </is>
      </c>
      <c r="Z65" s="2" t="inlineStr">
        <is>
          <t>Lead with a specific built project. Present Uepaki as a professional home for the practice's services and project work under its own name. No lead promises.</t>
        </is>
      </c>
      <c r="AA65" s="2" t="inlineStr">
        <is>
          <t>Established practice with steady referral/press pipeline; may see limited need for another channel</t>
        </is>
      </c>
      <c r="AB65" s="2" t="inlineStr">
        <is>
          <t>Work comes via referrals; project-based work fit; profile upkeep effort</t>
        </is>
      </c>
      <c r="AC65" s="2" t="inlineStr">
        <is>
          <t>E03-CTA-B Written terms + registration link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</row>
    <row r="66">
      <c r="A66" s="2" t="n">
        <v>65</v>
      </c>
      <c r="B66" s="2" t="inlineStr">
        <is>
          <t>Wave 1 — Founding cohort</t>
        </is>
      </c>
      <c r="C66" s="2" t="inlineStr">
        <is>
          <t>UPK2-SD-302</t>
        </is>
      </c>
      <c r="D66" s="2" t="inlineStr">
        <is>
          <t>groupDCA</t>
        </is>
      </c>
      <c r="E66" s="2" t="inlineStr">
        <is>
          <t>Space &amp; Design</t>
        </is>
      </c>
      <c r="F66" s="2" t="inlineStr">
        <is>
          <t>SD-ARCHITECTURE</t>
        </is>
      </c>
      <c r="G66" s="2" t="inlineStr">
        <is>
          <t>Home &amp; Space</t>
        </is>
      </c>
      <c r="H66" s="2" t="inlineStr">
        <is>
          <t>Architecture &amp; interior design studio</t>
        </is>
      </c>
      <c r="I66" s="2" t="inlineStr">
        <is>
          <t>Delhi NCR</t>
        </is>
      </c>
      <c r="J66" s="2" t="inlineStr">
        <is>
          <t>C — Strong Mid-tier</t>
        </is>
      </c>
      <c r="K66" s="2" t="inlineStr">
        <is>
          <t>Design studio / practice</t>
        </is>
      </c>
      <c r="L66" s="2" t="inlineStr">
        <is>
          <t>P0</t>
        </is>
      </c>
      <c r="M66" s="2" t="inlineStr">
        <is>
          <t>P1</t>
        </is>
      </c>
      <c r="N66" s="2" t="n">
        <v>72.09999999999999</v>
      </c>
      <c r="O66" s="2" t="n">
        <v>83</v>
      </c>
      <c r="P66" s="2" t="n">
        <v>68.2</v>
      </c>
      <c r="Q66" s="2" t="n">
        <v>74</v>
      </c>
      <c r="R66" s="2" t="n">
        <v>50</v>
      </c>
      <c r="S66" s="2" t="inlineStr">
        <is>
          <t>C1-DIRECT-VERIFIED</t>
        </is>
      </c>
      <c r="T66" s="2" t="inlineStr">
        <is>
          <t>Personal 1:1 email from founder/team to published business email</t>
        </is>
      </c>
      <c r="U66" s="2" t="inlineStr">
        <is>
          <t>https://groupdca.in/contact/</t>
        </is>
      </c>
      <c r="V66" s="2" t="inlineStr">
        <is>
          <t>2026-10 — own-site sitemap lastmod</t>
        </is>
      </c>
      <c r="W66" s="2" t="inlineStr">
        <is>
          <t>Residential Architecture Design, Bandh Road, Chhatarpur, Delhi (The Architects Diary 2025-09)</t>
        </is>
      </c>
      <c r="X66" s="2" t="inlineStr">
        <is>
          <t>The Architects Diary (Editorial project feature)</t>
        </is>
      </c>
      <c r="Y66" s="2" t="inlineStr">
        <is>
          <t>Readiness 72 (top 18% in category) | Commercial: Residential Architecture Design, Bandh Road, Chhatarpur, Delhi (The Architects Diary 2025… | Active: 2026-10 — own-site sitemap lastmod</t>
        </is>
      </c>
      <c r="Z66" s="2" t="inlineStr">
        <is>
          <t>Lead with a specific built project. Present Uepaki as a professional home for the practice's services and project work under its own name. No lead promises.</t>
        </is>
      </c>
      <c r="AA66" s="2" t="inlineStr">
        <is>
          <t>Established pipeline via referrals and trade media</t>
        </is>
      </c>
      <c r="AB66" s="2" t="inlineStr">
        <is>
          <t>Work comes via referrals; project-based work fit; profile upkeep effort</t>
        </is>
      </c>
      <c r="AC66" s="2" t="inlineStr">
        <is>
          <t>E03-CTA-A Reply/15-min call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</row>
    <row r="67">
      <c r="A67" s="2" t="n">
        <v>66</v>
      </c>
      <c r="B67" s="2" t="inlineStr">
        <is>
          <t>Wave 1 — Founding cohort</t>
        </is>
      </c>
      <c r="C67" s="2" t="inlineStr">
        <is>
          <t>UPK2-SD-003</t>
        </is>
      </c>
      <c r="D67" s="2" t="inlineStr">
        <is>
          <t>Navrasa</t>
        </is>
      </c>
      <c r="E67" s="2" t="inlineStr">
        <is>
          <t>Space &amp; Design</t>
        </is>
      </c>
      <c r="F67" s="2" t="inlineStr">
        <is>
          <t>SD-INTERIOR</t>
        </is>
      </c>
      <c r="G67" s="2" t="inlineStr">
        <is>
          <t>Home &amp; Space</t>
        </is>
      </c>
      <c r="H67" s="2" t="inlineStr">
        <is>
          <t>Interior design studio</t>
        </is>
      </c>
      <c r="I67" s="2" t="inlineStr">
        <is>
          <t>Delhi NCR</t>
        </is>
      </c>
      <c r="J67" s="2" t="inlineStr">
        <is>
          <t>B — Established Independent</t>
        </is>
      </c>
      <c r="K67" s="2" t="inlineStr">
        <is>
          <t>Design studio/practice</t>
        </is>
      </c>
      <c r="L67" s="2" t="inlineStr">
        <is>
          <t>P0</t>
        </is>
      </c>
      <c r="M67" s="2" t="inlineStr">
        <is>
          <t>P0</t>
        </is>
      </c>
      <c r="N67" s="2" t="n">
        <v>76.09999999999999</v>
      </c>
      <c r="O67" s="2" t="n">
        <v>99</v>
      </c>
      <c r="P67" s="2" t="n">
        <v>68.09999999999999</v>
      </c>
      <c r="Q67" s="2" t="n">
        <v>77</v>
      </c>
      <c r="R67" s="2" t="n">
        <v>35</v>
      </c>
      <c r="S67" s="2" t="inlineStr">
        <is>
          <t>C1-DIRECT-VERIFIED</t>
        </is>
      </c>
      <c r="T67" s="2" t="inlineStr">
        <is>
          <t>Personal 1:1 email from founder/team to published business email</t>
        </is>
      </c>
      <c r="U67" s="2" t="inlineStr">
        <is>
          <t>https://nav-rasa.com/</t>
        </is>
      </c>
      <c r="V67" s="2" t="inlineStr">
        <is>
          <t>2026-09 — TAD Discovery Delhi NCR 20</t>
        </is>
      </c>
      <c r="W67" s="2" t="inlineStr">
        <is>
          <t>60+ homes in five years; Ashwan House (Gurugram)</t>
        </is>
      </c>
      <c r="X67" s="2" t="inlineStr">
        <is>
          <t>The Architects Diary (Editorial feature/list); The Architects Diary (Editorial feature/list)</t>
        </is>
      </c>
      <c r="Y67" s="2" t="inlineStr">
        <is>
          <t>Readiness 76 (top 2% in category) | Commercial: 60+ homes in five years; Ashwan House (Gurugram) | Active: 2026-09 — TAD Discovery Delhi NCR 20 | Independent/emerging tier — fame not a factor</t>
        </is>
      </c>
      <c r="Z67" s="2" t="inlineStr">
        <is>
          <t>Lead with a specific interior project. Services and project work under the studio's own name. No enquiry promises.</t>
        </is>
      </c>
      <c r="AA67" s="2" t="inlineStr">
        <is>
          <t>Small team; may prioritise direct client work and Instagram over new platforms</t>
        </is>
      </c>
      <c r="AB67" s="2" t="inlineStr">
        <is>
          <t>Work comes via referrals; project-based work fit; profile upkeep effort</t>
        </is>
      </c>
      <c r="AC67" s="2" t="inlineStr">
        <is>
          <t>E03-CTA-B Written terms + registration link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</row>
    <row r="68">
      <c r="A68" s="2" t="n">
        <v>67</v>
      </c>
      <c r="B68" s="2" t="inlineStr">
        <is>
          <t>Wave 1 — Founding cohort</t>
        </is>
      </c>
      <c r="C68" s="2" t="inlineStr">
        <is>
          <t>UPK2-SD-076</t>
        </is>
      </c>
      <c r="D68" s="2" t="inlineStr">
        <is>
          <t>Wright Inspires</t>
        </is>
      </c>
      <c r="E68" s="2" t="inlineStr">
        <is>
          <t>Space &amp; Design</t>
        </is>
      </c>
      <c r="F68" s="2" t="inlineStr">
        <is>
          <t>SD-ARCHITECTURE</t>
        </is>
      </c>
      <c r="G68" s="2" t="inlineStr">
        <is>
          <t>Home &amp; Space</t>
        </is>
      </c>
      <c r="H68" s="2" t="inlineStr">
        <is>
          <t>Architecture &amp; interior design studio</t>
        </is>
      </c>
      <c r="I68" s="2" t="inlineStr">
        <is>
          <t>Bengaluru</t>
        </is>
      </c>
      <c r="J68" s="2" t="inlineStr">
        <is>
          <t>C — Strong Mid-tier</t>
        </is>
      </c>
      <c r="K68" s="2" t="inlineStr">
        <is>
          <t>Design studio / practice</t>
        </is>
      </c>
      <c r="L68" s="2" t="inlineStr">
        <is>
          <t>P0</t>
        </is>
      </c>
      <c r="M68" s="2" t="inlineStr">
        <is>
          <t>P1</t>
        </is>
      </c>
      <c r="N68" s="2" t="n">
        <v>71.09999999999999</v>
      </c>
      <c r="O68" s="2" t="n">
        <v>75</v>
      </c>
      <c r="P68" s="2" t="n">
        <v>67.8</v>
      </c>
      <c r="Q68" s="2" t="n">
        <v>74</v>
      </c>
      <c r="R68" s="2" t="n">
        <v>50</v>
      </c>
      <c r="S68" s="2" t="inlineStr">
        <is>
          <t>C1-DIRECT-VERIFIED</t>
        </is>
      </c>
      <c r="T68" s="2" t="inlineStr">
        <is>
          <t>Personal 1:1 email from founder/team to published business email</t>
        </is>
      </c>
      <c r="U68" s="2" t="inlineStr">
        <is>
          <t>https://wrightinspires.com/contact</t>
        </is>
      </c>
      <c r="V68" s="2" t="inlineStr">
        <is>
          <t>2026-08 — TAD feature: Inside a 30′ x 40′ Home That Makes Compact Living Feel Expansive | Wright Inspires</t>
        </is>
      </c>
      <c r="W68" s="2" t="inlineStr">
        <is>
          <t>Residential Architecture Design — Nalme, Bangalore (TAD 2026-08)</t>
        </is>
      </c>
      <c r="X68" s="2" t="inlineStr">
        <is>
          <t>The Architects Diary (Editorial project feature (3 in 2025–26))</t>
        </is>
      </c>
      <c r="Y68" s="2" t="inlineStr">
        <is>
          <t>Readiness 71 (top 26% in category) | Commercial: Residential Architecture Design — Nalme, Bangalore (TAD 2026-08) | Active: 2026-08 — TAD feature: Inside a 30′ x 40′ Home That Makes Compact Liv…</t>
        </is>
      </c>
      <c r="Z68" s="2" t="inlineStr">
        <is>
          <t>Lead with a specific built project. Present Uepaki as a professional home for the practice's services and project work under its own name. No lead promises.</t>
        </is>
      </c>
      <c r="AA68" s="2" t="inlineStr">
        <is>
          <t>Leads largely via referrals/own site and trade-media features</t>
        </is>
      </c>
      <c r="AB68" s="2" t="inlineStr">
        <is>
          <t>Work comes via referrals; project-based work fit; profile upkeep effort</t>
        </is>
      </c>
      <c r="AC68" s="2" t="inlineStr">
        <is>
          <t>E03-CTA-A Reply/15-min call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</row>
    <row r="69">
      <c r="A69" s="2" t="n">
        <v>68</v>
      </c>
      <c r="B69" s="2" t="inlineStr">
        <is>
          <t>Wave 1 — Founding cohort</t>
        </is>
      </c>
      <c r="C69" s="2" t="inlineStr">
        <is>
          <t>UPK2-SD-329</t>
        </is>
      </c>
      <c r="D69" s="2" t="inlineStr">
        <is>
          <t>Basics Architects</t>
        </is>
      </c>
      <c r="E69" s="2" t="inlineStr">
        <is>
          <t>Space &amp; Design</t>
        </is>
      </c>
      <c r="F69" s="2" t="inlineStr">
        <is>
          <t>SD-ARCHITECTURE</t>
        </is>
      </c>
      <c r="G69" s="2" t="inlineStr">
        <is>
          <t>Home &amp; Space</t>
        </is>
      </c>
      <c r="H69" s="2" t="inlineStr">
        <is>
          <t>Architecture &amp; interior design studio</t>
        </is>
      </c>
      <c r="I69" s="2" t="inlineStr">
        <is>
          <t>Delhi NCR</t>
        </is>
      </c>
      <c r="J69" s="2" t="inlineStr">
        <is>
          <t>C — Strong Mid-tier</t>
        </is>
      </c>
      <c r="K69" s="2" t="inlineStr">
        <is>
          <t>Design studio / practice</t>
        </is>
      </c>
      <c r="L69" s="2" t="inlineStr">
        <is>
          <t>P0</t>
        </is>
      </c>
      <c r="M69" s="2" t="inlineStr">
        <is>
          <t>P1</t>
        </is>
      </c>
      <c r="N69" s="2" t="n">
        <v>71.09999999999999</v>
      </c>
      <c r="O69" s="2" t="n">
        <v>75</v>
      </c>
      <c r="P69" s="2" t="n">
        <v>67.8</v>
      </c>
      <c r="Q69" s="2" t="n">
        <v>74</v>
      </c>
      <c r="R69" s="2" t="n">
        <v>50</v>
      </c>
      <c r="S69" s="2" t="inlineStr">
        <is>
          <t>C1-DIRECT-VERIFIED</t>
        </is>
      </c>
      <c r="T69" s="2" t="inlineStr">
        <is>
          <t>Personal 1:1 email from founder/team to published business email</t>
        </is>
      </c>
      <c r="U69" s="2" t="inlineStr">
        <is>
          <t>https://basics.co.in/contact/</t>
        </is>
      </c>
      <c r="V69" s="2" t="inlineStr">
        <is>
          <t>2026-08 — own-site sitemap lastmod</t>
        </is>
      </c>
      <c r="W69" s="2" t="inlineStr">
        <is>
          <t>Residential Interior Design, Ludhiana (The Architects Diary 2024-09)</t>
        </is>
      </c>
      <c r="X69" s="2" t="inlineStr">
        <is>
          <t>The Architects Diary (Editorial project feature)</t>
        </is>
      </c>
      <c r="Y69" s="2" t="inlineStr">
        <is>
          <t>Readiness 71 (top 26% in category) | Commercial: Residential Interior Design, Ludhiana (The Architects Diary 2024-09) | Active: 2026-08 — own-site sitemap lastmod</t>
        </is>
      </c>
      <c r="Z69" s="2" t="inlineStr">
        <is>
          <t>Lead with a specific built project. Present Uepaki as a professional home for the practice's services and project work under its own name. No lead promises.</t>
        </is>
      </c>
      <c r="AA69" s="2" t="inlineStr">
        <is>
          <t>Established pipeline via referrals and trade media</t>
        </is>
      </c>
      <c r="AB69" s="2" t="inlineStr">
        <is>
          <t>Work comes via referrals; project-based work fit; profile upkeep effort</t>
        </is>
      </c>
      <c r="AC69" s="2" t="inlineStr">
        <is>
          <t>E03-CTA-B Written terms + registration link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</row>
    <row r="70">
      <c r="A70" s="2" t="n">
        <v>69</v>
      </c>
      <c r="B70" s="2" t="inlineStr">
        <is>
          <t>Wave 1 — Founding cohort</t>
        </is>
      </c>
      <c r="C70" s="2" t="inlineStr">
        <is>
          <t>UPK2-SD-061</t>
        </is>
      </c>
      <c r="D70" s="2" t="inlineStr">
        <is>
          <t>Tanisha Bansal Interiors</t>
        </is>
      </c>
      <c r="E70" s="2" t="inlineStr">
        <is>
          <t>Space &amp; Design</t>
        </is>
      </c>
      <c r="F70" s="2" t="inlineStr">
        <is>
          <t>SD-INTERIOR</t>
        </is>
      </c>
      <c r="G70" s="2" t="inlineStr">
        <is>
          <t>Home &amp; Space</t>
        </is>
      </c>
      <c r="H70" s="2" t="inlineStr">
        <is>
          <t>Interior design studio</t>
        </is>
      </c>
      <c r="I70" s="2" t="inlineStr">
        <is>
          <t>Mumbai</t>
        </is>
      </c>
      <c r="J70" s="2" t="inlineStr">
        <is>
          <t>C — Strong Mid-tier</t>
        </is>
      </c>
      <c r="K70" s="2" t="inlineStr">
        <is>
          <t>Design studio / practice</t>
        </is>
      </c>
      <c r="L70" s="2" t="inlineStr">
        <is>
          <t>P0</t>
        </is>
      </c>
      <c r="M70" s="2" t="inlineStr">
        <is>
          <t>P1</t>
        </is>
      </c>
      <c r="N70" s="2" t="n">
        <v>71.09999999999999</v>
      </c>
      <c r="O70" s="2" t="n">
        <v>75</v>
      </c>
      <c r="P70" s="2" t="n">
        <v>67.8</v>
      </c>
      <c r="Q70" s="2" t="n">
        <v>74</v>
      </c>
      <c r="R70" s="2" t="n">
        <v>50</v>
      </c>
      <c r="S70" s="2" t="inlineStr">
        <is>
          <t>C1-DIRECT-VERIFIED</t>
        </is>
      </c>
      <c r="T70" s="2" t="inlineStr">
        <is>
          <t>Personal 1:1 email from founder/team to published business email</t>
        </is>
      </c>
      <c r="U70" s="2" t="inlineStr">
        <is>
          <t>https://www.tanishabansal.com/contact</t>
        </is>
      </c>
      <c r="V70" s="2" t="inlineStr">
        <is>
          <t>2026-07 — TAD feature: This Mumbai Apartment House of Coco Turns Minimalism Into Sculptural Warmth | Tanisha Bansal Interiors</t>
        </is>
      </c>
      <c r="W70" s="2" t="inlineStr">
        <is>
          <t>Residential Interior Design — House of Coco, Byculla, Mumbai (TAD 2026-07)</t>
        </is>
      </c>
      <c r="X70" s="2" t="inlineStr">
        <is>
          <t>The Architects Diary (Editorial project feature (2 in 2025–26))</t>
        </is>
      </c>
      <c r="Y70" s="2" t="inlineStr">
        <is>
          <t>Readiness 71 (top 26% in category) | Commercial: Residential Interior Design — House of Coco, Byculla, Mumbai (TAD 2026-07) | Active: 2026-07 — TAD feature: This Mumbai Apartment House of Coco Turns Mini…</t>
        </is>
      </c>
      <c r="Z70" s="2" t="inlineStr">
        <is>
          <t>Lead with a specific interior project. Services and project work under the studio's own name. No enquiry promises.</t>
        </is>
      </c>
      <c r="AA70" s="2" t="inlineStr">
        <is>
          <t>Leads largely via referrals/own site and trade-media features</t>
        </is>
      </c>
      <c r="AB70" s="2" t="inlineStr">
        <is>
          <t>Work comes via referrals; project-based work fit; profile upkeep effort</t>
        </is>
      </c>
      <c r="AC70" s="2" t="inlineStr">
        <is>
          <t>E03-CTA-A Reply/15-min call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</row>
    <row r="71">
      <c r="A71" s="2" t="n">
        <v>70</v>
      </c>
      <c r="B71" s="2" t="inlineStr">
        <is>
          <t>Wave 1 — Founding cohort</t>
        </is>
      </c>
      <c r="C71" s="2" t="inlineStr">
        <is>
          <t>UPK2-SD-019</t>
        </is>
      </c>
      <c r="D71" s="2" t="inlineStr">
        <is>
          <t>Sage Haus (Sage Design Co)</t>
        </is>
      </c>
      <c r="E71" s="2" t="inlineStr">
        <is>
          <t>Space &amp; Design</t>
        </is>
      </c>
      <c r="F71" s="2" t="inlineStr">
        <is>
          <t>SD-INTERIOR</t>
        </is>
      </c>
      <c r="G71" s="2" t="inlineStr">
        <is>
          <t>Home &amp; Space</t>
        </is>
      </c>
      <c r="H71" s="2" t="inlineStr">
        <is>
          <t>Interior design studio</t>
        </is>
      </c>
      <c r="I71" s="2" t="inlineStr">
        <is>
          <t>Delhi NCR</t>
        </is>
      </c>
      <c r="J71" s="2" t="inlineStr">
        <is>
          <t>B — Established Independent</t>
        </is>
      </c>
      <c r="K71" s="2" t="inlineStr">
        <is>
          <t>Design studio/practice</t>
        </is>
      </c>
      <c r="L71" s="2" t="inlineStr">
        <is>
          <t>P0</t>
        </is>
      </c>
      <c r="M71" s="2" t="inlineStr">
        <is>
          <t>P0</t>
        </is>
      </c>
      <c r="N71" s="2" t="n">
        <v>74.8</v>
      </c>
      <c r="O71" s="2" t="n">
        <v>94</v>
      </c>
      <c r="P71" s="2" t="n">
        <v>67.2</v>
      </c>
      <c r="Q71" s="2" t="n">
        <v>76</v>
      </c>
      <c r="R71" s="2" t="n">
        <v>35</v>
      </c>
      <c r="S71" s="2" t="inlineStr">
        <is>
          <t>C1-DIRECT-VERIFIED</t>
        </is>
      </c>
      <c r="T71" s="2" t="inlineStr">
        <is>
          <t>Personal 1:1 email from founder/team to published business email</t>
        </is>
      </c>
      <c r="U71" s="2" t="inlineStr">
        <is>
          <t>https://www.sagehaus.in/</t>
        </is>
      </c>
      <c r="V71" s="2" t="inlineStr">
        <is>
          <t>2026-07 — TAD feature: South Delhi family house</t>
        </is>
      </c>
      <c r="W71" s="2" t="inlineStr">
        <is>
          <t>South Delhi family house feature</t>
        </is>
      </c>
      <c r="X71" s="2" t="inlineStr">
        <is>
          <t>The Architects Diary (Editorial feature/list)</t>
        </is>
      </c>
      <c r="Y71" s="2" t="inlineStr">
        <is>
          <t>Readiness 75 (top 7% in category) | Commercial: South Delhi family house feature | Active: 2026-07 — TAD feature: South Delhi family house | Independent/emerging tier — fame not a factor</t>
        </is>
      </c>
      <c r="Z71" s="2" t="inlineStr">
        <is>
          <t>Lead with a specific interior project. Services and project work under the studio's own name. No enquiry promises.</t>
        </is>
      </c>
      <c r="AA71" s="2" t="inlineStr">
        <is>
          <t>Small team; may prioritise direct client work and Instagram over new platforms</t>
        </is>
      </c>
      <c r="AB71" s="2" t="inlineStr">
        <is>
          <t>Work comes via referrals; project-based work fit; profile upkeep effort</t>
        </is>
      </c>
      <c r="AC71" s="2" t="inlineStr">
        <is>
          <t>E03-CTA-B Written terms + registration link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</row>
    <row r="72">
      <c r="A72" s="2" t="n">
        <v>71</v>
      </c>
      <c r="B72" s="2" t="inlineStr">
        <is>
          <t>Wave 1 — Founding cohort</t>
        </is>
      </c>
      <c r="C72" s="2" t="inlineStr">
        <is>
          <t>UPK2-SD-051</t>
        </is>
      </c>
      <c r="D72" s="2" t="inlineStr">
        <is>
          <t>TIS Living (Total Interiors Solutions)</t>
        </is>
      </c>
      <c r="E72" s="2" t="inlineStr">
        <is>
          <t>Space &amp; Design</t>
        </is>
      </c>
      <c r="F72" s="2" t="inlineStr">
        <is>
          <t>SD-INTERIOR</t>
        </is>
      </c>
      <c r="G72" s="2" t="inlineStr">
        <is>
          <t>Home &amp; Space</t>
        </is>
      </c>
      <c r="H72" s="2" t="inlineStr">
        <is>
          <t>Interior design-build firm</t>
        </is>
      </c>
      <c r="I72" s="2" t="inlineStr">
        <is>
          <t>Delhi NCR</t>
        </is>
      </c>
      <c r="J72" s="2" t="inlineStr">
        <is>
          <t>C — Strong Mid-tier</t>
        </is>
      </c>
      <c r="K72" s="2" t="inlineStr">
        <is>
          <t>Design studio/practice</t>
        </is>
      </c>
      <c r="L72" s="2" t="inlineStr">
        <is>
          <t>P0</t>
        </is>
      </c>
      <c r="M72" s="2" t="inlineStr">
        <is>
          <t>P1</t>
        </is>
      </c>
      <c r="N72" s="2" t="n">
        <v>74.2</v>
      </c>
      <c r="O72" s="2" t="n">
        <v>92</v>
      </c>
      <c r="P72" s="2" t="n">
        <v>68.59999999999999</v>
      </c>
      <c r="Q72" s="2" t="n">
        <v>75</v>
      </c>
      <c r="R72" s="2" t="n">
        <v>45</v>
      </c>
      <c r="S72" s="2" t="inlineStr">
        <is>
          <t>C1-DIRECT-VERIFIED</t>
        </is>
      </c>
      <c r="T72" s="2" t="inlineStr">
        <is>
          <t>1:1 message via own-website contact form</t>
        </is>
      </c>
      <c r="U72" s="2" t="inlineStr">
        <is>
          <t>https://www.tisliving.com/</t>
        </is>
      </c>
      <c r="V72" s="2" t="inlineStr">
        <is>
          <t>2026-06 — TAD feature: maximalist home</t>
        </is>
      </c>
      <c r="W72" s="2" t="inlineStr">
        <is>
          <t>Experience centre Sector 18 Gurugram; maximalist home</t>
        </is>
      </c>
      <c r="X72" s="2" t="inlineStr">
        <is>
          <t>The Architects Diary (Editorial feature/list)</t>
        </is>
      </c>
      <c r="Y72" s="2" t="inlineStr">
        <is>
          <t>Readiness 74 (top 9% in category) | Commercial: Experience centre Sector 18 Gurugram; maximalist home | Active: 2026-06 — TAD feature: maximalist home</t>
        </is>
      </c>
      <c r="Z72" s="2" t="inlineStr">
        <is>
          <t>Lead with a specific interior project. Services and project work under the studio's own name. No enquiry promises.</t>
        </is>
      </c>
      <c r="AA72" s="2" t="inlineStr">
        <is>
          <t>Established practice with steady referral/press pipeline; may see limited need for another channel</t>
        </is>
      </c>
      <c r="AB72" s="2" t="inlineStr">
        <is>
          <t>Work comes via referrals; project-based work fit; profile upkeep effort</t>
        </is>
      </c>
      <c r="AC72" s="2" t="inlineStr">
        <is>
          <t>E03-CTA-A Reply/15-min call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</row>
    <row r="73">
      <c r="A73" s="2" t="n">
        <v>72</v>
      </c>
      <c r="B73" s="2" t="inlineStr">
        <is>
          <t>Wave 1 — Founding cohort</t>
        </is>
      </c>
      <c r="C73" s="2" t="inlineStr">
        <is>
          <t>UPK2-SD-063</t>
        </is>
      </c>
      <c r="D73" s="2" t="inlineStr">
        <is>
          <t>FURDO</t>
        </is>
      </c>
      <c r="E73" s="2" t="inlineStr">
        <is>
          <t>Space &amp; Design</t>
        </is>
      </c>
      <c r="F73" s="2" t="inlineStr">
        <is>
          <t>SD-INTERIOR</t>
        </is>
      </c>
      <c r="G73" s="2" t="inlineStr">
        <is>
          <t>Home &amp; Space</t>
        </is>
      </c>
      <c r="H73" s="2" t="inlineStr">
        <is>
          <t>Home interiors design-build firm</t>
        </is>
      </c>
      <c r="I73" s="2" t="inlineStr">
        <is>
          <t>Bengaluru</t>
        </is>
      </c>
      <c r="J73" s="2" t="inlineStr">
        <is>
          <t>C — Strong Mid-tier</t>
        </is>
      </c>
      <c r="K73" s="2" t="inlineStr">
        <is>
          <t>Design studio / practice</t>
        </is>
      </c>
      <c r="L73" s="2" t="inlineStr">
        <is>
          <t>P0</t>
        </is>
      </c>
      <c r="M73" s="2" t="inlineStr">
        <is>
          <t>P1</t>
        </is>
      </c>
      <c r="N73" s="2" t="n">
        <v>72.09999999999999</v>
      </c>
      <c r="O73" s="2" t="n">
        <v>83</v>
      </c>
      <c r="P73" s="2" t="n">
        <v>68.2</v>
      </c>
      <c r="Q73" s="2" t="n">
        <v>74</v>
      </c>
      <c r="R73" s="2" t="n">
        <v>50</v>
      </c>
      <c r="S73" s="2" t="inlineStr">
        <is>
          <t>C1-DIRECT-VERIFIED</t>
        </is>
      </c>
      <c r="T73" s="2" t="inlineStr">
        <is>
          <t>Personal 1:1 email from founder/team to published business email</t>
        </is>
      </c>
      <c r="U73" s="2" t="inlineStr">
        <is>
          <t>https://furdo.com/contact-us/</t>
        </is>
      </c>
      <c r="V73" s="2" t="inlineStr">
        <is>
          <t>2026-05 — TAD feature: Shades Of Ivory Stand As A Refined Expression Of This 4BHK Flat | FURDO</t>
        </is>
      </c>
      <c r="W73" s="2" t="inlineStr">
        <is>
          <t>Apartment Interior Design — Madhuri &amp; Mahavir (House Of Ivory), Hyderabad (TAD 2026-05)</t>
        </is>
      </c>
      <c r="X73" s="2" t="inlineStr">
        <is>
          <t>The Architects Diary (Editorial project feature (1 in 2025–26))</t>
        </is>
      </c>
      <c r="Y73" s="2" t="inlineStr">
        <is>
          <t>Readiness 72 (top 18% in category) | Commercial: Apartment Interior Design — Madhuri &amp; Mahavir (House Of Ivory), Hyderabad (TAD 2026-05) | Active: 2026-05 — TAD feature: Shades Of Ivory Stand As A Refined Expression…</t>
        </is>
      </c>
      <c r="Z73" s="2" t="inlineStr">
        <is>
          <t>Lead with a specific interior project. Services and project work under the studio's own name. No enquiry promises.</t>
        </is>
      </c>
      <c r="AA73" s="2" t="inlineStr">
        <is>
          <t>Leads largely via referrals/own site and trade-media features</t>
        </is>
      </c>
      <c r="AB73" s="2" t="inlineStr">
        <is>
          <t>Work comes via referrals; project-based work fit; profile upkeep effort</t>
        </is>
      </c>
      <c r="AC73" s="2" t="inlineStr">
        <is>
          <t>E03-CTA-B Written terms + registration link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</row>
    <row r="74">
      <c r="A74" s="2" t="n">
        <v>73</v>
      </c>
      <c r="B74" s="2" t="inlineStr">
        <is>
          <t>Wave 1 — Founding cohort</t>
        </is>
      </c>
      <c r="C74" s="2" t="inlineStr">
        <is>
          <t>UPK2-LM-005</t>
        </is>
      </c>
      <c r="D74" s="2" t="inlineStr">
        <is>
          <t>Harsha Bathija</t>
        </is>
      </c>
      <c r="E74" s="2" t="inlineStr">
        <is>
          <t>Lens &amp; Motion</t>
        </is>
      </c>
      <c r="F74" s="2" t="inlineStr">
        <is>
          <t>LM-WEDDING</t>
        </is>
      </c>
      <c r="G74" s="2" t="inlineStr">
        <is>
          <t>Wedding &amp; Occasion</t>
        </is>
      </c>
      <c r="H74" s="2" t="inlineStr">
        <is>
          <t>Wedding photographer / studio</t>
        </is>
      </c>
      <c r="I74" s="2" t="inlineStr">
        <is>
          <t>Mumbai</t>
        </is>
      </c>
      <c r="J74" s="2" t="inlineStr">
        <is>
          <t>C — Strong Mid-tier</t>
        </is>
      </c>
      <c r="K74" s="2" t="inlineStr">
        <is>
          <t>Photography studio</t>
        </is>
      </c>
      <c r="L74" s="2" t="inlineStr">
        <is>
          <t>P0</t>
        </is>
      </c>
      <c r="M74" s="2" t="inlineStr">
        <is>
          <t>P1</t>
        </is>
      </c>
      <c r="N74" s="2" t="n">
        <v>77.2</v>
      </c>
      <c r="O74" s="2" t="n">
        <v>91</v>
      </c>
      <c r="P74" s="2" t="n">
        <v>72.59999999999999</v>
      </c>
      <c r="Q74" s="2" t="n">
        <v>80</v>
      </c>
      <c r="R74" s="2" t="n">
        <v>50</v>
      </c>
      <c r="S74" s="2" t="inlineStr">
        <is>
          <t>C1-DIRECT-VERIFIED</t>
        </is>
      </c>
      <c r="T74" s="2" t="inlineStr">
        <is>
          <t>Personal 1:1 email from founder/team to published business email</t>
        </is>
      </c>
      <c r="U74" s="2" t="inlineStr">
        <is>
          <t>https://www.harshabathija.com</t>
        </is>
      </c>
      <c r="V74" s="2" t="inlineStr">
        <is>
          <t>2026-10 — WeddingSutra Photographers Showcase profile published (weddingsutra.com)</t>
        </is>
      </c>
      <c r="W74" s="2" t="inlineStr">
        <is>
          <t>Wedding photography/film bookings; WeddingSutra showcase lists service locations: Mumbai and Goa</t>
        </is>
      </c>
      <c r="X74" s="2" t="inlineStr">
        <is>
          <t>WeddingSutra (Photographers Showcase profile)</t>
        </is>
      </c>
      <c r="Y74" s="2" t="inlineStr">
        <is>
          <t>Readiness 77 (top 10% in category) | Commercial: Wedding photography/film bookings; WeddingSutra showcase lists service locations: Mumbai… | Active: 2026-10 — WeddingSutra Photographers Showcase profile published (wedd…</t>
        </is>
      </c>
      <c r="Z74" s="2" t="inlineStr">
        <is>
          <t>Lead with a specific film or series. Photographers sit at the centre of the wedding ecosystem — invite as a founding peer of designers, MUAs and planners.</t>
        </is>
      </c>
      <c r="AA74" s="2" t="inlineStr">
        <is>
          <t>Bookings already flow via own site, Instagram and wedding platforms</t>
        </is>
      </c>
      <c r="AB74" s="2" t="inlineStr">
        <is>
          <t>Leads via referrals/portals; off-platform contact; time to maintain another profile</t>
        </is>
      </c>
      <c r="AC74" s="2" t="inlineStr">
        <is>
          <t>E03-CTA-A Reply/15-min call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</row>
    <row r="75">
      <c r="A75" s="2" t="n">
        <v>74</v>
      </c>
      <c r="B75" s="2" t="inlineStr">
        <is>
          <t>Wave 1 — Founding cohort</t>
        </is>
      </c>
      <c r="C75" s="2" t="inlineStr">
        <is>
          <t>UPK2-LM-008</t>
        </is>
      </c>
      <c r="D75" s="2" t="inlineStr">
        <is>
          <t>Ramit Batra</t>
        </is>
      </c>
      <c r="E75" s="2" t="inlineStr">
        <is>
          <t>Lens &amp; Motion</t>
        </is>
      </c>
      <c r="F75" s="2" t="inlineStr">
        <is>
          <t>LM-WEDDING</t>
        </is>
      </c>
      <c r="G75" s="2" t="inlineStr">
        <is>
          <t>Wedding &amp; Occasion</t>
        </is>
      </c>
      <c r="H75" s="2" t="inlineStr">
        <is>
          <t>Wedding photography &amp; films</t>
        </is>
      </c>
      <c r="I75" s="2" t="inlineStr">
        <is>
          <t>Delhi NCR</t>
        </is>
      </c>
      <c r="J75" s="2" t="inlineStr">
        <is>
          <t>C — Strong Mid-tier</t>
        </is>
      </c>
      <c r="K75" s="2" t="inlineStr">
        <is>
          <t>Photographer-led studio</t>
        </is>
      </c>
      <c r="L75" s="2" t="inlineStr">
        <is>
          <t>P0</t>
        </is>
      </c>
      <c r="M75" s="2" t="inlineStr">
        <is>
          <t>P1</t>
        </is>
      </c>
      <c r="N75" s="2" t="n">
        <v>76.8</v>
      </c>
      <c r="O75" s="2" t="n">
        <v>88</v>
      </c>
      <c r="P75" s="2" t="n">
        <v>72.2</v>
      </c>
      <c r="Q75" s="2" t="n">
        <v>76</v>
      </c>
      <c r="R75" s="2" t="n">
        <v>55</v>
      </c>
      <c r="S75" s="2" t="inlineStr">
        <is>
          <t>C1-DIRECT-VERIFIED</t>
        </is>
      </c>
      <c r="T75" s="2" t="inlineStr">
        <is>
          <t>Personal 1:1 email from founder/team to published business email</t>
        </is>
      </c>
      <c r="U75" s="2" t="inlineStr">
        <is>
          <t>https://www.ramitbatra.com/</t>
        </is>
      </c>
      <c r="V75" s="2" t="inlineStr">
        <is>
          <t>2026-07 — WeddingSutra vendor profile last updated/published (page metadata)</t>
        </is>
      </c>
      <c r="W75" s="2" t="inlineStr">
        <is>
          <t>Services listed on WeddingSutra profile: Candid photography, Cinematography, Pre wedding photography</t>
        </is>
      </c>
      <c r="X75" s="2" t="inlineStr">
        <is>
          <t>WeddingSutra (Vendor directory profile)</t>
        </is>
      </c>
      <c r="Y75" s="2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  <c r="Z75" s="2" t="inlineStr">
        <is>
          <t>Lead with a specific film or series. Photographers sit at the centre of the wedding ecosystem — invite as a founding peer of designers, MUAs and planners.</t>
        </is>
      </c>
      <c r="AA75" s="2" t="inlineStr">
        <is>
          <t>Already gets leads via own Instagram and wedding directories</t>
        </is>
      </c>
      <c r="AB75" s="2" t="inlineStr">
        <is>
          <t>Leads via referrals/portals; off-platform contact; time to maintain another profile</t>
        </is>
      </c>
      <c r="AC75" s="2" t="inlineStr">
        <is>
          <t>E03-CTA-B Written terms + registration link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</row>
    <row r="76">
      <c r="A76" s="2" t="n">
        <v>75</v>
      </c>
      <c r="B76" s="2" t="inlineStr">
        <is>
          <t>Wave 1 — Founding cohort</t>
        </is>
      </c>
      <c r="C76" s="2" t="inlineStr">
        <is>
          <t>UPK2-LM-010</t>
        </is>
      </c>
      <c r="D76" s="2" t="inlineStr">
        <is>
          <t>Dipak Studios</t>
        </is>
      </c>
      <c r="E76" s="2" t="inlineStr">
        <is>
          <t>Lens &amp; Motion</t>
        </is>
      </c>
      <c r="F76" s="2" t="inlineStr">
        <is>
          <t>LM-WEDDING</t>
        </is>
      </c>
      <c r="G76" s="2" t="inlineStr">
        <is>
          <t>Wedding &amp; Occasion</t>
        </is>
      </c>
      <c r="H76" s="2" t="inlineStr">
        <is>
          <t>Wedding photography &amp; films</t>
        </is>
      </c>
      <c r="I76" s="2" t="inlineStr">
        <is>
          <t>Delhi NCR</t>
        </is>
      </c>
      <c r="J76" s="2" t="inlineStr">
        <is>
          <t>C — Strong Mid-tier</t>
        </is>
      </c>
      <c r="K76" s="2" t="inlineStr">
        <is>
          <t>Studio/team</t>
        </is>
      </c>
      <c r="L76" s="2" t="inlineStr">
        <is>
          <t>P0</t>
        </is>
      </c>
      <c r="M76" s="2" t="inlineStr">
        <is>
          <t>P1</t>
        </is>
      </c>
      <c r="N76" s="2" t="n">
        <v>76.8</v>
      </c>
      <c r="O76" s="2" t="n">
        <v>88</v>
      </c>
      <c r="P76" s="2" t="n">
        <v>72.2</v>
      </c>
      <c r="Q76" s="2" t="n">
        <v>76</v>
      </c>
      <c r="R76" s="2" t="n">
        <v>55</v>
      </c>
      <c r="S76" s="2" t="inlineStr">
        <is>
          <t>C1-DIRECT-VERIFIED</t>
        </is>
      </c>
      <c r="T76" s="2" t="inlineStr">
        <is>
          <t>Personal 1:1 email from founder/team to published business email</t>
        </is>
      </c>
      <c r="U76" s="2" t="inlineStr">
        <is>
          <t>https://www.dipakstudios.com</t>
        </is>
      </c>
      <c r="V76" s="2" t="inlineStr">
        <is>
          <t>2026-07 — WeddingSutra vendor profile last updated/published (page metadata)</t>
        </is>
      </c>
      <c r="W76" s="2" t="inlineStr">
        <is>
          <t>Services listed on WeddingSutra profile: Candid photography, Cinematography, Pre wedding photography</t>
        </is>
      </c>
      <c r="X76" s="2" t="inlineStr">
        <is>
          <t>WeddingSutra (Vendor directory profile)</t>
        </is>
      </c>
      <c r="Y76" s="2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  <c r="Z76" s="2" t="inlineStr">
        <is>
          <t>Lead with a specific film or series. Photographers sit at the centre of the wedding ecosystem — invite as a founding peer of designers, MUAs and planners.</t>
        </is>
      </c>
      <c r="AA76" s="2" t="inlineStr">
        <is>
          <t>Already gets leads via own Instagram and wedding directories</t>
        </is>
      </c>
      <c r="AB76" s="2" t="inlineStr">
        <is>
          <t>Leads via referrals/portals; off-platform contact; time to maintain another profile</t>
        </is>
      </c>
      <c r="AC76" s="2" t="inlineStr">
        <is>
          <t>E03-CTA-A Reply/15-min call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</row>
    <row r="77">
      <c r="A77" s="2" t="n">
        <v>76</v>
      </c>
      <c r="B77" s="2" t="inlineStr">
        <is>
          <t>Wave 1 — Founding cohort</t>
        </is>
      </c>
      <c r="C77" s="2" t="inlineStr">
        <is>
          <t>UPK2-LM-356</t>
        </is>
      </c>
      <c r="D77" s="2" t="inlineStr">
        <is>
          <t>Ashish Sahi</t>
        </is>
      </c>
      <c r="E77" s="2" t="inlineStr">
        <is>
          <t>Lens &amp; Motion</t>
        </is>
      </c>
      <c r="F77" s="2" t="inlineStr">
        <is>
          <t>LM-ARCH-INTERIOR</t>
        </is>
      </c>
      <c r="G77" s="2" t="inlineStr">
        <is>
          <t>Home &amp; Space</t>
        </is>
      </c>
      <c r="H77" s="2" t="inlineStr">
        <is>
          <t>Fashion, interiors &amp; architecture photographer</t>
        </is>
      </c>
      <c r="I77" s="2" t="inlineStr">
        <is>
          <t>Mumbai</t>
        </is>
      </c>
      <c r="J77" s="2" t="inlineStr">
        <is>
          <t>C — Strong Mid-tier</t>
        </is>
      </c>
      <c r="K77" s="2" t="inlineStr">
        <is>
          <t>Solo/Freelancer</t>
        </is>
      </c>
      <c r="L77" s="2" t="inlineStr">
        <is>
          <t>P0</t>
        </is>
      </c>
      <c r="M77" s="2" t="inlineStr">
        <is>
          <t>P1</t>
        </is>
      </c>
      <c r="N77" s="2" t="n">
        <v>75.40000000000001</v>
      </c>
      <c r="O77" s="2" t="n">
        <v>78</v>
      </c>
      <c r="P77" s="2" t="n">
        <v>71.8</v>
      </c>
      <c r="Q77" s="2" t="n">
        <v>77</v>
      </c>
      <c r="R77" s="2" t="n">
        <v>55</v>
      </c>
      <c r="S77" s="2" t="inlineStr">
        <is>
          <t>C1-DIRECT-VERIFIED</t>
        </is>
      </c>
      <c r="T77" s="2" t="inlineStr">
        <is>
          <t>Personal 1:1 email from founder/team to published business email</t>
        </is>
      </c>
      <c r="U77" s="2" t="inlineStr">
        <is>
          <t>https://www.ashishsahi.com/</t>
        </is>
      </c>
      <c r="V77" s="2" t="inlineStr">
        <is>
          <t>2026-07 — photo credit on The Architects Diary project feature (https://thearchitectsdiary.com/an-immersive-art-experience-beyond-the-sales…</t>
        </is>
      </c>
      <c r="W77" s="2" t="inlineStr">
        <is>
          <t>Commissioned project photography credited by design publications; enquiry route on own site</t>
        </is>
      </c>
      <c r="X77" s="2" t="inlineStr"/>
      <c r="Y77" s="2" t="inlineStr">
        <is>
          <t>Readiness 75 (top 23% in category) | Commercial: Commissioned project photography credited by design publications; enquiry route on own si… | Active: 2026-07 — photo credit on The Architects Diary project feature (https…</t>
        </is>
      </c>
      <c r="Z77" s="2" t="inlineStr">
        <is>
          <t>Lead with a specific project they documented. Link to the Home &amp; Space pod (studios and makers).</t>
        </is>
      </c>
      <c r="AA77" s="2" t="inlineStr">
        <is>
          <t>Work is commission/referral-driven through architect networks; may not see need for a marketplace</t>
        </is>
      </c>
      <c r="AB77" s="2" t="inlineStr">
        <is>
          <t>Leads via referrals/portals; off-platform contact; time to maintain another profile</t>
        </is>
      </c>
      <c r="AC77" s="2" t="inlineStr">
        <is>
          <t>E03-CTA-B Written terms + registration link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</row>
    <row r="78">
      <c r="A78" s="2" t="n">
        <v>77</v>
      </c>
      <c r="B78" s="2" t="inlineStr">
        <is>
          <t>Wave 1 — Founding cohort</t>
        </is>
      </c>
      <c r="C78" s="2" t="inlineStr">
        <is>
          <t>UPK2-LM-225</t>
        </is>
      </c>
      <c r="D78" s="2" t="inlineStr">
        <is>
          <t>A.Rrajani Photography</t>
        </is>
      </c>
      <c r="E78" s="2" t="inlineStr">
        <is>
          <t>Lens &amp; Motion</t>
        </is>
      </c>
      <c r="F78" s="2" t="inlineStr">
        <is>
          <t>LM-COMMERCIAL-FASHION</t>
        </is>
      </c>
      <c r="G78" s="2" t="inlineStr">
        <is>
          <t>Brand &amp; Everyday Style</t>
        </is>
      </c>
      <c r="H78" s="2" t="inlineStr">
        <is>
          <t>Fashion, portfolio, celebrity &amp; advertising photographer</t>
        </is>
      </c>
      <c r="I78" s="2" t="inlineStr">
        <is>
          <t>Mumbai</t>
        </is>
      </c>
      <c r="J78" s="2" t="inlineStr">
        <is>
          <t>C — Strong Mid-tier</t>
        </is>
      </c>
      <c r="K78" s="2" t="inlineStr">
        <is>
          <t>Solo/Freelancer</t>
        </is>
      </c>
      <c r="L78" s="2" t="inlineStr">
        <is>
          <t>P0</t>
        </is>
      </c>
      <c r="M78" s="2" t="inlineStr">
        <is>
          <t>P1</t>
        </is>
      </c>
      <c r="N78" s="2" t="n">
        <v>76.40000000000001</v>
      </c>
      <c r="O78" s="2" t="n">
        <v>87</v>
      </c>
      <c r="P78" s="2" t="n">
        <v>73.8</v>
      </c>
      <c r="Q78" s="2" t="n">
        <v>82</v>
      </c>
      <c r="R78" s="2" t="n">
        <v>55</v>
      </c>
      <c r="S78" s="2" t="inlineStr">
        <is>
          <t>C1-DIRECT-VERIFIED</t>
        </is>
      </c>
      <c r="T78" s="2" t="inlineStr">
        <is>
          <t>Personal 1:1 email from founder/team to published business email</t>
        </is>
      </c>
      <c r="U78" s="2" t="inlineStr">
        <is>
          <t>https://www.a-rrajani.com/contact-andheri-mumbai/</t>
        </is>
      </c>
      <c r="V78" s="2" t="inlineStr">
        <is>
          <t>2026 — site copyright/dated content 2026 (own site)</t>
        </is>
      </c>
      <c r="W78" s="2" t="inlineStr">
        <is>
          <t>Commissioned project photography credited by design publications; enquiry route on own site</t>
        </is>
      </c>
      <c r="X78" s="2" t="inlineStr"/>
      <c r="Y78" s="2" t="inlineStr">
        <is>
          <t>Readiness 76 (top 14% in category) | Commercial: Commissioned project photography credited by design publications; enquiry route on own si… | Active: 2026 — site copyright/dated content 2026 (own site)</t>
        </is>
      </c>
      <c r="Z78" s="2" t="inlineStr">
        <is>
          <t>Lead with product/fashion work. Link to labels in the Brand &amp; Everyday Style pod.</t>
        </is>
      </c>
      <c r="AA78" s="2" t="inlineStr">
        <is>
          <t>Work is commission/referral-driven through architect networks; may not see need for a marketplace</t>
        </is>
      </c>
      <c r="AB78" s="2" t="inlineStr">
        <is>
          <t>Leads via referrals/portals; off-platform contact; time to maintain another profile</t>
        </is>
      </c>
      <c r="AC78" s="2" t="inlineStr">
        <is>
          <t>E03-CTA-A Reply/15-min call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</row>
    <row r="79">
      <c r="A79" s="2" t="n">
        <v>78</v>
      </c>
      <c r="B79" s="2" t="inlineStr">
        <is>
          <t>Wave 1 — Founding cohort</t>
        </is>
      </c>
      <c r="C79" s="2" t="inlineStr">
        <is>
          <t>UPK2-LM-002</t>
        </is>
      </c>
      <c r="D79" s="2" t="inlineStr">
        <is>
          <t>Oragraphy</t>
        </is>
      </c>
      <c r="E79" s="2" t="inlineStr">
        <is>
          <t>Lens &amp; Motion</t>
        </is>
      </c>
      <c r="F79" s="2" t="inlineStr">
        <is>
          <t>LM-WEDDING</t>
        </is>
      </c>
      <c r="G79" s="2" t="inlineStr">
        <is>
          <t>Wedding &amp; Occasion</t>
        </is>
      </c>
      <c r="H79" s="2" t="inlineStr">
        <is>
          <t>Wedding photography &amp; films</t>
        </is>
      </c>
      <c r="I79" s="2" t="inlineStr">
        <is>
          <t>Mumbai</t>
        </is>
      </c>
      <c r="J79" s="2" t="inlineStr">
        <is>
          <t>C — Strong Mid-tier</t>
        </is>
      </c>
      <c r="K79" s="2" t="inlineStr">
        <is>
          <t>Photography/film studio</t>
        </is>
      </c>
      <c r="L79" s="2" t="inlineStr">
        <is>
          <t>P0</t>
        </is>
      </c>
      <c r="M79" s="2" t="inlineStr">
        <is>
          <t>P1</t>
        </is>
      </c>
      <c r="N79" s="2" t="n">
        <v>76.8</v>
      </c>
      <c r="O79" s="2" t="n">
        <v>88</v>
      </c>
      <c r="P79" s="2" t="n">
        <v>71.5</v>
      </c>
      <c r="Q79" s="2" t="n">
        <v>77</v>
      </c>
      <c r="R79" s="2" t="n">
        <v>50</v>
      </c>
      <c r="S79" s="2" t="inlineStr">
        <is>
          <t>C1-DIRECT-VERIFIED</t>
        </is>
      </c>
      <c r="T79" s="2" t="inlineStr">
        <is>
          <t>Personal 1:1 email from founder/team to published business email</t>
        </is>
      </c>
      <c r="U79" s="2" t="inlineStr">
        <is>
          <t>https://www.oragraphy.com/contact-us-6/</t>
        </is>
      </c>
      <c r="V79" s="2" t="inlineStr">
        <is>
          <t>2026-09 — latest dated item on WeddingSutra Favorites profile (weddingsutra.com)</t>
        </is>
      </c>
      <c r="W79" s="2" t="inlineStr">
        <is>
          <t>Real-wedding features credited on WeddingSutra (e.g. Aaghna and Vishal, Hyatt Regency Danang Resort and Spa, Vietnam Fusing th)</t>
        </is>
      </c>
      <c r="X79" s="2" t="inlineStr">
        <is>
          <t>WeddingSutra (WeddingSutra Favorites vendor profile (curated listing))</t>
        </is>
      </c>
      <c r="Y79" s="2" t="inlineStr">
        <is>
          <t>Readiness 77 (top 13% in category) | Commercial: Real-wedding features credited on WeddingSutra (e.g. Aaghna and Vishal, Hyatt Regency Dan… | Active: 2026-09 — latest dated item on WeddingSutra Favorites profile (weddin…</t>
        </is>
      </c>
      <c r="Z79" s="2" t="inlineStr">
        <is>
          <t>Lead with a specific film or series. Photographers sit at the centre of the wedding ecosystem — invite as a founding peer of designers, MUAs and planners.</t>
        </is>
      </c>
      <c r="AA79" s="2" t="inlineStr">
        <is>
          <t>Established enquiry pipeline via WeddingSutra Favorites, own site and Instagram</t>
        </is>
      </c>
      <c r="AB79" s="2" t="inlineStr">
        <is>
          <t>Leads via referrals/portals; off-platform contact; time to maintain another profile</t>
        </is>
      </c>
      <c r="AC79" s="2" t="inlineStr">
        <is>
          <t>E03-CTA-B Written terms + registration link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</row>
    <row r="80">
      <c r="A80" s="2" t="n">
        <v>79</v>
      </c>
      <c r="B80" s="2" t="inlineStr">
        <is>
          <t>Wave 1 — Founding cohort</t>
        </is>
      </c>
      <c r="C80" s="2" t="inlineStr">
        <is>
          <t>UPK2-LM-209</t>
        </is>
      </c>
      <c r="D80" s="2" t="inlineStr">
        <is>
          <t>Dee Color Photography</t>
        </is>
      </c>
      <c r="E80" s="2" t="inlineStr">
        <is>
          <t>Lens &amp; Motion</t>
        </is>
      </c>
      <c r="F80" s="2" t="inlineStr">
        <is>
          <t>LM-WEDDING</t>
        </is>
      </c>
      <c r="G80" s="2" t="inlineStr">
        <is>
          <t>Wedding &amp; Occasion</t>
        </is>
      </c>
      <c r="H80" s="2" t="inlineStr">
        <is>
          <t>Wedding photography &amp; cinematography (candid, pre-wedding)</t>
        </is>
      </c>
      <c r="I80" s="2" t="inlineStr">
        <is>
          <t>Delhi NCR</t>
        </is>
      </c>
      <c r="J80" s="2" t="inlineStr">
        <is>
          <t>B — Established Independent</t>
        </is>
      </c>
      <c r="K80" s="2" t="inlineStr">
        <is>
          <t>Independent wedding photography/film studio</t>
        </is>
      </c>
      <c r="L80" s="2" t="inlineStr">
        <is>
          <t>P0</t>
        </is>
      </c>
      <c r="M80" s="2" t="inlineStr">
        <is>
          <t>P0</t>
        </is>
      </c>
      <c r="N80" s="2" t="n">
        <v>81.59999999999999</v>
      </c>
      <c r="O80" s="2" t="n">
        <v>99</v>
      </c>
      <c r="P80" s="2" t="n">
        <v>69.8</v>
      </c>
      <c r="Q80" s="2" t="n">
        <v>78</v>
      </c>
      <c r="R80" s="2" t="n">
        <v>28</v>
      </c>
      <c r="S80" s="2" t="inlineStr">
        <is>
          <t>C1-DIRECT-VERIFIED</t>
        </is>
      </c>
      <c r="T80" s="2" t="inlineStr">
        <is>
          <t>Personal 1:1 email from founder/team to published business email</t>
        </is>
      </c>
      <c r="U80" s="2" t="inlineStr">
        <is>
          <t>https://deecolor.com/</t>
        </is>
      </c>
      <c r="V80" s="2" t="inlineStr">
        <is>
          <t>2026-09 — latest sitemap lastmod on own website (https://deecolor.com/sitemap.xml; may be CMS-generated, weaker evidence); last WedMeGood r…</t>
        </is>
      </c>
      <c r="W80" s="2" t="inlineStr">
        <is>
          <t>41 WedMeGood client reviews, rating 5</t>
        </is>
      </c>
      <c r="X80" s="2" t="inlineStr">
        <is>
          <t>WedMeGood (vendor listing (Lite))</t>
        </is>
      </c>
      <c r="Y80" s="2" t="inlineStr">
        <is>
          <t>Readiness 82 (top 2% in category) | Commercial: 41 WedMeGood client reviews, rating 5 | Active: 2026-09 — latest sitemap lastmod on own website (https://deecolor.com… | Independent/emerging tier — fame not a factor</t>
        </is>
      </c>
      <c r="Z80" s="2" t="inlineStr">
        <is>
          <t>Lead with a specific film or series. Photographers sit at the centre of the wedding ecosystem — invite as a founding peer of designers, MUAs and planners.</t>
        </is>
      </c>
      <c r="AA80" s="2" t="inlineStr">
        <is>
          <t>Already gets wedding leads via WedMeGood and Instagram; may question value of another platform.</t>
        </is>
      </c>
      <c r="AB80" s="2" t="inlineStr">
        <is>
          <t>Leads via referrals/portals; off-platform contact; time to maintain another profile</t>
        </is>
      </c>
      <c r="AC80" s="2" t="inlineStr">
        <is>
          <t>E03-CTA-A Reply/15-min call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</row>
    <row r="81">
      <c r="A81" s="2" t="n">
        <v>80</v>
      </c>
      <c r="B81" s="2" t="inlineStr">
        <is>
          <t>Wave 1 — Founding cohort</t>
        </is>
      </c>
      <c r="C81" s="2" t="inlineStr">
        <is>
          <t>UPK2-LM-220</t>
        </is>
      </c>
      <c r="D81" s="2" t="inlineStr">
        <is>
          <t>Aureate Weddings</t>
        </is>
      </c>
      <c r="E81" s="2" t="inlineStr">
        <is>
          <t>Lens &amp; Motion</t>
        </is>
      </c>
      <c r="F81" s="2" t="inlineStr">
        <is>
          <t>LM-WEDDING</t>
        </is>
      </c>
      <c r="G81" s="2" t="inlineStr">
        <is>
          <t>Wedding &amp; Occasion</t>
        </is>
      </c>
      <c r="H81" s="2" t="inlineStr">
        <is>
          <t>Wedding photography &amp; cinematography (candid, pre-wedding)</t>
        </is>
      </c>
      <c r="I81" s="2" t="inlineStr">
        <is>
          <t>Delhi NCR</t>
        </is>
      </c>
      <c r="J81" s="2" t="inlineStr">
        <is>
          <t>B — Established Independent</t>
        </is>
      </c>
      <c r="K81" s="2" t="inlineStr">
        <is>
          <t>Independent wedding photography/film studio</t>
        </is>
      </c>
      <c r="L81" s="2" t="inlineStr">
        <is>
          <t>P0</t>
        </is>
      </c>
      <c r="M81" s="2" t="inlineStr">
        <is>
          <t>P0</t>
        </is>
      </c>
      <c r="N81" s="2" t="n">
        <v>80.8</v>
      </c>
      <c r="O81" s="2" t="n">
        <v>99</v>
      </c>
      <c r="P81" s="2" t="n">
        <v>68.8</v>
      </c>
      <c r="Q81" s="2" t="n">
        <v>76</v>
      </c>
      <c r="R81" s="2" t="n">
        <v>28</v>
      </c>
      <c r="S81" s="2" t="inlineStr">
        <is>
          <t>C1-DIRECT-VERIFIED</t>
        </is>
      </c>
      <c r="T81" s="2" t="inlineStr">
        <is>
          <t>Personal 1:1 email from founder/team to published business email</t>
        </is>
      </c>
      <c r="U81" s="2" t="inlineStr">
        <is>
          <t>https://aureateweddings.com/</t>
        </is>
      </c>
      <c r="V81" s="2" t="inlineStr">
        <is>
          <t>2026-09 — latest WedMeGood client review (https://www.wedmegood.com/profile/Aureate-Weddings-26157180)</t>
        </is>
      </c>
      <c r="W81" s="2" t="inlineStr">
        <is>
          <t>39 WedMeGood client reviews, rating 5</t>
        </is>
      </c>
      <c r="X81" s="2" t="inlineStr">
        <is>
          <t>WedMeGood (vendor listing (Popular))</t>
        </is>
      </c>
      <c r="Y81" s="2" t="inlineStr">
        <is>
          <t>Readiness 81 (top 2% in category) | Commercial: 39 WedMeGood client reviews, rating 5 | Active: 2026-09 — latest WedMeGood client review (https://www.wedmegood.com/p… | Independent/emerging tier — fame not a factor</t>
        </is>
      </c>
      <c r="Z81" s="2" t="inlineStr">
        <is>
          <t>Lead with a specific film or series. Photographers sit at the centre of the wedding ecosystem — invite as a founding peer of designers, MUAs and planners.</t>
        </is>
      </c>
      <c r="AA81" s="2" t="inlineStr">
        <is>
          <t>Already gets wedding leads via WedMeGood and Instagram; may question value of another platform.</t>
        </is>
      </c>
      <c r="AB81" s="2" t="inlineStr">
        <is>
          <t>Leads via referrals/portals; off-platform contact; time to maintain another profile</t>
        </is>
      </c>
      <c r="AC81" s="2" t="inlineStr">
        <is>
          <t>E03-CTA-B Written terms + registration link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</row>
    <row r="82">
      <c r="A82" s="2" t="n">
        <v>81</v>
      </c>
      <c r="B82" s="2" t="inlineStr">
        <is>
          <t>Wave 1 — Founding cohort</t>
        </is>
      </c>
      <c r="C82" s="2" t="inlineStr">
        <is>
          <t>UPK2-LM-217</t>
        </is>
      </c>
      <c r="D82" s="2" t="inlineStr">
        <is>
          <t>Bloomsco</t>
        </is>
      </c>
      <c r="E82" s="2" t="inlineStr">
        <is>
          <t>Lens &amp; Motion</t>
        </is>
      </c>
      <c r="F82" s="2" t="inlineStr">
        <is>
          <t>LM-WEDDING</t>
        </is>
      </c>
      <c r="G82" s="2" t="inlineStr">
        <is>
          <t>Wedding &amp; Occasion</t>
        </is>
      </c>
      <c r="H82" s="2" t="inlineStr">
        <is>
          <t>Wedding photography &amp; cinematography (candid)</t>
        </is>
      </c>
      <c r="I82" s="2" t="inlineStr">
        <is>
          <t>Jaipur</t>
        </is>
      </c>
      <c r="J82" s="2" t="inlineStr">
        <is>
          <t>B — Established Independent</t>
        </is>
      </c>
      <c r="K82" s="2" t="inlineStr">
        <is>
          <t>Independent wedding photography/film studio</t>
        </is>
      </c>
      <c r="L82" s="2" t="inlineStr">
        <is>
          <t>P0</t>
        </is>
      </c>
      <c r="M82" s="2" t="inlineStr">
        <is>
          <t>P0</t>
        </is>
      </c>
      <c r="N82" s="2" t="n">
        <v>82.5</v>
      </c>
      <c r="O82" s="2" t="n">
        <v>100</v>
      </c>
      <c r="P82" s="2" t="n">
        <v>70.2</v>
      </c>
      <c r="Q82" s="2" t="n">
        <v>76</v>
      </c>
      <c r="R82" s="2" t="n">
        <v>31</v>
      </c>
      <c r="S82" s="2" t="inlineStr">
        <is>
          <t>C1-DIRECT-VERIFIED</t>
        </is>
      </c>
      <c r="T82" s="2" t="inlineStr">
        <is>
          <t>1:1 message via own-website contact form</t>
        </is>
      </c>
      <c r="U82" s="2" t="inlineStr">
        <is>
          <t>https://bloomsco.in/contact/</t>
        </is>
      </c>
      <c r="V82" s="2" t="inlineStr">
        <is>
          <t>2026-01 — latest WedMeGood client review (https://www.wedmegood.com/profile/Bloomsco-1452492)</t>
        </is>
      </c>
      <c r="W82" s="2" t="inlineStr">
        <is>
          <t>49 WedMeGood client reviews, rating 4.8</t>
        </is>
      </c>
      <c r="X82" s="2" t="inlineStr">
        <is>
          <t>WedMeGood (vendor listing (Lite))</t>
        </is>
      </c>
      <c r="Y82" s="2" t="inlineStr">
        <is>
          <t>Readiness 82 (top 1% in category) | Commercial: 49 WedMeGood client reviews, rating 4.8 | Active: 2026-01 — latest WedMeGood client review (https://www.wedmegood.com/p… | Independent/emerging tier — fame not a factor</t>
        </is>
      </c>
      <c r="Z82" s="2" t="inlineStr">
        <is>
          <t>Lead with a specific film or series. Photographers sit at the centre of the wedding ecosystem — invite as a founding peer of designers, MUAs and planners.</t>
        </is>
      </c>
      <c r="AA82" s="2" t="inlineStr">
        <is>
          <t>Already gets wedding leads via WedMeGood and Instagram; may question value of another platform.</t>
        </is>
      </c>
      <c r="AB82" s="2" t="inlineStr">
        <is>
          <t>Leads via referrals/portals; off-platform contact; time to maintain another profile</t>
        </is>
      </c>
      <c r="AC82" s="2" t="inlineStr">
        <is>
          <t>E03-CTA-A Reply/15-min call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</row>
    <row r="83">
      <c r="A83" s="2" t="n">
        <v>82</v>
      </c>
      <c r="B83" s="2" t="inlineStr">
        <is>
          <t>Wave 1 — Founding cohort</t>
        </is>
      </c>
      <c r="C83" s="2" t="inlineStr">
        <is>
          <t>UPK2-LM-277</t>
        </is>
      </c>
      <c r="D83" s="2" t="inlineStr">
        <is>
          <t>Mohsin Taha Photography</t>
        </is>
      </c>
      <c r="E83" s="2" t="inlineStr">
        <is>
          <t>Lens &amp; Motion</t>
        </is>
      </c>
      <c r="F83" s="2" t="inlineStr">
        <is>
          <t>LM-ARCH-INTERIOR</t>
        </is>
      </c>
      <c r="G83" s="2" t="inlineStr">
        <is>
          <t>Home &amp; Space</t>
        </is>
      </c>
      <c r="H83" s="2" t="inlineStr">
        <is>
          <t>Architecture, spaces, hotel &amp; industrial photographer</t>
        </is>
      </c>
      <c r="I83" s="2" t="inlineStr">
        <is>
          <t>Mumbai</t>
        </is>
      </c>
      <c r="J83" s="2" t="inlineStr">
        <is>
          <t>B — Established Independent</t>
        </is>
      </c>
      <c r="K83" s="2" t="inlineStr">
        <is>
          <t>Solo/Freelancer</t>
        </is>
      </c>
      <c r="L83" s="2" t="inlineStr">
        <is>
          <t>P0</t>
        </is>
      </c>
      <c r="M83" s="2" t="inlineStr">
        <is>
          <t>P0</t>
        </is>
      </c>
      <c r="N83" s="2" t="n">
        <v>74.2</v>
      </c>
      <c r="O83" s="2" t="n">
        <v>75</v>
      </c>
      <c r="P83" s="2" t="n">
        <v>68.2</v>
      </c>
      <c r="Q83" s="2" t="n">
        <v>77</v>
      </c>
      <c r="R83" s="2" t="n">
        <v>40</v>
      </c>
      <c r="S83" s="2" t="inlineStr">
        <is>
          <t>C1-DIRECT-VERIFIED</t>
        </is>
      </c>
      <c r="T83" s="2" t="inlineStr">
        <is>
          <t>Personal 1:1 email from founder/team to published business email</t>
        </is>
      </c>
      <c r="U83" s="2" t="inlineStr">
        <is>
          <t>https://www.mohsintaha.com/</t>
        </is>
      </c>
      <c r="V83" s="2" t="inlineStr">
        <is>
          <t>2026-07 — photo credit on The Architects Diary project feature (https://thearchitectsdiary.com/this-wellness-center-is-inspired-by-the-surr…</t>
        </is>
      </c>
      <c r="W83" s="2" t="inlineStr">
        <is>
          <t>Commissioned project photography credited by design publications; enquiry route on own site</t>
        </is>
      </c>
      <c r="X83" s="2" t="inlineStr"/>
      <c r="Y83" s="2" t="inlineStr">
        <is>
          <t>Readiness 74 (top 26% in category) | Commercial: Commissioned project photography credited by design publications; enquiry route on own si… | Active: 2026-07 — photo credit on The Architects Diary project feature (https… | Independent/emerging tier — fame not a factor</t>
        </is>
      </c>
      <c r="Z83" s="2" t="inlineStr">
        <is>
          <t>Lead with a specific project they documented. Link to the Home &amp; Space pod (studios and makers).</t>
        </is>
      </c>
      <c r="AA83" s="2" t="inlineStr">
        <is>
          <t>Work is commission/referral-driven through architect networks; may not see need for a marketplace</t>
        </is>
      </c>
      <c r="AB83" s="2" t="inlineStr">
        <is>
          <t>Leads via referrals/portals; off-platform contact; time to maintain another profile</t>
        </is>
      </c>
      <c r="AC83" s="2" t="inlineStr">
        <is>
          <t>E03-CTA-B Written terms + registration link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</row>
    <row r="84">
      <c r="A84" s="2" t="n">
        <v>83</v>
      </c>
      <c r="B84" s="2" t="inlineStr">
        <is>
          <t>Wave 1 — Founding cohort</t>
        </is>
      </c>
      <c r="C84" s="2" t="inlineStr">
        <is>
          <t>UPK2-LM-353</t>
        </is>
      </c>
      <c r="D84" s="2" t="inlineStr">
        <is>
          <t>The Endless Forms</t>
        </is>
      </c>
      <c r="E84" s="2" t="inlineStr">
        <is>
          <t>Lens &amp; Motion</t>
        </is>
      </c>
      <c r="F84" s="2" t="inlineStr">
        <is>
          <t>LM-ARCH-INTERIOR</t>
        </is>
      </c>
      <c r="G84" s="2" t="inlineStr">
        <is>
          <t>Home &amp; Space</t>
        </is>
      </c>
      <c r="H84" s="2" t="inlineStr">
        <is>
          <t>Commercial photographer &amp; retoucher (architecture, interiors, product/still life)</t>
        </is>
      </c>
      <c r="I84" s="2" t="inlineStr">
        <is>
          <t>Mumbai</t>
        </is>
      </c>
      <c r="J84" s="2" t="inlineStr">
        <is>
          <t>B — Established Independent</t>
        </is>
      </c>
      <c r="K84" s="2" t="inlineStr">
        <is>
          <t>Solo/Freelancer</t>
        </is>
      </c>
      <c r="L84" s="2" t="inlineStr">
        <is>
          <t>P0</t>
        </is>
      </c>
      <c r="M84" s="2" t="inlineStr">
        <is>
          <t>P0</t>
        </is>
      </c>
      <c r="N84" s="2" t="n">
        <v>75.2</v>
      </c>
      <c r="O84" s="2" t="n">
        <v>77</v>
      </c>
      <c r="P84" s="2" t="n">
        <v>67.2</v>
      </c>
      <c r="Q84" s="2" t="n">
        <v>72</v>
      </c>
      <c r="R84" s="2" t="n">
        <v>40</v>
      </c>
      <c r="S84" s="2" t="inlineStr">
        <is>
          <t>C1-DIRECT-VERIFIED</t>
        </is>
      </c>
      <c r="T84" s="2" t="inlineStr">
        <is>
          <t>Personal 1:1 email from founder/team to published business email</t>
        </is>
      </c>
      <c r="U84" s="2" t="inlineStr">
        <is>
          <t>https://yadnyeshjoshi.com/contact</t>
        </is>
      </c>
      <c r="V84" s="2" t="inlineStr">
        <is>
          <t>2026-10 — photo credit on The Architects Diary project feature (https://thearchitectsdiary.com/first-home-introduces-muji-minimalism-to-a-q…</t>
        </is>
      </c>
      <c r="W84" s="2" t="inlineStr">
        <is>
          <t>Commissioned project photography credited by design publications; enquiry route on own site</t>
        </is>
      </c>
      <c r="X84" s="2" t="inlineStr"/>
      <c r="Y84" s="2" t="inlineStr">
        <is>
          <t>Readiness 75 (top 24% in category) | Commercial: Commissioned project photography credited by design publications; enquiry route on own si… | Active: 2026-10 — photo credit on The Architects Diary project feature (https… | Independent/emerging tier — fame not a factor</t>
        </is>
      </c>
      <c r="Z84" s="2" t="inlineStr">
        <is>
          <t>Lead with a specific project they documented. Link to the Home &amp; Space pod (studios and makers).</t>
        </is>
      </c>
      <c r="AA84" s="2" t="inlineStr">
        <is>
          <t>Work is commission/referral-driven through architect networks; may not see need for a marketplace</t>
        </is>
      </c>
      <c r="AB84" s="2" t="inlineStr">
        <is>
          <t>Leads via referrals/portals; off-platform contact; time to maintain another profile</t>
        </is>
      </c>
      <c r="AC84" s="2" t="inlineStr">
        <is>
          <t>E03-CTA-A Reply/15-min call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</row>
    <row r="85">
      <c r="A85" s="2" t="n">
        <v>84</v>
      </c>
      <c r="B85" s="2" t="inlineStr">
        <is>
          <t>Wave 1 — Founding cohort</t>
        </is>
      </c>
      <c r="C85" s="2" t="inlineStr">
        <is>
          <t>UPK2-LM-082</t>
        </is>
      </c>
      <c r="D85" s="2" t="inlineStr">
        <is>
          <t>Filmbaker</t>
        </is>
      </c>
      <c r="E85" s="2" t="inlineStr">
        <is>
          <t>Lens &amp; Motion</t>
        </is>
      </c>
      <c r="F85" s="2" t="inlineStr">
        <is>
          <t>LM-COMMERCIAL-FASHION</t>
        </is>
      </c>
      <c r="G85" s="2" t="inlineStr">
        <is>
          <t>Brand &amp; Everyday Style</t>
        </is>
      </c>
      <c r="H85" s="2" t="inlineStr">
        <is>
          <t>Video production (corporate, digital films, animation)</t>
        </is>
      </c>
      <c r="I85" s="2" t="inlineStr">
        <is>
          <t>Bengaluru</t>
        </is>
      </c>
      <c r="J85" s="2" t="inlineStr">
        <is>
          <t>B — Established Independent</t>
        </is>
      </c>
      <c r="K85" s="2" t="inlineStr">
        <is>
          <t>Video production house</t>
        </is>
      </c>
      <c r="L85" s="2" t="inlineStr">
        <is>
          <t>P0</t>
        </is>
      </c>
      <c r="M85" s="2" t="inlineStr">
        <is>
          <t>P1</t>
        </is>
      </c>
      <c r="N85" s="2" t="n">
        <v>73.5</v>
      </c>
      <c r="O85" s="2" t="n">
        <v>72</v>
      </c>
      <c r="P85" s="2" t="n">
        <v>64.2</v>
      </c>
      <c r="Q85" s="2" t="n">
        <v>68</v>
      </c>
      <c r="R85" s="2" t="n">
        <v>35</v>
      </c>
      <c r="S85" s="2" t="inlineStr">
        <is>
          <t>C1-DIRECT-VERIFIED</t>
        </is>
      </c>
      <c r="T85" s="2" t="inlineStr">
        <is>
          <t>1:1 message via own-website contact form</t>
        </is>
      </c>
      <c r="U85" s="2" t="inlineStr">
        <is>
          <t>https://www.filmbaker.com/get-in-touch</t>
        </is>
      </c>
      <c r="V85" s="2" t="inlineStr">
        <is>
          <t>2026-10 — site live; directory says founded 2017 (designrush)</t>
        </is>
      </c>
      <c r="W85" s="2" t="inlineStr">
        <is>
          <t>Own website advertises paid video production (corporate, digital films, animation) services with enquiry routes</t>
        </is>
      </c>
      <c r="X85" s="2" t="inlineStr"/>
      <c r="Y85" s="2" t="inlineStr">
        <is>
          <t>Readiness 74 (top 29% in category) | Commercial: Own website advertises paid video production (corporate, digital films, animation) servic… | Active: 2026-10 — site live; directory says founded 2017 (designrush) | Independent/emerging tier — fame not a factor</t>
        </is>
      </c>
      <c r="Z85" s="2" t="inlineStr">
        <is>
          <t>Lead with product/fashion work. Link to labels in the Brand &amp; Everyday Style pod.</t>
        </is>
      </c>
      <c r="AA85" s="2" t="inlineStr">
        <is>
          <t>Leads already come via own site/Instagram</t>
        </is>
      </c>
      <c r="AB85" s="2" t="inlineStr">
        <is>
          <t>Leads via referrals/portals; off-platform contact; time to maintain another profile</t>
        </is>
      </c>
      <c r="AC85" s="2" t="inlineStr">
        <is>
          <t>E03-CTA-B Written terms + registration link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</row>
    <row r="86">
      <c r="A86" s="2" t="n">
        <v>85</v>
      </c>
      <c r="B86" s="2" t="inlineStr">
        <is>
          <t>Wave 1 — Founding cohort</t>
        </is>
      </c>
      <c r="C86" s="2" t="inlineStr">
        <is>
          <t>UPK2-LM-068</t>
        </is>
      </c>
      <c r="D86" s="2" t="inlineStr">
        <is>
          <t>Radiance Vision</t>
        </is>
      </c>
      <c r="E86" s="2" t="inlineStr">
        <is>
          <t>Lens &amp; Motion</t>
        </is>
      </c>
      <c r="F86" s="2" t="inlineStr">
        <is>
          <t>LM-COMMERCIAL-FASHION</t>
        </is>
      </c>
      <c r="G86" s="2" t="inlineStr">
        <is>
          <t>Brand &amp; Everyday Style</t>
        </is>
      </c>
      <c r="H86" s="2" t="inlineStr">
        <is>
          <t>Fashion, model portfolio &amp; e-commerce product photography</t>
        </is>
      </c>
      <c r="I86" s="2" t="inlineStr">
        <is>
          <t>Mumbai</t>
        </is>
      </c>
      <c r="J86" s="2" t="inlineStr">
        <is>
          <t>B — Established Independent</t>
        </is>
      </c>
      <c r="K86" s="2" t="inlineStr">
        <is>
          <t>Photography studio</t>
        </is>
      </c>
      <c r="L86" s="2" t="inlineStr">
        <is>
          <t>P0</t>
        </is>
      </c>
      <c r="M86" s="2" t="inlineStr">
        <is>
          <t>P1</t>
        </is>
      </c>
      <c r="N86" s="2" t="n">
        <v>73.5</v>
      </c>
      <c r="O86" s="2" t="n">
        <v>72</v>
      </c>
      <c r="P86" s="2" t="n">
        <v>64.2</v>
      </c>
      <c r="Q86" s="2" t="n">
        <v>68</v>
      </c>
      <c r="R86" s="2" t="n">
        <v>35</v>
      </c>
      <c r="S86" s="2" t="inlineStr">
        <is>
          <t>C1-DIRECT-VERIFIED</t>
        </is>
      </c>
      <c r="T86" s="2" t="inlineStr">
        <is>
          <t>1:1 message via own-website contact form</t>
        </is>
      </c>
      <c r="U86" s="2" t="inlineStr">
        <is>
          <t>https://radiancevision.in/</t>
        </is>
      </c>
      <c r="V86" s="2" t="inlineStr">
        <is>
          <t>2026-10 — site live (radiancevision.in); companion site ecommercephotographyindia.com shares the same phone numbers</t>
        </is>
      </c>
      <c r="W86" s="2" t="inlineStr">
        <is>
          <t>Own website advertises paid fashion, model portfolio &amp; e-commerce product photography services with enquiry routes</t>
        </is>
      </c>
      <c r="X86" s="2" t="inlineStr"/>
      <c r="Y86" s="2" t="inlineStr">
        <is>
          <t>Readiness 74 (top 29% in category) | Commercial: Own website advertises paid fashion, model portfolio &amp; e-commerce product photography ser… | Active: 2026-10 — site live (radiancevision.in); companion site ecommercephot… | Independent/emerging tier — fame not a factor</t>
        </is>
      </c>
      <c r="Z86" s="2" t="inlineStr">
        <is>
          <t>Lead with product/fashion work. Link to labels in the Brand &amp; Everyday Style pod.</t>
        </is>
      </c>
      <c r="AA86" s="2" t="inlineStr">
        <is>
          <t>Leads already come via own site/Instagram</t>
        </is>
      </c>
      <c r="AB86" s="2" t="inlineStr">
        <is>
          <t>Leads via referrals/portals; off-platform contact; time to maintain another profile</t>
        </is>
      </c>
      <c r="AC86" s="2" t="inlineStr">
        <is>
          <t>E03-CTA-A Reply/15-min call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</row>
    <row r="87">
      <c r="A87" s="2" t="n">
        <v>86</v>
      </c>
      <c r="B87" s="2" t="inlineStr">
        <is>
          <t>Wave 1 — Founding cohort</t>
        </is>
      </c>
      <c r="C87" s="2" t="inlineStr">
        <is>
          <t>UPK2-CM-007</t>
        </is>
      </c>
      <c r="D87" s="2" t="inlineStr">
        <is>
          <t>Moonshine and Sunlight</t>
        </is>
      </c>
      <c r="E87" s="2" t="inlineStr">
        <is>
          <t>Content &amp; Media</t>
        </is>
      </c>
      <c r="F87" s="2" t="inlineStr">
        <is>
          <t>CM-BLOGGER-WRITER</t>
        </is>
      </c>
      <c r="G87" s="2" t="inlineStr">
        <is>
          <t>Brand &amp; Everyday Style</t>
        </is>
      </c>
      <c r="H87" s="2" t="inlineStr">
        <is>
          <t>Beauty, skincare &amp; midsize-fashion blogger/creator</t>
        </is>
      </c>
      <c r="I87" s="2" t="inlineStr">
        <is>
          <t>Bengaluru</t>
        </is>
      </c>
      <c r="J87" s="2" t="inlineStr">
        <is>
          <t>B — Established Independent</t>
        </is>
      </c>
      <c r="K87" s="2" t="inlineStr">
        <is>
          <t>Independent creator/blog</t>
        </is>
      </c>
      <c r="L87" s="2" t="inlineStr">
        <is>
          <t>P0</t>
        </is>
      </c>
      <c r="M87" s="2" t="inlineStr">
        <is>
          <t>P0</t>
        </is>
      </c>
      <c r="N87" s="2" t="n">
        <v>74</v>
      </c>
      <c r="O87" s="2" t="n">
        <v>98</v>
      </c>
      <c r="P87" s="2" t="n">
        <v>64</v>
      </c>
      <c r="Q87" s="2" t="n">
        <v>70</v>
      </c>
      <c r="R87" s="2" t="n">
        <v>30</v>
      </c>
      <c r="S87" s="2" t="inlineStr">
        <is>
          <t>C1-DIRECT-VERIFIED</t>
        </is>
      </c>
      <c r="T87" s="2" t="inlineStr">
        <is>
          <t>Personal 1:1 email from founder/team to published business email</t>
        </is>
      </c>
      <c r="U87" s="2" t="inlineStr">
        <is>
          <t>https://www.moonshineandsunlight.com/p/contac.html</t>
        </is>
      </c>
      <c r="V87" s="2" t="inlineStr">
        <is>
          <t>2026 — posts dated 2026 on homepage</t>
        </is>
      </c>
      <c r="W87" s="2" t="inlineStr">
        <is>
          <t>Dedicated contact page for brand enquiries; listed on Feedspot Indian skincare &amp; fashion blogs</t>
        </is>
      </c>
      <c r="X87" s="2" t="inlineStr">
        <is>
          <t>Feedspot (Listed blog)</t>
        </is>
      </c>
      <c r="Y87" s="2" t="inlineStr">
        <is>
          <t>Readiness 74 (top 3% in category) | Commercial: Dedicated contact page for brand enquiries; listed on Feedspot Indian skincare &amp; fashion… | Active: 2026 — posts dated 2026 on homepage | Independent/emerging tier — fame not a factor</t>
        </is>
      </c>
      <c r="Z87" s="2" t="inlineStr">
        <is>
          <t>Lead with their writing/beat. Content work as a professional service for brands; clients, not audience.</t>
        </is>
      </c>
      <c r="AA87" s="2" t="inlineStr">
        <is>
          <t>Works through agencies/creator platforms; wants evidence brands are on the platform.</t>
        </is>
      </c>
      <c r="AB87" s="2" t="inlineStr">
        <is>
          <t>Work via agencies/creator platforms; wants proof brands/clients are present</t>
        </is>
      </c>
      <c r="AC87" s="2" t="inlineStr">
        <is>
          <t>E03-CTA-B Written terms + registration link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</row>
    <row r="88">
      <c r="A88" s="2" t="n">
        <v>87</v>
      </c>
      <c r="B88" s="2" t="inlineStr">
        <is>
          <t>Wave 1 — Founding cohort</t>
        </is>
      </c>
      <c r="C88" s="2" t="inlineStr">
        <is>
          <t>UPK2-CM-045</t>
        </is>
      </c>
      <c r="D88" s="2" t="inlineStr">
        <is>
          <t>Krishna (Emcee Krishna)</t>
        </is>
      </c>
      <c r="E88" s="2" t="inlineStr">
        <is>
          <t>Content &amp; Media</t>
        </is>
      </c>
      <c r="F88" s="2" t="inlineStr">
        <is>
          <t>CM-EMCEE-HOST</t>
        </is>
      </c>
      <c r="G88" s="2" t="inlineStr">
        <is>
          <t>Wedding &amp; Occasion</t>
        </is>
      </c>
      <c r="H88" s="2" t="inlineStr">
        <is>
          <t>Wedding &amp; event emcee / anchor</t>
        </is>
      </c>
      <c r="I88" s="2" t="inlineStr">
        <is>
          <t>Mumbai</t>
        </is>
      </c>
      <c r="J88" s="2" t="inlineStr">
        <is>
          <t>B — Established Independent</t>
        </is>
      </c>
      <c r="K88" s="2" t="inlineStr">
        <is>
          <t>Independent professional</t>
        </is>
      </c>
      <c r="L88" s="2" t="inlineStr">
        <is>
          <t>P0</t>
        </is>
      </c>
      <c r="M88" s="2" t="inlineStr">
        <is>
          <t>P0</t>
        </is>
      </c>
      <c r="N88" s="2" t="n">
        <v>73.8</v>
      </c>
      <c r="O88" s="2" t="n">
        <v>97</v>
      </c>
      <c r="P88" s="2" t="n">
        <v>60.2</v>
      </c>
      <c r="Q88" s="2" t="n">
        <v>65</v>
      </c>
      <c r="R88" s="2" t="n">
        <v>19</v>
      </c>
      <c r="S88" s="2" t="inlineStr">
        <is>
          <t>C3-PRO-SOCIAL</t>
        </is>
      </c>
      <c r="T88" s="2" t="inlineStr">
        <is>
          <t>1:1 Instagram DM from Uepaki professional account</t>
        </is>
      </c>
      <c r="U88" s="2" t="inlineStr">
        <is>
          <t>https://www.instagram.com/emceekrishna</t>
        </is>
      </c>
      <c r="V88" s="2" t="inlineStr">
        <is>
          <t>2026-06 — WeddingSutra vendor profile updated; latest WedMeGood review 2024-01-06</t>
        </is>
      </c>
      <c r="W88" s="2" t="inlineStr">
        <is>
          <t>Listed by WeddingSutra as a wedding emcee serving Mumbai; WedMeGood lists starting price ₹Price on Request and 19 reviews</t>
        </is>
      </c>
      <c r="X88" s="2" t="inlineStr">
        <is>
          <t>WeddingSutra (vendor showcase profile (Emcees)); WedMeGood (vendor profile (Lite listing; 19 reviews))</t>
        </is>
      </c>
      <c r="Y88" s="2" t="inlineStr">
        <is>
          <t>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  <c r="Z88" s="2" t="inlineStr">
        <is>
          <t>Lead with the event formats they host. Services as a professional; clients, not followers.</t>
        </is>
      </c>
      <c r="AA88" s="2" t="inlineStr">
        <is>
          <t>Gets bookings via Instagram and wedding marketplaces already; may see another profile as low priority.</t>
        </is>
      </c>
      <c r="AB88" s="2" t="inlineStr">
        <is>
          <t>Work via agencies/creator platforms; wants proof brands/clients are present</t>
        </is>
      </c>
      <c r="AC88" s="2" t="inlineStr">
        <is>
          <t>E03-CTA-A Reply/15-min call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</row>
    <row r="89">
      <c r="A89" s="2" t="n">
        <v>88</v>
      </c>
      <c r="B89" s="2" t="inlineStr">
        <is>
          <t>Wave 1 — Founding cohort</t>
        </is>
      </c>
      <c r="C89" s="2" t="inlineStr">
        <is>
          <t>UPK2-CM-006</t>
        </is>
      </c>
      <c r="D89" s="2" t="inlineStr">
        <is>
          <t>Tie The Feed</t>
        </is>
      </c>
      <c r="E89" s="2" t="inlineStr">
        <is>
          <t>Content &amp; Media</t>
        </is>
      </c>
      <c r="F89" s="2" t="inlineStr">
        <is>
          <t>CM-CONTENT-CREATOR</t>
        </is>
      </c>
      <c r="G89" s="2" t="inlineStr">
        <is>
          <t>Wedding &amp; Occasion</t>
        </is>
      </c>
      <c r="H89" s="2" t="inlineStr">
        <is>
          <t>Wedding content creation</t>
        </is>
      </c>
      <c r="I89" s="2" t="inlineStr">
        <is>
          <t>Jaipur</t>
        </is>
      </c>
      <c r="J89" s="2" t="inlineStr">
        <is>
          <t>A — Emerging / High-potential</t>
        </is>
      </c>
      <c r="K89" s="2" t="inlineStr">
        <is>
          <t>Studio/team</t>
        </is>
      </c>
      <c r="L89" s="2" t="inlineStr">
        <is>
          <t>P0</t>
        </is>
      </c>
      <c r="M89" s="2" t="inlineStr">
        <is>
          <t>P0</t>
        </is>
      </c>
      <c r="N89" s="2" t="n">
        <v>68.2</v>
      </c>
      <c r="O89" s="2" t="n">
        <v>76</v>
      </c>
      <c r="P89" s="2" t="n">
        <v>56.7</v>
      </c>
      <c r="Q89" s="2" t="n">
        <v>62</v>
      </c>
      <c r="R89" s="2" t="n">
        <v>20</v>
      </c>
      <c r="S89" s="2" t="inlineStr">
        <is>
          <t>C3-PRO-SOCIAL</t>
        </is>
      </c>
      <c r="T89" s="2" t="inlineStr">
        <is>
          <t>1:1 Instagram DM from Uepaki professional account</t>
        </is>
      </c>
      <c r="U89" s="2" t="inlineStr">
        <is>
          <t>https://www.instagram.com/tiethefeed</t>
        </is>
      </c>
      <c r="V89" s="2" t="inlineStr">
        <is>
          <t>2026-09 — WeddingSutra vendor profile last updated/published (page metadata)</t>
        </is>
      </c>
      <c r="W89" s="2" t="inlineStr">
        <is>
          <t>Services listed on WeddingSutra profile: wedding photography/films; price on request</t>
        </is>
      </c>
      <c r="X89" s="2" t="inlineStr">
        <is>
          <t>WeddingSutra (Vendor directory profile)</t>
        </is>
      </c>
      <c r="Y89" s="2" t="inlineStr">
        <is>
          <t>Readiness 68 (top 25% in category) | Commercial: Services listed on WeddingSutra profile: wedding photography/films; price on request | Active: 2026-09 — WeddingSutra vendor profile last updated/published (page me… | Independent/emerging tier — fame not a factor</t>
        </is>
      </c>
      <c r="Z89" s="2" t="inlineStr">
        <is>
          <t>Lead with a specific piece of content work. Content production as a professional service for clients; never follower language.</t>
        </is>
      </c>
      <c r="AA89" s="2" t="inlineStr">
        <is>
          <t>Already gets leads via own Instagram and wedding directories</t>
        </is>
      </c>
      <c r="AB89" s="2" t="inlineStr">
        <is>
          <t>Work via agencies/creator platforms; wants proof brands/clients are present</t>
        </is>
      </c>
      <c r="AC89" s="2" t="inlineStr">
        <is>
          <t>E03-CTA-B Written terms + registration link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</row>
    <row r="90">
      <c r="A90" s="2" t="n">
        <v>89</v>
      </c>
      <c r="B90" s="2" t="inlineStr">
        <is>
          <t>Wave 1 — Founding cohort</t>
        </is>
      </c>
      <c r="C90" s="2" t="inlineStr">
        <is>
          <t>UPK2-CM-049</t>
        </is>
      </c>
      <c r="D90" s="2" t="inlineStr">
        <is>
          <t>Amit Auumkaar</t>
        </is>
      </c>
      <c r="E90" s="2" t="inlineStr">
        <is>
          <t>Content &amp; Media</t>
        </is>
      </c>
      <c r="F90" s="2" t="inlineStr">
        <is>
          <t>CM-EMCEE-HOST</t>
        </is>
      </c>
      <c r="G90" s="2" t="inlineStr">
        <is>
          <t>Wedding &amp; Occasion</t>
        </is>
      </c>
      <c r="H90" s="2" t="inlineStr">
        <is>
          <t>Wedding &amp; event emcee / anchor</t>
        </is>
      </c>
      <c r="I90" s="2" t="inlineStr">
        <is>
          <t>Mumbai</t>
        </is>
      </c>
      <c r="J90" s="2" t="inlineStr">
        <is>
          <t>B — Established Independent</t>
        </is>
      </c>
      <c r="K90" s="2" t="inlineStr">
        <is>
          <t>Independent professional</t>
        </is>
      </c>
      <c r="L90" s="2" t="inlineStr">
        <is>
          <t>P0</t>
        </is>
      </c>
      <c r="M90" s="2" t="inlineStr">
        <is>
          <t>P0</t>
        </is>
      </c>
      <c r="N90" s="2" t="n">
        <v>73.8</v>
      </c>
      <c r="O90" s="2" t="n">
        <v>97</v>
      </c>
      <c r="P90" s="2" t="n">
        <v>60.1</v>
      </c>
      <c r="Q90" s="2" t="n">
        <v>64</v>
      </c>
      <c r="R90" s="2" t="n">
        <v>20</v>
      </c>
      <c r="S90" s="2" t="inlineStr">
        <is>
          <t>C3-PRO-SOCIAL</t>
        </is>
      </c>
      <c r="T90" s="2" t="inlineStr">
        <is>
          <t>1:1 Instagram DM from Uepaki professional account</t>
        </is>
      </c>
      <c r="U90" s="2" t="inlineStr">
        <is>
          <t>https://amitauumkaar.com</t>
        </is>
      </c>
      <c r="V90" s="2" t="inlineStr">
        <is>
          <t>2026-06 — WeddingSutra vendor profile updated; latest WedMeGood review 2025-09-04</t>
        </is>
      </c>
      <c r="W90" s="2" t="inlineStr">
        <is>
          <t>Listed by WeddingSutra as a wedding emcee serving Mumbai; WedMeGood lists starting price ₹40,000 and 22 reviews</t>
        </is>
      </c>
      <c r="X90" s="2" t="inlineStr">
        <is>
          <t>WeddingSutra (vendor showcase profile (Emcees)); WedMeGood (vendor profile (Lite listing; 22 reviews))</t>
        </is>
      </c>
      <c r="Y90" s="2" t="inlineStr">
        <is>
          <t>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  <c r="Z90" s="2" t="inlineStr">
        <is>
          <t>Lead with the event formats they host. Services as a professional; clients, not followers.</t>
        </is>
      </c>
      <c r="AA90" s="2" t="inlineStr">
        <is>
          <t>Gets bookings via Instagram and wedding marketplaces already; may see another profile as low priority.</t>
        </is>
      </c>
      <c r="AB90" s="2" t="inlineStr">
        <is>
          <t>Work via agencies/creator platforms; wants proof brands/clients are present</t>
        </is>
      </c>
      <c r="AC90" s="2" t="inlineStr">
        <is>
          <t>E03-CTA-A Reply/15-min call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</row>
    <row r="91">
      <c r="A91" s="2" t="n">
        <v>90</v>
      </c>
      <c r="B91" s="2" t="inlineStr">
        <is>
          <t>Wave 1 — Founding cohort</t>
        </is>
      </c>
      <c r="C91" s="2" t="inlineStr">
        <is>
          <t>UPK2-CM-044</t>
        </is>
      </c>
      <c r="D91" s="2" t="inlineStr">
        <is>
          <t>Sagar Duggal</t>
        </is>
      </c>
      <c r="E91" s="2" t="inlineStr">
        <is>
          <t>Content &amp; Media</t>
        </is>
      </c>
      <c r="F91" s="2" t="inlineStr">
        <is>
          <t>CM-EMCEE-HOST</t>
        </is>
      </c>
      <c r="G91" s="2" t="inlineStr">
        <is>
          <t>Wedding &amp; Occasion</t>
        </is>
      </c>
      <c r="H91" s="2" t="inlineStr">
        <is>
          <t>Wedding &amp; event emcee / anchor</t>
        </is>
      </c>
      <c r="I91" s="2" t="inlineStr">
        <is>
          <t>Delhi NCR</t>
        </is>
      </c>
      <c r="J91" s="2" t="inlineStr">
        <is>
          <t>C — Strong Mid-tier</t>
        </is>
      </c>
      <c r="K91" s="2" t="inlineStr">
        <is>
          <t>Independent professional</t>
        </is>
      </c>
      <c r="L91" s="2" t="inlineStr">
        <is>
          <t>P0</t>
        </is>
      </c>
      <c r="M91" s="2" t="inlineStr">
        <is>
          <t>P0</t>
        </is>
      </c>
      <c r="N91" s="2" t="n">
        <v>82.90000000000001</v>
      </c>
      <c r="O91" s="2" t="n">
        <v>100</v>
      </c>
      <c r="P91" s="2" t="n">
        <v>72.2</v>
      </c>
      <c r="Q91" s="2" t="n">
        <v>76</v>
      </c>
      <c r="R91" s="2" t="n">
        <v>40</v>
      </c>
      <c r="S91" s="2" t="inlineStr">
        <is>
          <t>C1-DIRECT-VERIFIED</t>
        </is>
      </c>
      <c r="T91" s="2" t="inlineStr">
        <is>
          <t>Personal 1:1 email from founder/team to published business email</t>
        </is>
      </c>
      <c r="U91" s="2" t="inlineStr">
        <is>
          <t>https://talkativesagar.com/</t>
        </is>
      </c>
      <c r="V91" s="2" t="inlineStr">
        <is>
          <t>2026-06 — WeddingSutra vendor profile updated; latest WedMeGood review 2024-05-04</t>
        </is>
      </c>
      <c r="W91" s="2" t="inlineStr">
        <is>
          <t>Listed by WeddingSutra as a wedding emcee serving Delhi NCR, Dubai, Thailand, Goa, Jaipur, Mumbai; WedMeGood lists starting price ₹65,000 and 60 reviews</t>
        </is>
      </c>
      <c r="X91" s="2" t="inlineStr">
        <is>
          <t>WeddingSutra (vendor showcase profile (Emcees)); WedMeGood (vendor profile (Lite listing; 60 reviews))</t>
        </is>
      </c>
      <c r="Y91" s="2" t="inlineStr">
        <is>
          <t>Readiness 83 (top 1% in category) | Commercial: Listed by WeddingSutra as a wedding emcee serving Delhi NCR, Dubai, Thailand, Goa, Jaipur… | Active: 2026-06 — WeddingSutra vendor profile updated; latest WedMeGood revie… | Marketplace-familiar: WeddingSutra); WedMeGood)</t>
        </is>
      </c>
      <c r="Z91" s="2" t="inlineStr">
        <is>
          <t>Lead with the event formats they host. Services as a professional; clients, not followers.</t>
        </is>
      </c>
      <c r="AA91" s="2" t="inlineStr">
        <is>
          <t>Gets bookings via Instagram and wedding marketplaces already; may see another profile as low priority.</t>
        </is>
      </c>
      <c r="AB91" s="2" t="inlineStr">
        <is>
          <t>Work via agencies/creator platforms; wants proof brands/clients are present</t>
        </is>
      </c>
      <c r="AC91" s="2" t="inlineStr">
        <is>
          <t>E03-CTA-B Written terms + registration link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</row>
    <row r="92">
      <c r="A92" s="2" t="n">
        <v>91</v>
      </c>
      <c r="B92" s="2" t="inlineStr">
        <is>
          <t>Wave 1 — Founding cohort</t>
        </is>
      </c>
      <c r="C92" s="2" t="inlineStr">
        <is>
          <t>UPK-CM-001</t>
        </is>
      </c>
      <c r="D92" s="2" t="inlineStr">
        <is>
          <t>Maed in India</t>
        </is>
      </c>
      <c r="E92" s="2" t="inlineStr">
        <is>
          <t>Content &amp; Media</t>
        </is>
      </c>
      <c r="F92" s="2" t="inlineStr">
        <is>
          <t>CM-PRODUCTION</t>
        </is>
      </c>
      <c r="G92" s="2" t="inlineStr">
        <is>
          <t>Brand &amp; Everyday Style</t>
        </is>
      </c>
      <c r="H92" s="2" t="inlineStr">
        <is>
          <t>Podcast host &amp; podcast production studio founder</t>
        </is>
      </c>
      <c r="I92" s="2" t="inlineStr">
        <is>
          <t>Mumbai</t>
        </is>
      </c>
      <c r="J92" s="2" t="inlineStr">
        <is>
          <t>C — Strong Mid-tier</t>
        </is>
      </c>
      <c r="K92" s="2" t="inlineStr">
        <is>
          <t>Micro studio (2-10)</t>
        </is>
      </c>
      <c r="L92" s="2" t="inlineStr">
        <is>
          <t>P0</t>
        </is>
      </c>
      <c r="M92" s="2" t="inlineStr">
        <is>
          <t>P1</t>
        </is>
      </c>
      <c r="N92" s="2" t="n">
        <v>72.40000000000001</v>
      </c>
      <c r="O92" s="2" t="n">
        <v>95</v>
      </c>
      <c r="P92" s="2" t="n">
        <v>73.7</v>
      </c>
      <c r="Q92" s="2" t="n">
        <v>77</v>
      </c>
      <c r="R92" s="2" t="n">
        <v>72</v>
      </c>
      <c r="S92" s="2" t="inlineStr">
        <is>
          <t>C1-DIRECT-VERIFIED</t>
        </is>
      </c>
      <c r="T92" s="2" t="inlineStr">
        <is>
          <t>Personal 1:1 email from founder/team to published business email</t>
        </is>
      </c>
      <c r="U92" s="2" t="inlineStr">
        <is>
          <t>https://www.maedinindia.in/contact</t>
        </is>
      </c>
      <c r="V92" s="2" t="inlineStr">
        <is>
          <t>2026 — listed as speaker, Content is Queen Global Podcast Speakers 2026</t>
        </is>
      </c>
      <c r="W92" s="2" t="inlineStr">
        <is>
          <t>Runs a podcast consultancy &amp; production company offering idea development, format testing, production, post-production and distribution for third parties</t>
        </is>
      </c>
      <c r="X92" s="2" t="inlineStr">
        <is>
          <t>Apple Podcasts (Profile/portfolio)</t>
        </is>
      </c>
      <c r="Y92" s="2" t="inlineStr">
        <is>
          <t>Readiness 72 (top 6% in category) | Commercial: Runs a podcast consultancy &amp; production company offering idea development, format testing… | Active: 2026 — listed as speaker, Content is Queen Global Podcast Speakers 20…</t>
        </is>
      </c>
      <c r="Z92" s="2" t="inlineStr">
        <is>
          <t>Lead with production work for brands/founders. Production as a professional service.</t>
        </is>
      </c>
      <c r="AA92" s="2" t="inlineStr">
        <is>
          <t>B2B pipeline already via network/referrals; marketplace may feel consumer-oriented</t>
        </is>
      </c>
      <c r="AB92" s="2" t="inlineStr">
        <is>
          <t>Work via agencies/creator platforms; wants proof brands/clients are present</t>
        </is>
      </c>
      <c r="AC92" s="2" t="inlineStr">
        <is>
          <t>E03-CTA-A Reply/15-min call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</row>
    <row r="93">
      <c r="A93" s="2" t="n">
        <v>92</v>
      </c>
      <c r="B93" s="2" t="inlineStr">
        <is>
          <t>Wave 1 — Founding cohort</t>
        </is>
      </c>
      <c r="C93" s="2" t="inlineStr">
        <is>
          <t>UPK2-CM-010</t>
        </is>
      </c>
      <c r="D93" s="2" t="inlineStr">
        <is>
          <t>Finely Chopped</t>
        </is>
      </c>
      <c r="E93" s="2" t="inlineStr">
        <is>
          <t>Content &amp; Media</t>
        </is>
      </c>
      <c r="F93" s="2" t="inlineStr">
        <is>
          <t>CM-BLOGGER-WRITER</t>
        </is>
      </c>
      <c r="G93" s="2" t="inlineStr">
        <is>
          <t>Brand &amp; Everyday Style</t>
        </is>
      </c>
      <c r="H93" s="2" t="inlineStr">
        <is>
          <t>Food writer, blogger &amp; creator</t>
        </is>
      </c>
      <c r="I93" s="2" t="inlineStr">
        <is>
          <t>Mumbai</t>
        </is>
      </c>
      <c r="J93" s="2" t="inlineStr">
        <is>
          <t>C — Strong Mid-tier</t>
        </is>
      </c>
      <c r="K93" s="2" t="inlineStr">
        <is>
          <t>Independent creator/blog</t>
        </is>
      </c>
      <c r="L93" s="2" t="inlineStr">
        <is>
          <t>P0</t>
        </is>
      </c>
      <c r="M93" s="2" t="inlineStr">
        <is>
          <t>P1</t>
        </is>
      </c>
      <c r="N93" s="2" t="n">
        <v>69.7</v>
      </c>
      <c r="O93" s="2" t="n">
        <v>85</v>
      </c>
      <c r="P93" s="2" t="n">
        <v>71</v>
      </c>
      <c r="Q93" s="2" t="n">
        <v>77</v>
      </c>
      <c r="R93" s="2" t="n">
        <v>65</v>
      </c>
      <c r="S93" s="2" t="inlineStr">
        <is>
          <t>C1-DIRECT-VERIFIED</t>
        </is>
      </c>
      <c r="T93" s="2" t="inlineStr">
        <is>
          <t>Personal 1:1 email from founder/team to published business email</t>
        </is>
      </c>
      <c r="U93" s="2" t="inlineStr">
        <is>
          <t>https://finelychopped.net/</t>
        </is>
      </c>
      <c r="V93" s="2" t="inlineStr">
        <is>
          <t>2026 — posts dated 2026</t>
        </is>
      </c>
      <c r="W93" s="2" t="inlineStr">
        <is>
          <t>Long-running food blog with 'Meals Around Mumbai' section; contact page with business email and phone</t>
        </is>
      </c>
      <c r="X93" s="2" t="inlineStr">
        <is>
          <t>Feedspot (Listed in Mumbai blogs)</t>
        </is>
      </c>
      <c r="Y93" s="2" t="inlineStr">
        <is>
          <t>Readiness 70 (top 16% in category) | Commercial: Long-running food blog with 'Meals Around Mumbai' section; contact page with business ema… | Active: 2026 — posts dated 2026</t>
        </is>
      </c>
      <c r="Z93" s="2" t="inlineStr">
        <is>
          <t>Lead with their writing/beat. Content work as a professional service for brands; clients, not audience.</t>
        </is>
      </c>
      <c r="AA93" s="2" t="inlineStr">
        <is>
          <t>Established; selective on partnerships</t>
        </is>
      </c>
      <c r="AB93" s="2" t="inlineStr">
        <is>
          <t>Work via agencies/creator platforms; wants proof brands/clients are present</t>
        </is>
      </c>
      <c r="AC93" s="2" t="inlineStr">
        <is>
          <t>E03-CTA-B Written terms + registration link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</row>
    <row r="94">
      <c r="A94" s="2" t="n">
        <v>93</v>
      </c>
      <c r="B94" s="2" t="inlineStr">
        <is>
          <t>Wave 1 — Founding cohort</t>
        </is>
      </c>
      <c r="C94" s="2" t="inlineStr">
        <is>
          <t>UPK2-CM-001</t>
        </is>
      </c>
      <c r="D94" s="2" t="inlineStr">
        <is>
          <t>The Wedding Scroll</t>
        </is>
      </c>
      <c r="E94" s="2" t="inlineStr">
        <is>
          <t>Content &amp; Media</t>
        </is>
      </c>
      <c r="F94" s="2" t="inlineStr">
        <is>
          <t>CM-CONTENT-CREATOR</t>
        </is>
      </c>
      <c r="G94" s="2" t="inlineStr">
        <is>
          <t>Wedding &amp; Occasion</t>
        </is>
      </c>
      <c r="H94" s="2" t="inlineStr">
        <is>
          <t>Wedding content creation (social-first)</t>
        </is>
      </c>
      <c r="I94" s="2" t="inlineStr">
        <is>
          <t>Delhi NCR</t>
        </is>
      </c>
      <c r="J94" s="2" t="inlineStr">
        <is>
          <t>C — Strong Mid-tier</t>
        </is>
      </c>
      <c r="K94" s="2" t="inlineStr">
        <is>
          <t>Studio/team</t>
        </is>
      </c>
      <c r="L94" s="2" t="inlineStr">
        <is>
          <t>P0</t>
        </is>
      </c>
      <c r="M94" s="2" t="inlineStr">
        <is>
          <t>P1</t>
        </is>
      </c>
      <c r="N94" s="2" t="n">
        <v>70.8</v>
      </c>
      <c r="O94" s="2" t="n">
        <v>88</v>
      </c>
      <c r="P94" s="2" t="n">
        <v>69.2</v>
      </c>
      <c r="Q94" s="2" t="n">
        <v>76</v>
      </c>
      <c r="R94" s="2" t="n">
        <v>55</v>
      </c>
      <c r="S94" s="2" t="inlineStr">
        <is>
          <t>C3-PRO-SOCIAL</t>
        </is>
      </c>
      <c r="T94" s="2" t="inlineStr">
        <is>
          <t>1:1 Instagram DM from Uepaki professional account</t>
        </is>
      </c>
      <c r="U94" s="2" t="inlineStr">
        <is>
          <t>https://www.theweddingscroll.in</t>
        </is>
      </c>
      <c r="V94" s="2" t="inlineStr">
        <is>
          <t>2026-09 — WeddingSutra vendor profile last updated/published (page metadata)</t>
        </is>
      </c>
      <c r="W94" s="2" t="inlineStr">
        <is>
          <t>Services listed on WeddingSutra profile: wedding photography/films; price on request</t>
        </is>
      </c>
      <c r="X94" s="2" t="inlineStr">
        <is>
          <t>WeddingSutra (Vendor directory profile)</t>
        </is>
      </c>
      <c r="Y94" s="2" t="inlineStr">
        <is>
          <t>Readiness 71 (top 13% in category) | Commercial: Services listed on WeddingSutra profile: wedding photography/films; price on request | Active: 2026-09 — WeddingSutra vendor profile last updated/published (page me…</t>
        </is>
      </c>
      <c r="Z94" s="2" t="inlineStr">
        <is>
          <t>Lead with a specific piece of content work. Content production as a professional service for clients; never follower language.</t>
        </is>
      </c>
      <c r="AA94" s="2" t="inlineStr">
        <is>
          <t>Already gets leads via own Instagram and wedding directories</t>
        </is>
      </c>
      <c r="AB94" s="2" t="inlineStr">
        <is>
          <t>Work via agencies/creator platforms; wants proof brands/clients are present</t>
        </is>
      </c>
      <c r="AC94" s="2" t="inlineStr">
        <is>
          <t>E03-CTA-A Reply/15-min call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</row>
    <row r="95">
      <c r="A95" s="2" t="n">
        <v>94</v>
      </c>
      <c r="B95" s="2" t="inlineStr">
        <is>
          <t>Wave 1 — Founding cohort</t>
        </is>
      </c>
      <c r="C95" s="2" t="inlineStr">
        <is>
          <t>UPK2-CM-003</t>
        </is>
      </c>
      <c r="D95" s="2" t="inlineStr">
        <is>
          <t>Heart Bows &amp; Makeup</t>
        </is>
      </c>
      <c r="E95" s="2" t="inlineStr">
        <is>
          <t>Content &amp; Media</t>
        </is>
      </c>
      <c r="F95" s="2" t="inlineStr">
        <is>
          <t>CM-BLOGGER-WRITER</t>
        </is>
      </c>
      <c r="G95" s="2" t="inlineStr">
        <is>
          <t>Brand &amp; Everyday Style</t>
        </is>
      </c>
      <c r="H95" s="2" t="inlineStr">
        <is>
          <t>Beauty &amp; fashion blogger/creator</t>
        </is>
      </c>
      <c r="I95" s="2" t="inlineStr">
        <is>
          <t>Delhi NCR</t>
        </is>
      </c>
      <c r="J95" s="2" t="inlineStr">
        <is>
          <t>B — Established Independent</t>
        </is>
      </c>
      <c r="K95" s="2" t="inlineStr">
        <is>
          <t>Independent creator/blog</t>
        </is>
      </c>
      <c r="L95" s="2" t="inlineStr">
        <is>
          <t>P0</t>
        </is>
      </c>
      <c r="M95" s="2" t="inlineStr">
        <is>
          <t>P0</t>
        </is>
      </c>
      <c r="N95" s="2" t="n">
        <v>76.59999999999999</v>
      </c>
      <c r="O95" s="2" t="n">
        <v>99</v>
      </c>
      <c r="P95" s="2" t="n">
        <v>66.59999999999999</v>
      </c>
      <c r="Q95" s="2" t="n">
        <v>71</v>
      </c>
      <c r="R95" s="2" t="n">
        <v>35</v>
      </c>
      <c r="S95" s="2" t="inlineStr">
        <is>
          <t>C1-DIRECT-VERIFIED</t>
        </is>
      </c>
      <c r="T95" s="2" t="inlineStr">
        <is>
          <t>Personal 1:1 email from founder/team to published business email</t>
        </is>
      </c>
      <c r="U95" s="2" t="inlineStr">
        <is>
          <t>https://www.heartbowsmakeup.com/contact-me-pr-advertising/</t>
        </is>
      </c>
      <c r="V95" s="2" t="inlineStr">
        <is>
          <t>undated (site live 2026)</t>
        </is>
      </c>
      <c r="W95" s="2" t="inlineStr">
        <is>
          <t>'Contact me – PR &amp; advertising' page listing past brand campaigns/collaborations; describes itself as PR-friendly, based in New Delhi</t>
        </is>
      </c>
      <c r="X95" s="2" t="inlineStr"/>
      <c r="Y95" s="2" t="inlineStr">
        <is>
          <t>Readiness 77 (top 2% in category) | Commercial: 'Contact me – PR &amp; advertising' page listing past brand campaigns/collaborations; describ… | Active: undated (site live 2026) | Independent/emerging tier — fame not a factor</t>
        </is>
      </c>
      <c r="Z95" s="2" t="inlineStr">
        <is>
          <t>Lead with their writing/beat. Content work as a professional service for brands; clients, not audience.</t>
        </is>
      </c>
      <c r="AA95" s="2" t="inlineStr">
        <is>
          <t>Works through agencies/creator platforms; wants evidence brands are on the platform.</t>
        </is>
      </c>
      <c r="AB95" s="2" t="inlineStr">
        <is>
          <t>Work via agencies/creator platforms; wants proof brands/clients are present</t>
        </is>
      </c>
      <c r="AC95" s="2" t="inlineStr">
        <is>
          <t>E03-CTA-B Written terms + registration link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</row>
    <row r="96">
      <c r="A96" s="2" t="n">
        <v>95</v>
      </c>
      <c r="B96" s="2" t="inlineStr">
        <is>
          <t>Wave 1 — Founding cohort</t>
        </is>
      </c>
      <c r="C96" s="2" t="inlineStr">
        <is>
          <t>UPK2-DV-050</t>
        </is>
      </c>
      <c r="D96" s="2" t="inlineStr">
        <is>
          <t>Dead End Right</t>
        </is>
      </c>
      <c r="E96" s="2" t="inlineStr">
        <is>
          <t>Digital &amp; Visual Arts</t>
        </is>
      </c>
      <c r="F96" s="2" t="inlineStr">
        <is>
          <t>DV-ARTIST-ILLUSTRATOR</t>
        </is>
      </c>
      <c r="G96" s="2" t="inlineStr">
        <is>
          <t>Home &amp; Space</t>
        </is>
      </c>
      <c r="H96" s="2" t="inlineStr">
        <is>
          <t>Creative studio — editorial design, film, sound</t>
        </is>
      </c>
      <c r="I96" s="2" t="inlineStr">
        <is>
          <t>Bengaluru</t>
        </is>
      </c>
      <c r="J96" s="2" t="inlineStr">
        <is>
          <t>B — Established Independent</t>
        </is>
      </c>
      <c r="K96" s="2" t="inlineStr">
        <is>
          <t>Independent creative studio</t>
        </is>
      </c>
      <c r="L96" s="2" t="inlineStr">
        <is>
          <t>P0</t>
        </is>
      </c>
      <c r="M96" s="2" t="inlineStr">
        <is>
          <t>P1</t>
        </is>
      </c>
      <c r="N96" s="2" t="n">
        <v>72.8</v>
      </c>
      <c r="O96" s="2" t="n">
        <v>77</v>
      </c>
      <c r="P96" s="2" t="n">
        <v>66.59999999999999</v>
      </c>
      <c r="Q96" s="2" t="n">
        <v>74</v>
      </c>
      <c r="R96" s="2" t="n">
        <v>40</v>
      </c>
      <c r="S96" s="2" t="inlineStr">
        <is>
          <t>C1-DIRECT-VERIFIED</t>
        </is>
      </c>
      <c r="T96" s="2" t="inlineStr">
        <is>
          <t>Personal 1:1 email from founder/team to published business email</t>
        </is>
      </c>
      <c r="U96" s="2" t="inlineStr">
        <is>
          <t>https://www.deadendright.com/</t>
        </is>
      </c>
      <c r="V96" s="2" t="inlineStr">
        <is>
          <t>2026 — Kyoorius Design Awards 2026 Blue Elephant for Luru Magazine issues 03 &amp; 04 (KDA gallery)</t>
        </is>
      </c>
      <c r="W96" s="2" t="inlineStr">
        <is>
          <t>Publishes Luru Magazine; agency work in film and behavioural-science-led campaigns</t>
        </is>
      </c>
      <c r="X96" s="2" t="inlineStr">
        <is>
          <t>Kyoorius Design Awards (2026 Blue Elephant, Editorial Design)</t>
        </is>
      </c>
      <c r="Y96" s="2" t="inlineStr">
        <is>
          <t>Readiness 73 (top 24% in category) | Commercial: Publishes Luru Magazine; agency work in film and behavioural-science-led campaigns | Active: 2026 — Kyoorius Design Awards 2026 Blue Elephant for Luru Magazine is… | Independent/emerging tier — fame not a factor</t>
        </is>
      </c>
      <c r="Z96" s="2" t="inlineStr">
        <is>
          <t>Lead with a specific work or series. Selling original work and commissions under their own name.</t>
        </is>
      </c>
      <c r="AA96" s="2" t="inlineStr">
        <is>
          <t>Studio already has own media property</t>
        </is>
      </c>
      <c r="AB96" s="2" t="inlineStr">
        <is>
          <t>Commission pricing control; IP of artwork; price pressure</t>
        </is>
      </c>
      <c r="AC96" s="2" t="inlineStr">
        <is>
          <t>E03-CTA-A Reply/15-min call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</row>
    <row r="97">
      <c r="A97" s="2" t="n">
        <v>96</v>
      </c>
      <c r="B97" s="2" t="inlineStr">
        <is>
          <t>Wave 1 — Founding cohort</t>
        </is>
      </c>
      <c r="C97" s="2" t="inlineStr">
        <is>
          <t>UPK2-DV-004</t>
        </is>
      </c>
      <c r="D97" s="2" t="inlineStr">
        <is>
          <t>CalliScript</t>
        </is>
      </c>
      <c r="E97" s="2" t="inlineStr">
        <is>
          <t>Digital &amp; Visual Arts</t>
        </is>
      </c>
      <c r="F97" s="2" t="inlineStr">
        <is>
          <t>DV-CALLIGRAPHY-STATIONERY</t>
        </is>
      </c>
      <c r="G97" s="2" t="inlineStr">
        <is>
          <t>Wedding &amp; Occasion</t>
        </is>
      </c>
      <c r="H97" s="2" t="inlineStr">
        <is>
          <t>Calligrapher, workshops &amp; commissions</t>
        </is>
      </c>
      <c r="I97" s="2" t="inlineStr">
        <is>
          <t>Mumbai</t>
        </is>
      </c>
      <c r="J97" s="2" t="inlineStr">
        <is>
          <t>B — Established Independent</t>
        </is>
      </c>
      <c r="K97" s="2" t="inlineStr">
        <is>
          <t>Calligraphy studio</t>
        </is>
      </c>
      <c r="L97" s="2" t="inlineStr">
        <is>
          <t>P0</t>
        </is>
      </c>
      <c r="M97" s="2" t="inlineStr">
        <is>
          <t>P0</t>
        </is>
      </c>
      <c r="N97" s="2" t="n">
        <v>75</v>
      </c>
      <c r="O97" s="2" t="n">
        <v>91</v>
      </c>
      <c r="P97" s="2" t="n">
        <v>65.7</v>
      </c>
      <c r="Q97" s="2" t="n">
        <v>74</v>
      </c>
      <c r="R97" s="2" t="n">
        <v>30</v>
      </c>
      <c r="S97" s="2" t="inlineStr">
        <is>
          <t>C1-DIRECT-VERIFIED</t>
        </is>
      </c>
      <c r="T97" s="2" t="inlineStr">
        <is>
          <t>Personal 1:1 email from founder/team to published business email</t>
        </is>
      </c>
      <c r="U97" s="2" t="inlineStr">
        <is>
          <t>https://www.calliscript.com/contact</t>
        </is>
      </c>
      <c r="V97" s="2" t="inlineStr">
        <is>
          <t>2026 — site references 2024–2026</t>
        </is>
      </c>
      <c r="W97" s="2" t="inlineStr">
        <is>
          <t>Site: conducts calligraphy workshops; founder-led studio</t>
        </is>
      </c>
      <c r="X97" s="2" t="inlineStr">
        <is>
          <t>Nibtique (Directory listing (lists Pune))</t>
        </is>
      </c>
      <c r="Y97" s="2" t="inlineStr">
        <is>
          <t>Readiness 75 (top 10% in category) | Commercial: Site: conducts calligraphy workshops; founder-led studio | Active: 2026 — site references 2024–2026 | Independent/emerging tier — fame not a factor</t>
        </is>
      </c>
      <c r="Z97" s="2" t="inlineStr">
        <is>
          <t>Lead with a specific commission (stationery/engraving). Artists who sell both work and commissioned services.</t>
        </is>
      </c>
      <c r="AA97" s="2" t="inlineStr">
        <is>
          <t>Workshop-led revenue may not need marketplace</t>
        </is>
      </c>
      <c r="AB97" s="2" t="inlineStr">
        <is>
          <t>Commission pricing control; IP of artwork; price pressure</t>
        </is>
      </c>
      <c r="AC97" s="2" t="inlineStr">
        <is>
          <t>E03-CTA-B Written terms + registration link</t>
        </is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</row>
    <row r="98">
      <c r="A98" s="2" t="n">
        <v>97</v>
      </c>
      <c r="B98" s="2" t="inlineStr">
        <is>
          <t>Wave 1 — Founding cohort</t>
        </is>
      </c>
      <c r="C98" s="2" t="inlineStr">
        <is>
          <t>UPK2-DV-033</t>
        </is>
      </c>
      <c r="D98" s="2" t="inlineStr">
        <is>
          <t>Beyondesign</t>
        </is>
      </c>
      <c r="E98" s="2" t="inlineStr">
        <is>
          <t>Digital &amp; Visual Arts</t>
        </is>
      </c>
      <c r="F98" s="2" t="inlineStr">
        <is>
          <t>DV-DESIGN-STUDIO</t>
        </is>
      </c>
      <c r="G98" s="2" t="inlineStr">
        <is>
          <t>Brand &amp; Everyday Style</t>
        </is>
      </c>
      <c r="H98" s="2" t="inlineStr">
        <is>
          <t>Branding &amp; packaging design studio</t>
        </is>
      </c>
      <c r="I98" s="2" t="inlineStr">
        <is>
          <t>Mumbai</t>
        </is>
      </c>
      <c r="J98" s="2" t="inlineStr">
        <is>
          <t>B — Established Independent</t>
        </is>
      </c>
      <c r="K98" s="2" t="inlineStr">
        <is>
          <t>Independent design studio</t>
        </is>
      </c>
      <c r="L98" s="2" t="inlineStr">
        <is>
          <t>P0</t>
        </is>
      </c>
      <c r="M98" s="2" t="inlineStr">
        <is>
          <t>P1</t>
        </is>
      </c>
      <c r="N98" s="2" t="n">
        <v>75</v>
      </c>
      <c r="O98" s="2" t="n">
        <v>91</v>
      </c>
      <c r="P98" s="2" t="n">
        <v>65.3</v>
      </c>
      <c r="Q98" s="2" t="n">
        <v>76</v>
      </c>
      <c r="R98" s="2" t="n">
        <v>25</v>
      </c>
      <c r="S98" s="2" t="inlineStr">
        <is>
          <t>C1-DIRECT-VERIFIED</t>
        </is>
      </c>
      <c r="T98" s="2" t="inlineStr">
        <is>
          <t>Personal 1:1 email from founder/team to published business email</t>
        </is>
      </c>
      <c r="U98" s="2" t="inlineStr">
        <is>
          <t>https://beyondesign.in/</t>
        </is>
      </c>
      <c r="V98" s="2" t="inlineStr">
        <is>
          <t>2026 — site ©2026; 21 years in practice</t>
        </is>
      </c>
      <c r="W98" s="2" t="inlineStr">
        <is>
          <t>Independent all-women brand and design studio</t>
        </is>
      </c>
      <c r="X98" s="2" t="inlineStr">
        <is>
          <t>fueler.io city listicle (listed (discovery seed only))</t>
        </is>
      </c>
      <c r="Y98" s="2" t="inlineStr">
        <is>
          <t>Readiness 75 (top 10% in category) | Commercial: Independent all-women brand and design studio | Active: 2026 — site ©2026; 21 years in practice | Independent/emerging tier — fame not a factor</t>
        </is>
      </c>
      <c r="Z98" s="2" t="inlineStr">
        <is>
          <t>Lead with a specific identity/packaging project. Design services under the studio's own name; link to labels in the Brand pod.</t>
        </is>
      </c>
      <c r="AA98" s="2" t="inlineStr">
        <is>
          <t>Already on Behance/Fiverr/Upwork; fears price-undercutting and another profile to maintain.</t>
        </is>
      </c>
      <c r="AB98" s="2" t="inlineStr">
        <is>
          <t>Commission pricing control; IP of artwork; price pressure</t>
        </is>
      </c>
      <c r="AC98" s="2" t="inlineStr">
        <is>
          <t>E03-CTA-A Reply/15-min call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</row>
    <row r="99">
      <c r="A99" s="2" t="n">
        <v>98</v>
      </c>
      <c r="B99" s="2" t="inlineStr">
        <is>
          <t>Wave 1 — Founding cohort</t>
        </is>
      </c>
      <c r="C99" s="2" t="inlineStr">
        <is>
          <t>UPK2-DV-015</t>
        </is>
      </c>
      <c r="D99" s="2" t="inlineStr">
        <is>
          <t>Anant Kulkarni</t>
        </is>
      </c>
      <c r="E99" s="2" t="inlineStr">
        <is>
          <t>Digital &amp; Visual Arts</t>
        </is>
      </c>
      <c r="F99" s="2" t="inlineStr">
        <is>
          <t>DV-ARTIST-ILLUSTRATOR</t>
        </is>
      </c>
      <c r="G99" s="2" t="inlineStr">
        <is>
          <t>Home &amp; Space</t>
        </is>
      </c>
      <c r="H99" s="2" t="inlineStr">
        <is>
          <t>Illustrator &amp; graphic designer</t>
        </is>
      </c>
      <c r="I99" s="2" t="inlineStr">
        <is>
          <t>Mumbai</t>
        </is>
      </c>
      <c r="J99" s="2" t="inlineStr">
        <is>
          <t>B — Established Independent</t>
        </is>
      </c>
      <c r="K99" s="2" t="inlineStr">
        <is>
          <t>Freelance illustrator / educator</t>
        </is>
      </c>
      <c r="L99" s="2" t="inlineStr">
        <is>
          <t>P0</t>
        </is>
      </c>
      <c r="M99" s="2" t="inlineStr">
        <is>
          <t>P1</t>
        </is>
      </c>
      <c r="N99" s="2" t="n">
        <v>69.3</v>
      </c>
      <c r="O99" s="2" t="n">
        <v>63</v>
      </c>
      <c r="P99" s="2" t="n">
        <v>63.6</v>
      </c>
      <c r="Q99" s="2" t="n">
        <v>70</v>
      </c>
      <c r="R99" s="2" t="n">
        <v>40</v>
      </c>
      <c r="S99" s="2" t="inlineStr">
        <is>
          <t>C1-DIRECT-VERIFIED</t>
        </is>
      </c>
      <c r="T99" s="2" t="inlineStr">
        <is>
          <t>Personal 1:1 email from founder/team to published business email</t>
        </is>
      </c>
      <c r="U99" s="2" t="inlineStr">
        <is>
          <t>https://www.anantkulkarni.com/</t>
        </is>
      </c>
      <c r="V99" s="2" t="inlineStr">
        <is>
          <t>undated (site live 2026)</t>
        </is>
      </c>
      <c r="W99" s="2" t="inlineStr">
        <is>
          <t>Site: illustrator and graphic designer from Mumbai with 25+ years experience; also teaches</t>
        </is>
      </c>
      <c r="X99" s="2" t="inlineStr"/>
      <c r="Y99" s="2" t="inlineStr">
        <is>
          <t>Readiness 69 (top 38% in category) | Commercial: Site: illustrator and graphic designer from Mumbai with 25+ years experience; also teaches | Active: undated (site live 2026) | Independent/emerging tier — fame not a factor</t>
        </is>
      </c>
      <c r="Z99" s="2" t="inlineStr">
        <is>
          <t>Lead with a specific work or series. Selling original work and commissions under their own name.</t>
        </is>
      </c>
      <c r="AA99" s="2" t="inlineStr">
        <is>
          <t>Teaching commitments; established client base</t>
        </is>
      </c>
      <c r="AB99" s="2" t="inlineStr">
        <is>
          <t>Commission pricing control; IP of artwork; price pressure</t>
        </is>
      </c>
      <c r="AC99" s="2" t="inlineStr">
        <is>
          <t>E03-CTA-B Written terms + registration link</t>
        </is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</row>
    <row r="100">
      <c r="A100" s="2" t="n">
        <v>99</v>
      </c>
      <c r="B100" s="2" t="inlineStr">
        <is>
          <t>Wave 1 — Founding cohort</t>
        </is>
      </c>
      <c r="C100" s="2" t="inlineStr">
        <is>
          <t>UPK2-DV-051</t>
        </is>
      </c>
      <c r="D100" s="2" t="inlineStr">
        <is>
          <t>From&amp;To</t>
        </is>
      </c>
      <c r="E100" s="2" t="inlineStr">
        <is>
          <t>Digital &amp; Visual Arts</t>
        </is>
      </c>
      <c r="F100" s="2" t="inlineStr">
        <is>
          <t>DV-DESIGN-STUDIO</t>
        </is>
      </c>
      <c r="G100" s="2" t="inlineStr">
        <is>
          <t>Brand &amp; Everyday Style</t>
        </is>
      </c>
      <c r="H100" s="2" t="inlineStr">
        <is>
          <t>Branding, website, book &amp; editorial design studio</t>
        </is>
      </c>
      <c r="I100" s="2" t="inlineStr">
        <is>
          <t>Mumbai</t>
        </is>
      </c>
      <c r="J100" s="2" t="inlineStr">
        <is>
          <t>A — Emerging / High-potential</t>
        </is>
      </c>
      <c r="K100" s="2" t="inlineStr">
        <is>
          <t>Independent design studio (founded 2023)</t>
        </is>
      </c>
      <c r="L100" s="2" t="inlineStr">
        <is>
          <t>P0</t>
        </is>
      </c>
      <c r="M100" s="2" t="inlineStr">
        <is>
          <t>P0</t>
        </is>
      </c>
      <c r="N100" s="2" t="n">
        <v>72.40000000000001</v>
      </c>
      <c r="O100" s="2" t="n">
        <v>74</v>
      </c>
      <c r="P100" s="2" t="n">
        <v>62.3</v>
      </c>
      <c r="Q100" s="2" t="n">
        <v>67</v>
      </c>
      <c r="R100" s="2" t="n">
        <v>30</v>
      </c>
      <c r="S100" s="2" t="inlineStr">
        <is>
          <t>C1-DIRECT-VERIFIED</t>
        </is>
      </c>
      <c r="T100" s="2" t="inlineStr">
        <is>
          <t>Personal 1:1 email from founder/team to published business email</t>
        </is>
      </c>
      <c r="U100" s="2" t="inlineStr">
        <is>
          <t>https://www.fromandto.design/</t>
        </is>
      </c>
      <c r="V100" s="2" t="inlineStr">
        <is>
          <t>2026 — Kyoorius Design Awards 2026 entrant (KDA gallery); site ©2026</t>
        </is>
      </c>
      <c r="W100" s="2" t="inlineStr">
        <is>
          <t>Studio services: brand identities, interactive websites, data visualisation, books</t>
        </is>
      </c>
      <c r="X100" s="2" t="inlineStr">
        <is>
          <t>Kyoorius Design Awards (2026 entrant)</t>
        </is>
      </c>
      <c r="Y100" s="2" t="inlineStr">
        <is>
          <t>Readiness 72 (top 27% in category) | Commercial: Studio services: brand identities, interactive websites, data visualisation, books | Active: 2026 — Kyoorius Design Awards 2026 entrant (KDA gallery); site ©2026 | Independent/emerging tier — fame not a factor</t>
        </is>
      </c>
      <c r="Z100" s="2" t="inlineStr">
        <is>
          <t>Lead with a specific identity/packaging project. Design services under the studio's own name; link to labels in the Brand pod.</t>
        </is>
      </c>
      <c r="AA100" s="2" t="inlineStr">
        <is>
          <t>Very small team; capacity limits</t>
        </is>
      </c>
      <c r="AB100" s="2" t="inlineStr">
        <is>
          <t>Commission pricing control; IP of artwork; price pressure</t>
        </is>
      </c>
      <c r="AC100" s="2" t="inlineStr">
        <is>
          <t>E03-CTA-A Reply/15-min call</t>
        </is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</row>
    <row r="101">
      <c r="A101" s="2" t="n">
        <v>100</v>
      </c>
      <c r="B101" s="2" t="inlineStr">
        <is>
          <t>Wave 1 — Founding cohort</t>
        </is>
      </c>
      <c r="C101" s="2" t="inlineStr">
        <is>
          <t>UPK2-DV-043</t>
        </is>
      </c>
      <c r="D101" s="2" t="inlineStr">
        <is>
          <t>Kamachi Studio</t>
        </is>
      </c>
      <c r="E101" s="2" t="inlineStr">
        <is>
          <t>Digital &amp; Visual Arts</t>
        </is>
      </c>
      <c r="F101" s="2" t="inlineStr">
        <is>
          <t>DV-ARTIST-ILLUSTRATOR</t>
        </is>
      </c>
      <c r="G101" s="2" t="inlineStr">
        <is>
          <t>Home &amp; Space</t>
        </is>
      </c>
      <c r="H101" s="2" t="inlineStr">
        <is>
          <t>Illustration &amp; animation studio</t>
        </is>
      </c>
      <c r="I101" s="2" t="inlineStr">
        <is>
          <t>Mumbai</t>
        </is>
      </c>
      <c r="J101" s="2" t="inlineStr">
        <is>
          <t>A — Emerging / High-potential</t>
        </is>
      </c>
      <c r="K101" s="2" t="inlineStr">
        <is>
          <t>Independent illustration/animation studio</t>
        </is>
      </c>
      <c r="L101" s="2" t="inlineStr">
        <is>
          <t>P0</t>
        </is>
      </c>
      <c r="M101" s="2" t="inlineStr">
        <is>
          <t>P0</t>
        </is>
      </c>
      <c r="N101" s="2" t="n">
        <v>72.40000000000001</v>
      </c>
      <c r="O101" s="2" t="n">
        <v>74</v>
      </c>
      <c r="P101" s="2" t="n">
        <v>61.9</v>
      </c>
      <c r="Q101" s="2" t="n">
        <v>69</v>
      </c>
      <c r="R101" s="2" t="n">
        <v>25</v>
      </c>
      <c r="S101" s="2" t="inlineStr">
        <is>
          <t>C1-DIRECT-VERIFIED</t>
        </is>
      </c>
      <c r="T101" s="2" t="inlineStr">
        <is>
          <t>Personal 1:1 email from founder/team to published business email</t>
        </is>
      </c>
      <c r="U101" s="2" t="inlineStr">
        <is>
          <t>https://www.kamachistudio.com/</t>
        </is>
      </c>
      <c r="V101" s="2" t="inlineStr">
        <is>
          <t>2026 — Kyoorius Design Awards 2026 Blue Elephant, Illustration for Design: Animation &amp; Motion ('Chitragaatha')</t>
        </is>
      </c>
      <c r="W101" s="2" t="inlineStr">
        <is>
          <t>Has 'Our Work' and 'Shop' sections</t>
        </is>
      </c>
      <c r="X101" s="2" t="inlineStr">
        <is>
          <t>Kyoorius Design Awards (2026 Blue Elephant)</t>
        </is>
      </c>
      <c r="Y101" s="2" t="inlineStr">
        <is>
          <t>Readiness 72 (top 27% in category) | Commercial: Has 'Our Work' and 'Shop' sections | Active: 2026 — Kyoorius Design Awards 2026 Blue Elephant, Illustration for De… | Independent/emerging tier — fame not a factor</t>
        </is>
      </c>
      <c r="Z101" s="2" t="inlineStr">
        <is>
          <t>Lead with a specific work or series. Selling original work and commissions under their own name.</t>
        </is>
      </c>
      <c r="AA101" s="2" t="inlineStr">
        <is>
          <t>Already on Behance/Fiverr/Upwork; fears price-undercutting and another profile to maintain.</t>
        </is>
      </c>
      <c r="AB101" s="2" t="inlineStr">
        <is>
          <t>Commission pricing control; IP of artwork; price pressure</t>
        </is>
      </c>
      <c r="AC101" s="2" t="inlineStr">
        <is>
          <t>E03-CTA-B Written terms + registration link</t>
        </is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</row>
    <row r="102">
      <c r="A102" s="2" t="n">
        <v>101</v>
      </c>
      <c r="B102" s="2" t="inlineStr">
        <is>
          <t>Wave 2 — Category &amp; city expansion</t>
        </is>
      </c>
      <c r="C102" s="2" t="inlineStr">
        <is>
          <t>UPK2-BM-169</t>
        </is>
      </c>
      <c r="D102" s="2" t="inlineStr">
        <is>
          <t>Vanity by Shreya</t>
        </is>
      </c>
      <c r="E102" s="2" t="inlineStr">
        <is>
          <t>Beauty &amp; Makeup</t>
        </is>
      </c>
      <c r="F102" s="2" t="inlineStr">
        <is>
          <t>BM-INDEPENDENT-MUA</t>
        </is>
      </c>
      <c r="G102" s="2" t="inlineStr">
        <is>
          <t>Wedding &amp; Occasion</t>
        </is>
      </c>
      <c r="H102" s="2" t="inlineStr">
        <is>
          <t>Bridal &amp; party makeup artist</t>
        </is>
      </c>
      <c r="I102" s="2" t="inlineStr">
        <is>
          <t>Chandigarh</t>
        </is>
      </c>
      <c r="J102" s="2" t="inlineStr">
        <is>
          <t>B — Established Independent</t>
        </is>
      </c>
      <c r="K102" s="2" t="inlineStr">
        <is>
          <t>Independent makeup artist</t>
        </is>
      </c>
      <c r="L102" s="2" t="inlineStr">
        <is>
          <t>P0</t>
        </is>
      </c>
      <c r="M102" s="2" t="inlineStr">
        <is>
          <t>P0</t>
        </is>
      </c>
      <c r="N102" s="2" t="n">
        <v>82.3</v>
      </c>
      <c r="O102" s="2" t="n">
        <v>100</v>
      </c>
      <c r="P102" s="2" t="n">
        <v>76.8</v>
      </c>
      <c r="Q102" s="2" t="n">
        <v>83</v>
      </c>
      <c r="R102" s="2" t="n">
        <v>54</v>
      </c>
      <c r="S102" s="2" t="inlineStr">
        <is>
          <t>C1-DIRECT-VERIFIED</t>
        </is>
      </c>
      <c r="T102" s="2" t="inlineStr">
        <is>
          <t>Personal 1:1 email from founder/team to published business email</t>
        </is>
      </c>
      <c r="U102" s="2" t="inlineStr">
        <is>
          <t>https://vanitybyshreya.com/</t>
        </is>
      </c>
      <c r="V102" s="2" t="inlineStr">
        <is>
          <t>2026-02 — latest client review on WedMeGood profile</t>
        </is>
      </c>
      <c r="W102" s="2" t="inlineStr">
        <is>
          <t>119 client reviews on WedMeGood (rating 5); 10 of latest 10 shown reviews dated 2025–26; starting price ₹25,000 per function listed</t>
        </is>
      </c>
      <c r="X102" s="2" t="inlineStr">
        <is>
          <t>WedMeGood (Vendor profile with client reviews); Own website (First-party site)</t>
        </is>
      </c>
      <c r="Y102" s="2" t="inlineStr">
        <is>
          <t>Readiness 82 (top 1% in category) | Commercial: 119 client reviews on WedMeGood (rating 5); 10 of latest 10 shown reviews dated 2025–26;… | Active: 2026-02 — latest client review on WedMeGood profile | Independent/emerging tier — fame not a factor</t>
        </is>
      </c>
      <c r="Z102" s="2" t="inlineStr">
        <is>
          <t>Lead with their bridal portfolio. Ask how bookings arrive today. Be explicit that service/booking availability at launch is being confirmed (EV-09).</t>
        </is>
      </c>
      <c r="AA102" s="2" t="inlineStr">
        <is>
          <t>Bookings already arrive via WedMeGood/Instagram; may see limited need for another platform</t>
        </is>
      </c>
      <c r="AB102" s="2" t="inlineStr">
        <is>
          <t>Bookings already via wedding portals/Instagram; off-platform client contact (SP-4a open); peak-season time</t>
        </is>
      </c>
      <c r="AC102" s="2" t="inlineStr">
        <is>
          <t>E05 channel/segment test (assign at wave start)</t>
        </is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</row>
    <row r="103">
      <c r="A103" s="2" t="n">
        <v>102</v>
      </c>
      <c r="B103" s="2" t="inlineStr">
        <is>
          <t>Wave 2 — Category &amp; city expansion</t>
        </is>
      </c>
      <c r="C103" s="2" t="inlineStr">
        <is>
          <t>UPK2-BM-185</t>
        </is>
      </c>
      <c r="D103" s="2" t="inlineStr">
        <is>
          <t>Makeup By Nav Brar</t>
        </is>
      </c>
      <c r="E103" s="2" t="inlineStr">
        <is>
          <t>Beauty &amp; Makeup</t>
        </is>
      </c>
      <c r="F103" s="2" t="inlineStr">
        <is>
          <t>BM-INDEPENDENT-MUA</t>
        </is>
      </c>
      <c r="G103" s="2" t="inlineStr">
        <is>
          <t>Wedding &amp; Occasion</t>
        </is>
      </c>
      <c r="H103" s="2" t="inlineStr">
        <is>
          <t>Bridal &amp; party makeup artist</t>
        </is>
      </c>
      <c r="I103" s="2" t="inlineStr">
        <is>
          <t>Chandigarh</t>
        </is>
      </c>
      <c r="J103" s="2" t="inlineStr">
        <is>
          <t>C — Strong Mid-tier</t>
        </is>
      </c>
      <c r="K103" s="2" t="inlineStr">
        <is>
          <t>Independent makeup artist</t>
        </is>
      </c>
      <c r="L103" s="2" t="inlineStr">
        <is>
          <t>P0</t>
        </is>
      </c>
      <c r="M103" s="2" t="inlineStr">
        <is>
          <t>P1</t>
        </is>
      </c>
      <c r="N103" s="2" t="n">
        <v>79</v>
      </c>
      <c r="O103" s="2" t="n">
        <v>99</v>
      </c>
      <c r="P103" s="2" t="n">
        <v>74.5</v>
      </c>
      <c r="Q103" s="2" t="n">
        <v>80</v>
      </c>
      <c r="R103" s="2" t="n">
        <v>55</v>
      </c>
      <c r="S103" s="2" t="inlineStr">
        <is>
          <t>C1-DIRECT-VERIFIED</t>
        </is>
      </c>
      <c r="T103" s="2" t="inlineStr">
        <is>
          <t>Personal 1:1 email from founder/team to published business email</t>
        </is>
      </c>
      <c r="U103" s="2" t="inlineStr">
        <is>
          <t>https://navbrar.in/</t>
        </is>
      </c>
      <c r="V103" s="2" t="inlineStr">
        <is>
          <t>2026-07 — latest client review on WedMeGood profile</t>
        </is>
      </c>
      <c r="W103" s="2" t="inlineStr">
        <is>
          <t>182 client reviews on WedMeGood (rating 5); 10 of latest 10 shown reviews dated 2025–26; starting price ₹Price on Request per function listed</t>
        </is>
      </c>
      <c r="X103" s="2" t="inlineStr">
        <is>
          <t>WedMeGood (Vendor profile with client reviews); Own website (First-party site)</t>
        </is>
      </c>
      <c r="Y103" s="2" t="inlineStr">
        <is>
          <t>Readiness 79 (top 2% in category) | Commercial: 182 client reviews on WedMeGood (rating 5); 10 of latest 10 shown reviews dated 2025–26;… | Active: 2026-07 — latest client review on WedMeGood profile</t>
        </is>
      </c>
      <c r="Z103" s="2" t="inlineStr">
        <is>
          <t>Lead with their bridal portfolio. Ask how bookings arrive today. Be explicit that service/booking availability at launch is being confirmed (EV-09).</t>
        </is>
      </c>
      <c r="AA103" s="2" t="inlineStr">
        <is>
          <t>Bookings already arrive via WedMeGood/Instagram; may see limited need for another platform</t>
        </is>
      </c>
      <c r="AB103" s="2" t="inlineStr">
        <is>
          <t>Bookings already via wedding portals/Instagram; off-platform client contact (SP-4a open); peak-season time</t>
        </is>
      </c>
      <c r="AC103" s="2" t="inlineStr">
        <is>
          <t>E05 channel/segment test (assign at wave start)</t>
        </is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</row>
    <row r="104">
      <c r="A104" s="2" t="n">
        <v>103</v>
      </c>
      <c r="B104" s="2" t="inlineStr">
        <is>
          <t>Wave 2 — Category &amp; city expansion</t>
        </is>
      </c>
      <c r="C104" s="2" t="inlineStr">
        <is>
          <t>UPK2-BM-177</t>
        </is>
      </c>
      <c r="D104" s="2" t="inlineStr">
        <is>
          <t>Makeup by Naina Goel</t>
        </is>
      </c>
      <c r="E104" s="2" t="inlineStr">
        <is>
          <t>Beauty &amp; Makeup</t>
        </is>
      </c>
      <c r="F104" s="2" t="inlineStr">
        <is>
          <t>BM-INDEPENDENT-MUA</t>
        </is>
      </c>
      <c r="G104" s="2" t="inlineStr">
        <is>
          <t>Wedding &amp; Occasion</t>
        </is>
      </c>
      <c r="H104" s="2" t="inlineStr">
        <is>
          <t>Bridal &amp; party makeup artist</t>
        </is>
      </c>
      <c r="I104" s="2" t="inlineStr">
        <is>
          <t>Chandigarh</t>
        </is>
      </c>
      <c r="J104" s="2" t="inlineStr">
        <is>
          <t>C — Strong Mid-tier</t>
        </is>
      </c>
      <c r="K104" s="2" t="inlineStr">
        <is>
          <t>Independent makeup artist</t>
        </is>
      </c>
      <c r="L104" s="2" t="inlineStr">
        <is>
          <t>P0</t>
        </is>
      </c>
      <c r="M104" s="2" t="inlineStr">
        <is>
          <t>P1</t>
        </is>
      </c>
      <c r="N104" s="2" t="n">
        <v>80.40000000000001</v>
      </c>
      <c r="O104" s="2" t="n">
        <v>99</v>
      </c>
      <c r="P104" s="2" t="n">
        <v>75.8</v>
      </c>
      <c r="Q104" s="2" t="n">
        <v>82</v>
      </c>
      <c r="R104" s="2" t="n">
        <v>55</v>
      </c>
      <c r="S104" s="2" t="inlineStr">
        <is>
          <t>C1-DIRECT-VERIFIED</t>
        </is>
      </c>
      <c r="T104" s="2" t="inlineStr">
        <is>
          <t>Personal 1:1 email from founder/team to published business email</t>
        </is>
      </c>
      <c r="U104" s="2" t="inlineStr">
        <is>
          <t>https://www.makeupbynainagoel.com/</t>
        </is>
      </c>
      <c r="V104" s="2" t="inlineStr">
        <is>
          <t>2026-06 — latest client review on WedMeGood profile</t>
        </is>
      </c>
      <c r="W104" s="2" t="inlineStr">
        <is>
          <t>192 client reviews on WedMeGood (rating 5); 10 of latest 10 shown reviews dated 2025–26; starting price ₹55,000 per function listed</t>
        </is>
      </c>
      <c r="X104" s="2" t="inlineStr">
        <is>
          <t>WedMeGood (Vendor profile with client reviews); Own website (First-party site)</t>
        </is>
      </c>
      <c r="Y104" s="2" t="inlineStr">
        <is>
          <t>Readiness 80 (top 2% in category) | Commercial: 192 client reviews on WedMeGood (rating 5); 10 of latest 10 shown reviews dated 2025–26;… | Active: 2026-06 — latest client review on WedMeGood profile</t>
        </is>
      </c>
      <c r="Z104" s="2" t="inlineStr">
        <is>
          <t>Lead with their bridal portfolio. Ask how bookings arrive today. Be explicit that service/booking availability at launch is being confirmed (EV-09).</t>
        </is>
      </c>
      <c r="AA104" s="2" t="inlineStr">
        <is>
          <t>Bookings already arrive via WedMeGood/Instagram; may see limited need for another platform</t>
        </is>
      </c>
      <c r="AB104" s="2" t="inlineStr">
        <is>
          <t>Bookings already via wedding portals/Instagram; off-platform client contact (SP-4a open); peak-season time</t>
        </is>
      </c>
      <c r="AC104" s="2" t="inlineStr">
        <is>
          <t>E05 channel/segment test (assign at wave start)</t>
        </is>
      </c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</row>
    <row r="105">
      <c r="A105" s="2" t="n">
        <v>104</v>
      </c>
      <c r="B105" s="2" t="inlineStr">
        <is>
          <t>Wave 2 — Category &amp; city expansion</t>
        </is>
      </c>
      <c r="C105" s="2" t="inlineStr">
        <is>
          <t>UPK2-BM-209</t>
        </is>
      </c>
      <c r="D105" s="2" t="inlineStr">
        <is>
          <t>Makeup by Priya Maleri</t>
        </is>
      </c>
      <c r="E105" s="2" t="inlineStr">
        <is>
          <t>Beauty &amp; Makeup</t>
        </is>
      </c>
      <c r="F105" s="2" t="inlineStr">
        <is>
          <t>BM-INDEPENDENT-MUA</t>
        </is>
      </c>
      <c r="G105" s="2" t="inlineStr">
        <is>
          <t>Wedding &amp; Occasion</t>
        </is>
      </c>
      <c r="H105" s="2" t="inlineStr">
        <is>
          <t>Bridal &amp; party makeup artist</t>
        </is>
      </c>
      <c r="I105" s="2" t="inlineStr">
        <is>
          <t>Chandigarh</t>
        </is>
      </c>
      <c r="J105" s="2" t="inlineStr">
        <is>
          <t>A — Emerging / High-potential</t>
        </is>
      </c>
      <c r="K105" s="2" t="inlineStr">
        <is>
          <t>Independent makeup artist</t>
        </is>
      </c>
      <c r="L105" s="2" t="inlineStr">
        <is>
          <t>P0</t>
        </is>
      </c>
      <c r="M105" s="2" t="inlineStr">
        <is>
          <t>P0</t>
        </is>
      </c>
      <c r="N105" s="2" t="n">
        <v>77.7</v>
      </c>
      <c r="O105" s="2" t="n">
        <v>99</v>
      </c>
      <c r="P105" s="2" t="n">
        <v>65.2</v>
      </c>
      <c r="Q105" s="2" t="n">
        <v>71</v>
      </c>
      <c r="R105" s="2" t="n">
        <v>25</v>
      </c>
      <c r="S105" s="2" t="inlineStr">
        <is>
          <t>C1-DIRECT-VERIFIED</t>
        </is>
      </c>
      <c r="T105" s="2" t="inlineStr">
        <is>
          <t>Personal 1:1 email from founder/team to published business email</t>
        </is>
      </c>
      <c r="U105" s="2" t="inlineStr">
        <is>
          <t>https://makeupbypriyamaleri.in/</t>
        </is>
      </c>
      <c r="V105" s="2" t="inlineStr">
        <is>
          <t>2026-08 — latest client review on WedMeGood profile</t>
        </is>
      </c>
      <c r="W105" s="2" t="inlineStr">
        <is>
          <t>3 client reviews on WedMeGood (rating 5); 3 of latest 3 shown reviews dated 2025–26; starting price ₹20,000 per function listed</t>
        </is>
      </c>
      <c r="X105" s="2" t="inlineStr">
        <is>
          <t>WedMeGood (Vendor profile with client reviews); Own website (First-party site)</t>
        </is>
      </c>
      <c r="Y105" s="2" t="inlineStr">
        <is>
          <t>Readiness 78 (top 2% in category) | Commercial: 3 client reviews on WedMeGood (rating 5); 3 of latest 3 shown reviews dated 2025–26; star… | Active: 2026-08 — latest client review on WedMeGood profile | Independent/emerging tier — fame not a factor</t>
        </is>
      </c>
      <c r="Z105" s="2" t="inlineStr">
        <is>
          <t>Lead with their bridal portfolio. Ask how bookings arrive today. Be explicit that service/booking availability at launch is being confirmed (EV-09).</t>
        </is>
      </c>
      <c r="AA105" s="2" t="inlineStr">
        <is>
          <t>Bookings already arrive via WedMeGood/Instagram; may see limited need for another platform</t>
        </is>
      </c>
      <c r="AB105" s="2" t="inlineStr">
        <is>
          <t>Bookings already via wedding portals/Instagram; off-platform client contact (SP-4a open); peak-season time</t>
        </is>
      </c>
      <c r="AC105" s="2" t="inlineStr">
        <is>
          <t>E05 channel/segment test (assign at wave start)</t>
        </is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</row>
    <row r="106">
      <c r="A106" s="2" t="n">
        <v>105</v>
      </c>
      <c r="B106" s="2" t="inlineStr">
        <is>
          <t>Wave 2 — Category &amp; city expansion</t>
        </is>
      </c>
      <c r="C106" s="2" t="inlineStr">
        <is>
          <t>UPK2-BM-016</t>
        </is>
      </c>
      <c r="D106" s="2" t="inlineStr">
        <is>
          <t>SAY Bridal Studio</t>
        </is>
      </c>
      <c r="E106" s="2" t="inlineStr">
        <is>
          <t>Beauty &amp; Makeup</t>
        </is>
      </c>
      <c r="F106" s="2" t="inlineStr">
        <is>
          <t>BM-MEHENDI</t>
        </is>
      </c>
      <c r="G106" s="2" t="inlineStr">
        <is>
          <t>Wedding &amp; Occasion</t>
        </is>
      </c>
      <c r="H106" s="2" t="inlineStr">
        <is>
          <t>Bridal Makeup Studio (Chennai &amp; Bengaluru)</t>
        </is>
      </c>
      <c r="I106" s="2" t="inlineStr">
        <is>
          <t>Chennai</t>
        </is>
      </c>
      <c r="J106" s="2" t="inlineStr">
        <is>
          <t>C — Strong Mid-tier</t>
        </is>
      </c>
      <c r="K106" s="2" t="inlineStr">
        <is>
          <t>Studio</t>
        </is>
      </c>
      <c r="L106" s="2" t="inlineStr">
        <is>
          <t>P0</t>
        </is>
      </c>
      <c r="M106" s="2" t="inlineStr">
        <is>
          <t>P1</t>
        </is>
      </c>
      <c r="N106" s="2" t="n">
        <v>74.09999999999999</v>
      </c>
      <c r="O106" s="2" t="n">
        <v>96</v>
      </c>
      <c r="P106" s="2" t="n">
        <v>65.90000000000001</v>
      </c>
      <c r="Q106" s="2" t="n">
        <v>73</v>
      </c>
      <c r="R106" s="2" t="n">
        <v>35</v>
      </c>
      <c r="S106" s="2" t="inlineStr">
        <is>
          <t>C1-DIRECT-VERIFIED</t>
        </is>
      </c>
      <c r="T106" s="2" t="inlineStr">
        <is>
          <t>Personal 1:1 email from founder/team to published business email</t>
        </is>
      </c>
      <c r="U106" s="2" t="inlineStr">
        <is>
          <t>https://www.saybridalstudio.in/</t>
        </is>
      </c>
      <c r="V106" s="2" t="inlineStr">
        <is>
          <t>2026 — copyright/site content</t>
        </is>
      </c>
      <c r="W106" s="2" t="inlineStr">
        <is>
          <t>Studios in Chennai and Bangalore (Residency Road); publishes Bangalore MUA guide</t>
        </is>
      </c>
      <c r="X106" s="2" t="inlineStr"/>
      <c r="Y106" s="2" t="inlineStr">
        <is>
          <t>Readiness 74 (top 5% in category) | Commercial: Studios in Chennai and Bangalore (Residency Road); publishes Bangalore MUA guide | Active: 2026 — copyright/site content</t>
        </is>
      </c>
      <c r="Z106" s="2" t="inlineStr">
        <is>
          <t>Lead with a specific design style. Ask how bookings arrive today. Service/booking availability at launch is being confirmed (EV-09).</t>
        </is>
      </c>
      <c r="AA106" s="2" t="inlineStr">
        <is>
          <t>Already gets leads via own site, Google and Instagram</t>
        </is>
      </c>
      <c r="AB106" s="2" t="inlineStr">
        <is>
          <t>Bookings already via wedding portals/Instagram; off-platform client contact (SP-4a open); peak-season time</t>
        </is>
      </c>
      <c r="AC106" s="2" t="inlineStr">
        <is>
          <t>E05 channel/segment test (assign at wave start)</t>
        </is>
      </c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</row>
    <row r="107">
      <c r="A107" s="2" t="n">
        <v>106</v>
      </c>
      <c r="B107" s="2" t="inlineStr">
        <is>
          <t>Wave 2 — Category &amp; city expansion</t>
        </is>
      </c>
      <c r="C107" s="2" t="inlineStr">
        <is>
          <t>UPK2-BM-176</t>
        </is>
      </c>
      <c r="D107" s="2" t="inlineStr">
        <is>
          <t>Pristine Makeovers</t>
        </is>
      </c>
      <c r="E107" s="2" t="inlineStr">
        <is>
          <t>Beauty &amp; Makeup</t>
        </is>
      </c>
      <c r="F107" s="2" t="inlineStr">
        <is>
          <t>BM-STUDIO</t>
        </is>
      </c>
      <c r="G107" s="2" t="inlineStr">
        <is>
          <t>Wedding &amp; Occasion</t>
        </is>
      </c>
      <c r="H107" s="2" t="inlineStr">
        <is>
          <t>Bridal Makeup Studio</t>
        </is>
      </c>
      <c r="I107" s="2" t="inlineStr">
        <is>
          <t>Ahmedabad</t>
        </is>
      </c>
      <c r="J107" s="2" t="inlineStr">
        <is>
          <t>C — Strong Mid-tier</t>
        </is>
      </c>
      <c r="K107" s="2" t="inlineStr">
        <is>
          <t>Bridal Makeup studio</t>
        </is>
      </c>
      <c r="L107" s="2" t="inlineStr">
        <is>
          <t>P0</t>
        </is>
      </c>
      <c r="M107" s="2" t="inlineStr">
        <is>
          <t>P1</t>
        </is>
      </c>
      <c r="N107" s="2" t="n">
        <v>78.5</v>
      </c>
      <c r="O107" s="2" t="n">
        <v>99</v>
      </c>
      <c r="P107" s="2" t="n">
        <v>65.2</v>
      </c>
      <c r="Q107" s="2" t="n">
        <v>74</v>
      </c>
      <c r="R107" s="2" t="n">
        <v>19</v>
      </c>
      <c r="S107" s="2" t="inlineStr">
        <is>
          <t>C1-DIRECT-VERIFIED</t>
        </is>
      </c>
      <c r="T107" s="2" t="inlineStr">
        <is>
          <t>Personal 1:1 email from founder/team to published business email</t>
        </is>
      </c>
      <c r="U107" s="2" t="inlineStr">
        <is>
          <t>https://www.pristinemakeovers.com/</t>
        </is>
      </c>
      <c r="V107" s="2" t="inlineStr">
        <is>
          <t>2026-01 — latest client review on WedMeGood profile</t>
        </is>
      </c>
      <c r="W107" s="2" t="inlineStr">
        <is>
          <t>48 client reviews on WedMeGood (rating 4.7); starting price Rs 13,000; Hair Styling, Draping, Nail Polish Change, Makeup, Extensions, False Lashes; North India…</t>
        </is>
      </c>
      <c r="X107" s="2" t="inlineStr">
        <is>
          <t>WedMeGood (Vendor profile (Bridal Makeup Artists, Lite membership, on WMG 10 years))</t>
        </is>
      </c>
      <c r="Y107" s="2" t="inlineStr">
        <is>
          <t>Readiness 78 (top 2% in category) | Commercial: 48 client reviews on WedMeGood (rating 4.7); starting price Rs 13,000; Hair Styling, Drap… | Active: 2026-01 — latest client review on WedMeGood profile</t>
        </is>
      </c>
      <c r="Z107" s="2" t="inlineStr">
        <is>
          <t>Lead with the studio's body of work and team. Ask how bookings arrive today. Service/booking availability at launch is being confirmed (EV-09).</t>
        </is>
      </c>
      <c r="AA107" s="2" t="inlineStr">
        <is>
          <t>Bookings already come via WedMeGood, Instagram and WhatsApp referrals</t>
        </is>
      </c>
      <c r="AB107" s="2" t="inlineStr">
        <is>
          <t>Bookings already via wedding portals/Instagram; off-platform client contact (SP-4a open); peak-season time</t>
        </is>
      </c>
      <c r="AC107" s="2" t="inlineStr">
        <is>
          <t>E05 channel/segment test (assign at wave start)</t>
        </is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</row>
    <row r="108">
      <c r="A108" s="2" t="n">
        <v>107</v>
      </c>
      <c r="B108" s="2" t="inlineStr">
        <is>
          <t>Wave 2 — Category &amp; city expansion</t>
        </is>
      </c>
      <c r="C108" s="2" t="inlineStr">
        <is>
          <t>UPK2-BM-024</t>
        </is>
      </c>
      <c r="D108" s="2" t="inlineStr">
        <is>
          <t>Sneha Bahekar Makeup Studio &amp; Academy</t>
        </is>
      </c>
      <c r="E108" s="2" t="inlineStr">
        <is>
          <t>Beauty &amp; Makeup</t>
        </is>
      </c>
      <c r="F108" s="2" t="inlineStr">
        <is>
          <t>BM-STUDIO</t>
        </is>
      </c>
      <c r="G108" s="2" t="inlineStr">
        <is>
          <t>Wedding &amp; Occasion</t>
        </is>
      </c>
      <c r="H108" s="2" t="inlineStr">
        <is>
          <t>Bridal MUA, Academy &amp; Nails</t>
        </is>
      </c>
      <c r="I108" s="2" t="inlineStr">
        <is>
          <t>Pune</t>
        </is>
      </c>
      <c r="J108" s="2" t="inlineStr">
        <is>
          <t>B — Established Independent</t>
        </is>
      </c>
      <c r="K108" s="2" t="inlineStr">
        <is>
          <t>Studio &amp; academy</t>
        </is>
      </c>
      <c r="L108" s="2" t="inlineStr">
        <is>
          <t>P0</t>
        </is>
      </c>
      <c r="M108" s="2" t="inlineStr">
        <is>
          <t>P0</t>
        </is>
      </c>
      <c r="N108" s="2" t="n">
        <v>73.7</v>
      </c>
      <c r="O108" s="2" t="n">
        <v>95</v>
      </c>
      <c r="P108" s="2" t="n">
        <v>62.6</v>
      </c>
      <c r="Q108" s="2" t="n">
        <v>69</v>
      </c>
      <c r="R108" s="2" t="n">
        <v>25</v>
      </c>
      <c r="S108" s="2" t="inlineStr">
        <is>
          <t>C1-DIRECT-VERIFIED</t>
        </is>
      </c>
      <c r="T108" s="2" t="inlineStr">
        <is>
          <t>Personal 1:1 email from founder/team to published business email</t>
        </is>
      </c>
      <c r="U108" s="2" t="inlineStr">
        <is>
          <t>https://www.snehabahekarmakeupartist.com/contact-us/</t>
        </is>
      </c>
      <c r="V108" s="2" t="inlineStr">
        <is>
          <t>2026-08 — site dateModified</t>
        </is>
      </c>
      <c r="W108" s="2" t="inlineStr">
        <is>
          <t>15 yrs; studio in Wakad/PCMC (site)</t>
        </is>
      </c>
      <c r="X108" s="2" t="inlineStr"/>
      <c r="Y108" s="2" t="inlineStr">
        <is>
          <t>Readiness 74 (top 6% in category) | Commercial: 15 yrs; studio in Wakad/PCMC (site) | Active: 2026-08 — site dateModified | Independent/emerging tier — fame not a factor</t>
        </is>
      </c>
      <c r="Z108" s="2" t="inlineStr">
        <is>
          <t>Lead with the studio's body of work and team. Ask how bookings arrive today. Service/booking availability at launch is being confirmed (EV-09).</t>
        </is>
      </c>
      <c r="AA108" s="2" t="inlineStr">
        <is>
          <t>Already gets leads via own site, Google and Instagram</t>
        </is>
      </c>
      <c r="AB108" s="2" t="inlineStr">
        <is>
          <t>Bookings already via wedding portals/Instagram; off-platform client contact (SP-4a open); peak-season time</t>
        </is>
      </c>
      <c r="AC108" s="2" t="inlineStr">
        <is>
          <t>E05 channel/segment test (assign at wave start)</t>
        </is>
      </c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</row>
    <row r="109">
      <c r="A109" s="2" t="n">
        <v>108</v>
      </c>
      <c r="B109" s="2" t="inlineStr">
        <is>
          <t>Wave 2 — Category &amp; city expansion</t>
        </is>
      </c>
      <c r="C109" s="2" t="inlineStr">
        <is>
          <t>UPK2-BM-008</t>
        </is>
      </c>
      <c r="D109" s="2" t="inlineStr">
        <is>
          <t>Vijay Makeup Artist</t>
        </is>
      </c>
      <c r="E109" s="2" t="inlineStr">
        <is>
          <t>Beauty &amp; Makeup</t>
        </is>
      </c>
      <c r="F109" s="2" t="inlineStr">
        <is>
          <t>BM-STUDIO</t>
        </is>
      </c>
      <c r="G109" s="2" t="inlineStr">
        <is>
          <t>Wedding &amp; Occasion</t>
        </is>
      </c>
      <c r="H109" s="2" t="inlineStr">
        <is>
          <t>Bridal &amp; Groom MUA</t>
        </is>
      </c>
      <c r="I109" s="2" t="inlineStr">
        <is>
          <t>Chennai</t>
        </is>
      </c>
      <c r="J109" s="2" t="inlineStr">
        <is>
          <t>B — Established Independent</t>
        </is>
      </c>
      <c r="K109" s="2" t="inlineStr">
        <is>
          <t>Studio</t>
        </is>
      </c>
      <c r="L109" s="2" t="inlineStr">
        <is>
          <t>P0</t>
        </is>
      </c>
      <c r="M109" s="2" t="inlineStr">
        <is>
          <t>P0</t>
        </is>
      </c>
      <c r="N109" s="2" t="n">
        <v>73.7</v>
      </c>
      <c r="O109" s="2" t="n">
        <v>95</v>
      </c>
      <c r="P109" s="2" t="n">
        <v>63.4</v>
      </c>
      <c r="Q109" s="2" t="n">
        <v>72</v>
      </c>
      <c r="R109" s="2" t="n">
        <v>25</v>
      </c>
      <c r="S109" s="2" t="inlineStr">
        <is>
          <t>C1-DIRECT-VERIFIED</t>
        </is>
      </c>
      <c r="T109" s="2" t="inlineStr">
        <is>
          <t>Personal 1:1 email from founder/team to published business email</t>
        </is>
      </c>
      <c r="U109" s="2" t="inlineStr">
        <is>
          <t>https://www.bridalmakeupartistvijay.com/</t>
        </is>
      </c>
      <c r="V109" s="2" t="inlineStr">
        <is>
          <t>undated (site live 2026-10)</t>
        </is>
      </c>
      <c r="W109" s="2" t="inlineStr">
        <is>
          <t>Vadapalani studio; bridal, groom, celebrity-style services</t>
        </is>
      </c>
      <c r="X109" s="2" t="inlineStr"/>
      <c r="Y109" s="2" t="inlineStr">
        <is>
          <t>Readiness 74 (top 6% in category) | Commercial: Vadapalani studio; bridal, groom, celebrity-style services | Active: undated (site live 2026-10) | Independent/emerging tier — fame not a factor</t>
        </is>
      </c>
      <c r="Z109" s="2" t="inlineStr">
        <is>
          <t>Lead with the studio's body of work and team. Ask how bookings arrive today. Service/booking availability at launch is being confirmed (EV-09).</t>
        </is>
      </c>
      <c r="AA109" s="2" t="inlineStr">
        <is>
          <t>Already gets leads via own site, Google and Instagram</t>
        </is>
      </c>
      <c r="AB109" s="2" t="inlineStr">
        <is>
          <t>Bookings already via wedding portals/Instagram; off-platform client contact (SP-4a open); peak-season time</t>
        </is>
      </c>
      <c r="AC109" s="2" t="inlineStr">
        <is>
          <t>E05 channel/segment test (assign at wave start)</t>
        </is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</row>
    <row r="110">
      <c r="A110" s="2" t="n">
        <v>109</v>
      </c>
      <c r="B110" s="2" t="inlineStr">
        <is>
          <t>Wave 2 — Category &amp; city expansion</t>
        </is>
      </c>
      <c r="C110" s="2" t="inlineStr">
        <is>
          <t>UPK2-BM-017</t>
        </is>
      </c>
      <c r="D110" s="2" t="inlineStr">
        <is>
          <t>Piyaliiz Makeup &amp; Beauty Academy</t>
        </is>
      </c>
      <c r="E110" s="2" t="inlineStr">
        <is>
          <t>Beauty &amp; Makeup</t>
        </is>
      </c>
      <c r="F110" s="2" t="inlineStr">
        <is>
          <t>BM-STUDIO</t>
        </is>
      </c>
      <c r="G110" s="2" t="inlineStr">
        <is>
          <t>Wedding &amp; Occasion</t>
        </is>
      </c>
      <c r="H110" s="2" t="inlineStr">
        <is>
          <t>Bengali Bridal MUA &amp; Academy</t>
        </is>
      </c>
      <c r="I110" s="2" t="inlineStr">
        <is>
          <t>Kolkata</t>
        </is>
      </c>
      <c r="J110" s="2" t="inlineStr">
        <is>
          <t>B — Established Independent</t>
        </is>
      </c>
      <c r="K110" s="2" t="inlineStr">
        <is>
          <t>Studio &amp; academy</t>
        </is>
      </c>
      <c r="L110" s="2" t="inlineStr">
        <is>
          <t>P0</t>
        </is>
      </c>
      <c r="M110" s="2" t="inlineStr">
        <is>
          <t>P0</t>
        </is>
      </c>
      <c r="N110" s="2" t="n">
        <v>73.7</v>
      </c>
      <c r="O110" s="2" t="n">
        <v>95</v>
      </c>
      <c r="P110" s="2" t="n">
        <v>63.2</v>
      </c>
      <c r="Q110" s="2" t="n">
        <v>71</v>
      </c>
      <c r="R110" s="2" t="n">
        <v>25</v>
      </c>
      <c r="S110" s="2" t="inlineStr">
        <is>
          <t>C1-DIRECT-VERIFIED</t>
        </is>
      </c>
      <c r="T110" s="2" t="inlineStr">
        <is>
          <t>Personal 1:1 email from founder/team to published business email</t>
        </is>
      </c>
      <c r="U110" s="2" t="inlineStr">
        <is>
          <t>https://www.piyalizacademy.in/</t>
        </is>
      </c>
      <c r="V110" s="2" t="inlineStr">
        <is>
          <t>2026 — site content</t>
        </is>
      </c>
      <c r="W110" s="2" t="inlineStr">
        <is>
          <t>Bengali bridal; academy; Thakurpukur head office</t>
        </is>
      </c>
      <c r="X110" s="2" t="inlineStr"/>
      <c r="Y110" s="2" t="inlineStr">
        <is>
          <t>Readiness 74 (top 6% in category) | Commercial: Bengali bridal; academy; Thakurpukur head office | Active: 2026 — site content | Independent/emerging tier — fame not a factor</t>
        </is>
      </c>
      <c r="Z110" s="2" t="inlineStr">
        <is>
          <t>Lead with the studio's body of work and team. Ask how bookings arrive today. Service/booking availability at launch is being confirmed (EV-09).</t>
        </is>
      </c>
      <c r="AA110" s="2" t="inlineStr">
        <is>
          <t>Already gets leads via own site, Google and Instagram</t>
        </is>
      </c>
      <c r="AB110" s="2" t="inlineStr">
        <is>
          <t>Bookings already via wedding portals/Instagram; off-platform client contact (SP-4a open); peak-season time</t>
        </is>
      </c>
      <c r="AC110" s="2" t="inlineStr">
        <is>
          <t>E05 channel/segment test (assign at wave start)</t>
        </is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</row>
    <row r="111">
      <c r="A111" s="2" t="n">
        <v>110</v>
      </c>
      <c r="B111" s="2" t="inlineStr">
        <is>
          <t>Wave 2 — Category &amp; city expansion</t>
        </is>
      </c>
      <c r="C111" s="2" t="inlineStr">
        <is>
          <t>UPK2-BM-011</t>
        </is>
      </c>
      <c r="D111" s="2" t="inlineStr">
        <is>
          <t>Reshma Fattepurkar Makeup Studio &amp; Academy</t>
        </is>
      </c>
      <c r="E111" s="2" t="inlineStr">
        <is>
          <t>Beauty &amp; Makeup</t>
        </is>
      </c>
      <c r="F111" s="2" t="inlineStr">
        <is>
          <t>BM-STUDIO</t>
        </is>
      </c>
      <c r="G111" s="2" t="inlineStr">
        <is>
          <t>Wedding &amp; Occasion</t>
        </is>
      </c>
      <c r="H111" s="2" t="inlineStr">
        <is>
          <t>Bridal &amp; Celebrity MUA + Academy</t>
        </is>
      </c>
      <c r="I111" s="2" t="inlineStr">
        <is>
          <t>Pune</t>
        </is>
      </c>
      <c r="J111" s="2" t="inlineStr">
        <is>
          <t>B — Established Independent</t>
        </is>
      </c>
      <c r="K111" s="2" t="inlineStr">
        <is>
          <t>Studio &amp; academy</t>
        </is>
      </c>
      <c r="L111" s="2" t="inlineStr">
        <is>
          <t>P0</t>
        </is>
      </c>
      <c r="M111" s="2" t="inlineStr">
        <is>
          <t>P0</t>
        </is>
      </c>
      <c r="N111" s="2" t="n">
        <v>73.7</v>
      </c>
      <c r="O111" s="2" t="n">
        <v>95</v>
      </c>
      <c r="P111" s="2" t="n">
        <v>63.2</v>
      </c>
      <c r="Q111" s="2" t="n">
        <v>71</v>
      </c>
      <c r="R111" s="2" t="n">
        <v>25</v>
      </c>
      <c r="S111" s="2" t="inlineStr">
        <is>
          <t>C1-DIRECT-VERIFIED</t>
        </is>
      </c>
      <c r="T111" s="2" t="inlineStr">
        <is>
          <t>Personal 1:1 email from founder/team to published business email</t>
        </is>
      </c>
      <c r="U111" s="2" t="inlineStr">
        <is>
          <t>https://www.reshmafattepurkar.com/</t>
        </is>
      </c>
      <c r="V111" s="2" t="inlineStr">
        <is>
          <t>2026 — site content</t>
        </is>
      </c>
      <c r="W111" s="2" t="inlineStr">
        <is>
          <t>Wakad studio; celebrity makeup page; academy (site)</t>
        </is>
      </c>
      <c r="X111" s="2" t="inlineStr"/>
      <c r="Y111" s="2" t="inlineStr">
        <is>
          <t>Readiness 74 (top 6% in category) | Commercial: Wakad studio; celebrity makeup page; academy (site) | Active: 2026 — site content | Independent/emerging tier — fame not a factor</t>
        </is>
      </c>
      <c r="Z111" s="2" t="inlineStr">
        <is>
          <t>Lead with the studio's body of work and team. Ask how bookings arrive today. Service/booking availability at launch is being confirmed (EV-09).</t>
        </is>
      </c>
      <c r="AA111" s="2" t="inlineStr">
        <is>
          <t>Already gets leads via own site, Google and Instagram</t>
        </is>
      </c>
      <c r="AB111" s="2" t="inlineStr">
        <is>
          <t>Bookings already via wedding portals/Instagram; off-platform client contact (SP-4a open); peak-season time</t>
        </is>
      </c>
      <c r="AC111" s="2" t="inlineStr">
        <is>
          <t>E05 channel/segment test (assign at wave start)</t>
        </is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</row>
    <row r="112">
      <c r="A112" s="2" t="n">
        <v>111</v>
      </c>
      <c r="B112" s="2" t="inlineStr">
        <is>
          <t>Wave 2 — Category &amp; city expansion</t>
        </is>
      </c>
      <c r="C112" s="2" t="inlineStr">
        <is>
          <t>UPK2-BM-010</t>
        </is>
      </c>
      <c r="D112" s="2" t="inlineStr">
        <is>
          <t>The Professional Makeup Studio</t>
        </is>
      </c>
      <c r="E112" s="2" t="inlineStr">
        <is>
          <t>Beauty &amp; Makeup</t>
        </is>
      </c>
      <c r="F112" s="2" t="inlineStr">
        <is>
          <t>BM-STUDIO</t>
        </is>
      </c>
      <c r="G112" s="2" t="inlineStr">
        <is>
          <t>Wedding &amp; Occasion</t>
        </is>
      </c>
      <c r="H112" s="2" t="inlineStr">
        <is>
          <t>Bridal MUA &amp; Beauty Academy</t>
        </is>
      </c>
      <c r="I112" s="2" t="inlineStr">
        <is>
          <t>Ahmedabad</t>
        </is>
      </c>
      <c r="J112" s="2" t="inlineStr">
        <is>
          <t>B — Established Independent</t>
        </is>
      </c>
      <c r="K112" s="2" t="inlineStr">
        <is>
          <t>Studio &amp; academy</t>
        </is>
      </c>
      <c r="L112" s="2" t="inlineStr">
        <is>
          <t>P0</t>
        </is>
      </c>
      <c r="M112" s="2" t="inlineStr">
        <is>
          <t>P0</t>
        </is>
      </c>
      <c r="N112" s="2" t="n">
        <v>73.7</v>
      </c>
      <c r="O112" s="2" t="n">
        <v>95</v>
      </c>
      <c r="P112" s="2" t="n">
        <v>63.2</v>
      </c>
      <c r="Q112" s="2" t="n">
        <v>71</v>
      </c>
      <c r="R112" s="2" t="n">
        <v>25</v>
      </c>
      <c r="S112" s="2" t="inlineStr">
        <is>
          <t>C1-DIRECT-VERIFIED</t>
        </is>
      </c>
      <c r="T112" s="2" t="inlineStr">
        <is>
          <t>Personal 1:1 email from founder/team to published business email</t>
        </is>
      </c>
      <c r="U112" s="2" t="inlineStr">
        <is>
          <t>https://theprofessioinalmakeupstudio.com/</t>
        </is>
      </c>
      <c r="V112" s="2" t="inlineStr">
        <is>
          <t>2026 — copyright</t>
        </is>
      </c>
      <c r="W112" s="2" t="inlineStr">
        <is>
          <t>Bridal makeup + academy, New Naroda/Nikol (site)</t>
        </is>
      </c>
      <c r="X112" s="2" t="inlineStr"/>
      <c r="Y112" s="2" t="inlineStr">
        <is>
          <t>Readiness 74 (top 6% in category) | Commercial: Bridal makeup + academy, New Naroda/Nikol (site) | Active: 2026 — copyright | Independent/emerging tier — fame not a factor</t>
        </is>
      </c>
      <c r="Z112" s="2" t="inlineStr">
        <is>
          <t>Lead with the studio's body of work and team. Ask how bookings arrive today. Service/booking availability at launch is being confirmed (EV-09).</t>
        </is>
      </c>
      <c r="AA112" s="2" t="inlineStr">
        <is>
          <t>Already gets leads via own site, Google and Instagram</t>
        </is>
      </c>
      <c r="AB112" s="2" t="inlineStr">
        <is>
          <t>Bookings already via wedding portals/Instagram; off-platform client contact (SP-4a open); peak-season time</t>
        </is>
      </c>
      <c r="AC112" s="2" t="inlineStr">
        <is>
          <t>E05 channel/segment test (assign at wave start)</t>
        </is>
      </c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</row>
    <row r="113">
      <c r="A113" s="2" t="n">
        <v>112</v>
      </c>
      <c r="B113" s="2" t="inlineStr">
        <is>
          <t>Wave 2 — Category &amp; city expansion</t>
        </is>
      </c>
      <c r="C113" s="2" t="inlineStr">
        <is>
          <t>UPK2-BM-211</t>
        </is>
      </c>
      <c r="D113" s="2" t="inlineStr">
        <is>
          <t>Makeup By Meenakshi Kapoor</t>
        </is>
      </c>
      <c r="E113" s="2" t="inlineStr">
        <is>
          <t>Beauty &amp; Makeup</t>
        </is>
      </c>
      <c r="F113" s="2" t="inlineStr">
        <is>
          <t>BM-INDEPENDENT-MUA</t>
        </is>
      </c>
      <c r="G113" s="2" t="inlineStr">
        <is>
          <t>Wedding &amp; Occasion</t>
        </is>
      </c>
      <c r="H113" s="2" t="inlineStr">
        <is>
          <t>Bridal &amp; Party Makeup Artist (hair &amp; makeup)</t>
        </is>
      </c>
      <c r="I113" s="2" t="inlineStr">
        <is>
          <t>Hyderabad</t>
        </is>
      </c>
      <c r="J113" s="2" t="inlineStr">
        <is>
          <t>B — Established Independent</t>
        </is>
      </c>
      <c r="K113" s="2" t="inlineStr">
        <is>
          <t>Independent professional</t>
        </is>
      </c>
      <c r="L113" s="2" t="inlineStr">
        <is>
          <t>P0</t>
        </is>
      </c>
      <c r="M113" s="2" t="inlineStr">
        <is>
          <t>P0</t>
        </is>
      </c>
      <c r="N113" s="2" t="n">
        <v>75.59999999999999</v>
      </c>
      <c r="O113" s="2" t="n">
        <v>97</v>
      </c>
      <c r="P113" s="2" t="n">
        <v>63.1</v>
      </c>
      <c r="Q113" s="2" t="n">
        <v>73</v>
      </c>
      <c r="R113" s="2" t="n">
        <v>17</v>
      </c>
      <c r="S113" s="2" t="inlineStr">
        <is>
          <t>C3-PRO-SOCIAL</t>
        </is>
      </c>
      <c r="T113" s="2" t="inlineStr">
        <is>
          <t>1:1 Instagram DM from Uepaki professional account</t>
        </is>
      </c>
      <c r="U113" s="2" t="inlineStr">
        <is>
          <t>https://makeupbymeenakshikapoor.in/</t>
        </is>
      </c>
      <c r="V113" s="2" t="inlineStr">
        <is>
          <t>2026-03 — latest client review 2026-03; portfolio upload 2026-02 (WedMeGood profile)</t>
        </is>
      </c>
      <c r="W113" s="2" t="inlineStr">
        <is>
          <t>37 client reviews on WedMeGood (rating 4.9); listed price 18,000</t>
        </is>
      </c>
      <c r="X113" s="2" t="inlineStr">
        <is>
          <t>WedMeGood (Vendor profile (Bridal Makeup))</t>
        </is>
      </c>
      <c r="Y113" s="2" t="inlineStr">
        <is>
          <t>Readiness 76 (top 4% in category) | Commercial: 37 client reviews on WedMeGood (rating 4.9); listed price 18,000 | Active: 2026-03 — latest client review 2026-03; portfolio upload 2026-02 (Wed… | Independent/emerging tier — fame not a factor</t>
        </is>
      </c>
      <c r="Z113" s="2" t="inlineStr">
        <is>
          <t>Lead with their bridal portfolio. Ask how bookings arrive today. Be explicit that service/booking availability at launch is being confirmed (EV-09).</t>
        </is>
      </c>
      <c r="AA113" s="2" t="inlineStr">
        <is>
          <t>Bookings already flow through WedMeGood, Instagram and WhatsApp referrals</t>
        </is>
      </c>
      <c r="AB113" s="2" t="inlineStr">
        <is>
          <t>Bookings already via wedding portals/Instagram; off-platform client contact (SP-4a open); peak-season time</t>
        </is>
      </c>
      <c r="AC113" s="2" t="inlineStr">
        <is>
          <t>E05 channel/segment test (assign at wave start)</t>
        </is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</row>
    <row r="114">
      <c r="A114" s="2" t="n">
        <v>113</v>
      </c>
      <c r="B114" s="2" t="inlineStr">
        <is>
          <t>Wave 2 — Category &amp; city expansion</t>
        </is>
      </c>
      <c r="C114" s="2" t="inlineStr">
        <is>
          <t>UPK2-BM-278</t>
        </is>
      </c>
      <c r="D114" s="2" t="inlineStr">
        <is>
          <t>Jaipur Mehandi Artist</t>
        </is>
      </c>
      <c r="E114" s="2" t="inlineStr">
        <is>
          <t>Beauty &amp; Makeup</t>
        </is>
      </c>
      <c r="F114" s="2" t="inlineStr">
        <is>
          <t>BM-MEHENDI</t>
        </is>
      </c>
      <c r="G114" s="2" t="inlineStr">
        <is>
          <t>Wedding &amp; Occasion</t>
        </is>
      </c>
      <c r="H114" s="2" t="inlineStr">
        <is>
          <t>Mehendi / henna artist</t>
        </is>
      </c>
      <c r="I114" s="2" t="inlineStr">
        <is>
          <t>Jaipur</t>
        </is>
      </c>
      <c r="J114" s="2" t="inlineStr">
        <is>
          <t>A — Emerging / High-potential</t>
        </is>
      </c>
      <c r="K114" s="2" t="inlineStr">
        <is>
          <t>Independent mehendi artist / team</t>
        </is>
      </c>
      <c r="L114" s="2" t="inlineStr">
        <is>
          <t>P0</t>
        </is>
      </c>
      <c r="M114" s="2" t="inlineStr">
        <is>
          <t>P0</t>
        </is>
      </c>
      <c r="N114" s="2" t="n">
        <v>73.3</v>
      </c>
      <c r="O114" s="2" t="n">
        <v>94</v>
      </c>
      <c r="P114" s="2" t="n">
        <v>62.4</v>
      </c>
      <c r="Q114" s="2" t="n">
        <v>68</v>
      </c>
      <c r="R114" s="2" t="n">
        <v>27</v>
      </c>
      <c r="S114" s="2" t="inlineStr">
        <is>
          <t>C1-DIRECT-VERIFIED</t>
        </is>
      </c>
      <c r="T114" s="2" t="inlineStr">
        <is>
          <t>Personal 1:1 email from founder/team to published business email</t>
        </is>
      </c>
      <c r="U114" s="2" t="inlineStr">
        <is>
          <t>https://www.jaipurmehandiartist.com/</t>
        </is>
      </c>
      <c r="V114" s="2" t="inlineStr">
        <is>
          <t>2025-10 — latest client review on WedMeGood profile</t>
        </is>
      </c>
      <c r="W114" s="2" t="inlineStr">
        <is>
          <t>11 client reviews on WedMeGood (rating 4.5); 1 of latest 10 shown reviews dated 2025–26; starting price ₹5100 onwards per package/function listed</t>
        </is>
      </c>
      <c r="X114" s="2" t="inlineStr">
        <is>
          <t>WedMeGood (Vendor profile with client reviews); Own website (First-party site)</t>
        </is>
      </c>
      <c r="Y114" s="2" t="inlineStr">
        <is>
          <t>Readiness 73 (top 7% in category) | Commercial: 11 client reviews on WedMeGood (rating 4.5); 1 of latest 10 shown reviews dated 2025–26;… | Active: 2025-10 — latest client review on WedMeGood profile | Independent/emerging tier — fame not a factor</t>
        </is>
      </c>
      <c r="Z114" s="2" t="inlineStr">
        <is>
          <t>Lead with a specific design style. Ask how bookings arrive today. Service/booking availability at launch is being confirmed (EV-09).</t>
        </is>
      </c>
      <c r="AA114" s="2" t="inlineStr">
        <is>
          <t>Bookings already arrive via WedMeGood/Instagram; may see limited need for another platform</t>
        </is>
      </c>
      <c r="AB114" s="2" t="inlineStr">
        <is>
          <t>Bookings already via wedding portals/Instagram; off-platform client contact (SP-4a open); peak-season time</t>
        </is>
      </c>
      <c r="AC114" s="2" t="inlineStr">
        <is>
          <t>E05 channel/segment test (assign at wave start)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</row>
    <row r="115">
      <c r="A115" s="2" t="n">
        <v>114</v>
      </c>
      <c r="B115" s="2" t="inlineStr">
        <is>
          <t>Wave 2 — Category &amp; city expansion</t>
        </is>
      </c>
      <c r="C115" s="2" t="inlineStr">
        <is>
          <t>UPK2-BM-022</t>
        </is>
      </c>
      <c r="D115" s="2" t="inlineStr">
        <is>
          <t>Ashwini Bridal Makeover Artistry</t>
        </is>
      </c>
      <c r="E115" s="2" t="inlineStr">
        <is>
          <t>Beauty &amp; Makeup</t>
        </is>
      </c>
      <c r="F115" s="2" t="inlineStr">
        <is>
          <t>BM-INDEPENDENT-MUA</t>
        </is>
      </c>
      <c r="G115" s="2" t="inlineStr">
        <is>
          <t>Wedding &amp; Occasion</t>
        </is>
      </c>
      <c r="H115" s="2" t="inlineStr">
        <is>
          <t>HD &amp; Airbrush Bridal MUA</t>
        </is>
      </c>
      <c r="I115" s="2" t="inlineStr">
        <is>
          <t>Chennai</t>
        </is>
      </c>
      <c r="J115" s="2" t="inlineStr">
        <is>
          <t>B — Established Independent</t>
        </is>
      </c>
      <c r="K115" s="2" t="inlineStr">
        <is>
          <t>Independent professional</t>
        </is>
      </c>
      <c r="L115" s="2" t="inlineStr">
        <is>
          <t>P0</t>
        </is>
      </c>
      <c r="M115" s="2" t="inlineStr">
        <is>
          <t>P0</t>
        </is>
      </c>
      <c r="N115" s="2" t="n">
        <v>72.8</v>
      </c>
      <c r="O115" s="2" t="n">
        <v>92</v>
      </c>
      <c r="P115" s="2" t="n">
        <v>61.7</v>
      </c>
      <c r="Q115" s="2" t="n">
        <v>71</v>
      </c>
      <c r="R115" s="2" t="n">
        <v>20</v>
      </c>
      <c r="S115" s="2" t="inlineStr">
        <is>
          <t>C1-DIRECT-VERIFIED</t>
        </is>
      </c>
      <c r="T115" s="2" t="inlineStr">
        <is>
          <t>Personal 1:1 email from founder/team to published business email</t>
        </is>
      </c>
      <c r="U115" s="2" t="inlineStr">
        <is>
          <t>https://ashwinimakeupartistchennai.com/</t>
        </is>
      </c>
      <c r="V115" s="2" t="inlineStr">
        <is>
          <t>2025-12 — site dateModified</t>
        </is>
      </c>
      <c r="W115" s="2" t="inlineStr">
        <is>
          <t>Site: 500+ brides, award-winning, serves across Chennai</t>
        </is>
      </c>
      <c r="X115" s="2" t="inlineStr"/>
      <c r="Y115" s="2" t="inlineStr">
        <is>
          <t>Readiness 73 (top 9% in category) | Commercial: Site: 500+ brides, award-winning, serves across Chennai | Active: 2025-12 — site dateModified | Independent/emerging tier — fame not a factor</t>
        </is>
      </c>
      <c r="Z115" s="2" t="inlineStr">
        <is>
          <t>Lead with their bridal portfolio. Ask how bookings arrive today. Be explicit that service/booking availability at launch is being confirmed (EV-09).</t>
        </is>
      </c>
      <c r="AA115" s="2" t="inlineStr">
        <is>
          <t>Already gets leads via own site, Google and Instagram</t>
        </is>
      </c>
      <c r="AB115" s="2" t="inlineStr">
        <is>
          <t>Bookings already via wedding portals/Instagram; off-platform client contact (SP-4a open); peak-season time</t>
        </is>
      </c>
      <c r="AC115" s="2" t="inlineStr">
        <is>
          <t>E05 channel/segment test (assign at wave start)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</row>
    <row r="116">
      <c r="A116" s="2" t="n">
        <v>115</v>
      </c>
      <c r="B116" s="2" t="inlineStr">
        <is>
          <t>Wave 2 — Category &amp; city expansion</t>
        </is>
      </c>
      <c r="C116" s="2" t="inlineStr">
        <is>
          <t>UPK2-BM-251</t>
        </is>
      </c>
      <c r="D116" s="2" t="inlineStr">
        <is>
          <t>HB Studio - Makeup Artist</t>
        </is>
      </c>
      <c r="E116" s="2" t="inlineStr">
        <is>
          <t>Beauty &amp; Makeup</t>
        </is>
      </c>
      <c r="F116" s="2" t="inlineStr">
        <is>
          <t>BM-STUDIO</t>
        </is>
      </c>
      <c r="G116" s="2" t="inlineStr">
        <is>
          <t>Wedding &amp; Occasion</t>
        </is>
      </c>
      <c r="H116" s="2" t="inlineStr">
        <is>
          <t>Bridal &amp; party makeup artist</t>
        </is>
      </c>
      <c r="I116" s="2" t="inlineStr">
        <is>
          <t>Ahmedabad</t>
        </is>
      </c>
      <c r="J116" s="2" t="inlineStr">
        <is>
          <t>A — Emerging / High-potential</t>
        </is>
      </c>
      <c r="K116" s="2" t="inlineStr">
        <is>
          <t>Independent makeup studio</t>
        </is>
      </c>
      <c r="L116" s="2" t="inlineStr">
        <is>
          <t>P0</t>
        </is>
      </c>
      <c r="M116" s="2" t="inlineStr">
        <is>
          <t>P0</t>
        </is>
      </c>
      <c r="N116" s="2" t="n">
        <v>76.2</v>
      </c>
      <c r="O116" s="2" t="n">
        <v>98</v>
      </c>
      <c r="P116" s="2" t="n">
        <v>61.5</v>
      </c>
      <c r="Q116" s="2" t="n">
        <v>68</v>
      </c>
      <c r="R116" s="2" t="n">
        <v>15</v>
      </c>
      <c r="S116" s="2" t="inlineStr">
        <is>
          <t>C1-DIRECT-VERIFIED</t>
        </is>
      </c>
      <c r="T116" s="2" t="inlineStr">
        <is>
          <t>Personal 1:1 email from founder/team to published business email</t>
        </is>
      </c>
      <c r="U116" s="2" t="inlineStr">
        <is>
          <t>https://hbstudiomakeup.in/contact</t>
        </is>
      </c>
      <c r="V116" s="2" t="inlineStr">
        <is>
          <t>2026 — © 2026 footer on own site (hbstudiomakeup.in)</t>
        </is>
      </c>
      <c r="W116" s="2" t="inlineStr">
        <is>
          <t>Bridal, HD/airbrush, party, engagement and guest makeup; home service; Book Now and reviews pages</t>
        </is>
      </c>
      <c r="X116" s="2" t="inlineStr">
        <is>
          <t>Own website (Portfolio + booking site)</t>
        </is>
      </c>
      <c r="Y116" s="2" t="inlineStr">
        <is>
          <t>Readiness 76 (top 3% in category) | Commercial: Bridal, HD/airbrush, party, engagement and guest makeup; home service; Book Now and revie… | Active: 2026 — © 2026 footer on own site (hbstudiomakeup.in) | Independent/emerging tier — fame not a factor</t>
        </is>
      </c>
      <c r="Z116" s="2" t="inlineStr">
        <is>
          <t>Lead with the studio's body of work and team. Ask how bookings arrive today. Service/booking availability at launch is being confirmed (EV-09).</t>
        </is>
      </c>
      <c r="AA116" s="2" t="inlineStr">
        <is>
          <t>Bookings already come via Instagram, Google and WhatsApp</t>
        </is>
      </c>
      <c r="AB116" s="2" t="inlineStr">
        <is>
          <t>Bookings already via wedding portals/Instagram; off-platform client contact (SP-4a open); peak-season time</t>
        </is>
      </c>
      <c r="AC116" s="2" t="inlineStr">
        <is>
          <t>E05 channel/segment test (assign at wave start)</t>
        </is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</row>
    <row r="117">
      <c r="A117" s="2" t="n">
        <v>116</v>
      </c>
      <c r="B117" s="2" t="inlineStr">
        <is>
          <t>Wave 2 — Category &amp; city expansion</t>
        </is>
      </c>
      <c r="C117" s="2" t="inlineStr">
        <is>
          <t>UPK2-BM-028</t>
        </is>
      </c>
      <c r="D117" s="2" t="inlineStr">
        <is>
          <t>Kajol R Paswwan Makeup</t>
        </is>
      </c>
      <c r="E117" s="2" t="inlineStr">
        <is>
          <t>Beauty &amp; Makeup</t>
        </is>
      </c>
      <c r="F117" s="2" t="inlineStr">
        <is>
          <t>BM-INDEPENDENT-MUA</t>
        </is>
      </c>
      <c r="G117" s="2" t="inlineStr">
        <is>
          <t>Wedding &amp; Occasion</t>
        </is>
      </c>
      <c r="H117" s="2" t="inlineStr">
        <is>
          <t>Bridal Makeup Artist (hair &amp; makeup)</t>
        </is>
      </c>
      <c r="I117" s="2" t="inlineStr">
        <is>
          <t>Mumbai</t>
        </is>
      </c>
      <c r="J117" s="2" t="inlineStr">
        <is>
          <t>B — Established Independent</t>
        </is>
      </c>
      <c r="K117" s="2" t="inlineStr">
        <is>
          <t>Independent professional</t>
        </is>
      </c>
      <c r="L117" s="2" t="inlineStr">
        <is>
          <t>P0</t>
        </is>
      </c>
      <c r="M117" s="2" t="inlineStr">
        <is>
          <t>P0</t>
        </is>
      </c>
      <c r="N117" s="2" t="n">
        <v>69.09999999999999</v>
      </c>
      <c r="O117" s="2" t="n">
        <v>76</v>
      </c>
      <c r="P117" s="2" t="n">
        <v>61.2</v>
      </c>
      <c r="Q117" s="2" t="n">
        <v>69</v>
      </c>
      <c r="R117" s="2" t="n">
        <v>30</v>
      </c>
      <c r="S117" s="2" t="inlineStr">
        <is>
          <t>C3-PRO-SOCIAL</t>
        </is>
      </c>
      <c r="T117" s="2" t="inlineStr">
        <is>
          <t>1:1 Instagram DM from Uepaki professional account</t>
        </is>
      </c>
      <c r="U117" s="2" t="inlineStr">
        <is>
          <t>https://www.instagram.com/kajolrpaswan/</t>
        </is>
      </c>
      <c r="V117" s="2" t="inlineStr">
        <is>
          <t>2026-09 — WeddingSutra vendor profile last modified (page metadata)</t>
        </is>
      </c>
      <c r="W117" s="2" t="inlineStr">
        <is>
          <t>Bridal makeup in and around Mumbai; listed for Goa/Mumbai/Pune</t>
        </is>
      </c>
      <c r="X117" s="2" t="inlineStr">
        <is>
          <t>WeddingSutra (Vendor showcase profile (Makeup Artists))</t>
        </is>
      </c>
      <c r="Y117" s="2" t="inlineStr">
        <is>
          <t>Readiness 69 (top 25% in category) | Commercial: Bridal makeup in and around Mumbai; listed for Goa/Mumbai/Pune | Active: 2026-09 — WeddingSutra vendor profile last modified (page metadata) | Independent/emerging tier — fame not a factor</t>
        </is>
      </c>
      <c r="Z117" s="2" t="inlineStr">
        <is>
          <t>Lead with their bridal portfolio. Ask how bookings arrive today. Be explicit that service/booking availability at launch is being confirmed (EV-09).</t>
        </is>
      </c>
      <c r="AA117" s="2" t="inlineStr">
        <is>
          <t>Bookings already flow via Instagram/WhatsApp and wedding portals</t>
        </is>
      </c>
      <c r="AB117" s="2" t="inlineStr">
        <is>
          <t>Bookings already via wedding portals/Instagram; off-platform client contact (SP-4a open); peak-season time</t>
        </is>
      </c>
      <c r="AC117" s="2" t="inlineStr">
        <is>
          <t>E05 channel/segment test (assign at wave start)</t>
        </is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</row>
    <row r="118">
      <c r="A118" s="2" t="n">
        <v>117</v>
      </c>
      <c r="B118" s="2" t="inlineStr">
        <is>
          <t>Wave 2 — Category &amp; city expansion</t>
        </is>
      </c>
      <c r="C118" s="2" t="inlineStr">
        <is>
          <t>UPK2-BM-032</t>
        </is>
      </c>
      <c r="D118" s="2" t="inlineStr">
        <is>
          <t>The Lipstick Diary</t>
        </is>
      </c>
      <c r="E118" s="2" t="inlineStr">
        <is>
          <t>Beauty &amp; Makeup</t>
        </is>
      </c>
      <c r="F118" s="2" t="inlineStr">
        <is>
          <t>BM-INDEPENDENT-MUA</t>
        </is>
      </c>
      <c r="G118" s="2" t="inlineStr">
        <is>
          <t>Wedding &amp; Occasion</t>
        </is>
      </c>
      <c r="H118" s="2" t="inlineStr">
        <is>
          <t>Bridal Makeup Artist (hair &amp; makeup)</t>
        </is>
      </c>
      <c r="I118" s="2" t="inlineStr">
        <is>
          <t>Mumbai</t>
        </is>
      </c>
      <c r="J118" s="2" t="inlineStr">
        <is>
          <t>B — Established Independent</t>
        </is>
      </c>
      <c r="K118" s="2" t="inlineStr">
        <is>
          <t>Independent professional</t>
        </is>
      </c>
      <c r="L118" s="2" t="inlineStr">
        <is>
          <t>P0</t>
        </is>
      </c>
      <c r="M118" s="2" t="inlineStr">
        <is>
          <t>P0</t>
        </is>
      </c>
      <c r="N118" s="2" t="n">
        <v>69.09999999999999</v>
      </c>
      <c r="O118" s="2" t="n">
        <v>76</v>
      </c>
      <c r="P118" s="2" t="n">
        <v>61.2</v>
      </c>
      <c r="Q118" s="2" t="n">
        <v>69</v>
      </c>
      <c r="R118" s="2" t="n">
        <v>30</v>
      </c>
      <c r="S118" s="2" t="inlineStr">
        <is>
          <t>C3-PRO-SOCIAL</t>
        </is>
      </c>
      <c r="T118" s="2" t="inlineStr">
        <is>
          <t>1:1 Instagram DM from Uepaki professional account</t>
        </is>
      </c>
      <c r="U118" s="2" t="inlineStr">
        <is>
          <t>https://www.instagram.com/the_lipstick_diary?igsh=Nnp0eG9heDcxb3M0</t>
        </is>
      </c>
      <c r="V118" s="2" t="inlineStr">
        <is>
          <t>2026-09 — WeddingSutra vendor profile last modified (page metadata)</t>
        </is>
      </c>
      <c r="W118" s="2" t="inlineStr">
        <is>
          <t>Bridal specialist (per WS)</t>
        </is>
      </c>
      <c r="X118" s="2" t="inlineStr">
        <is>
          <t>WeddingSutra (Vendor showcase profile (Makeup Artists))</t>
        </is>
      </c>
      <c r="Y118" s="2" t="inlineStr">
        <is>
          <t>Readiness 69 (top 25% in category) | Commercial: Bridal specialist (per WS) | Active: 2026-09 — WeddingSutra vendor profile last modified (page metadata) | Independent/emerging tier — fame not a factor</t>
        </is>
      </c>
      <c r="Z118" s="2" t="inlineStr">
        <is>
          <t>Lead with their bridal portfolio. Ask how bookings arrive today. Be explicit that service/booking availability at launch is being confirmed (EV-09).</t>
        </is>
      </c>
      <c r="AA118" s="2" t="inlineStr">
        <is>
          <t>Bookings already flow via Instagram/WhatsApp and wedding portals</t>
        </is>
      </c>
      <c r="AB118" s="2" t="inlineStr">
        <is>
          <t>Bookings already via wedding portals/Instagram; off-platform client contact (SP-4a open); peak-season time</t>
        </is>
      </c>
      <c r="AC118" s="2" t="inlineStr">
        <is>
          <t>E05 channel/segment test (assign at wave start)</t>
        </is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</row>
    <row r="119">
      <c r="A119" s="2" t="n">
        <v>118</v>
      </c>
      <c r="B119" s="2" t="inlineStr">
        <is>
          <t>Wave 2 — Category &amp; city expansion</t>
        </is>
      </c>
      <c r="C119" s="2" t="inlineStr">
        <is>
          <t>UPK2-BM-031</t>
        </is>
      </c>
      <c r="D119" s="2" t="inlineStr">
        <is>
          <t>Farida's Makeovers</t>
        </is>
      </c>
      <c r="E119" s="2" t="inlineStr">
        <is>
          <t>Beauty &amp; Makeup</t>
        </is>
      </c>
      <c r="F119" s="2" t="inlineStr">
        <is>
          <t>BM-INDEPENDENT-MUA</t>
        </is>
      </c>
      <c r="G119" s="2" t="inlineStr">
        <is>
          <t>Wedding &amp; Occasion</t>
        </is>
      </c>
      <c r="H119" s="2" t="inlineStr">
        <is>
          <t>Luxury Bridal Makeup Artist</t>
        </is>
      </c>
      <c r="I119" s="2" t="inlineStr">
        <is>
          <t>Mumbai</t>
        </is>
      </c>
      <c r="J119" s="2" t="inlineStr">
        <is>
          <t>B — Established Independent</t>
        </is>
      </c>
      <c r="K119" s="2" t="inlineStr">
        <is>
          <t>Independent professional</t>
        </is>
      </c>
      <c r="L119" s="2" t="inlineStr">
        <is>
          <t>P0</t>
        </is>
      </c>
      <c r="M119" s="2" t="inlineStr">
        <is>
          <t>P0</t>
        </is>
      </c>
      <c r="N119" s="2" t="n">
        <v>69.09999999999999</v>
      </c>
      <c r="O119" s="2" t="n">
        <v>76</v>
      </c>
      <c r="P119" s="2" t="n">
        <v>61.2</v>
      </c>
      <c r="Q119" s="2" t="n">
        <v>69</v>
      </c>
      <c r="R119" s="2" t="n">
        <v>30</v>
      </c>
      <c r="S119" s="2" t="inlineStr">
        <is>
          <t>C3-PRO-SOCIAL</t>
        </is>
      </c>
      <c r="T119" s="2" t="inlineStr">
        <is>
          <t>1:1 Instagram DM from Uepaki professional account</t>
        </is>
      </c>
      <c r="U119" s="2" t="inlineStr">
        <is>
          <t>https://www.instagram.com/faridasmakeovers?stkn=Nmc3NXlycnE1YWNw&amp;utm_source=qr</t>
        </is>
      </c>
      <c r="V119" s="2" t="inlineStr">
        <is>
          <t>2026-09 — WeddingSutra vendor profile last modified (page metadata)</t>
        </is>
      </c>
      <c r="W119" s="2" t="inlineStr">
        <is>
          <t>10+ yrs; 500+ brides (per WS, profile published 2026-09)</t>
        </is>
      </c>
      <c r="X119" s="2" t="inlineStr">
        <is>
          <t>WeddingSutra (Vendor showcase profile (Makeup Artists))</t>
        </is>
      </c>
      <c r="Y119" s="2" t="inlineStr">
        <is>
          <t>Readiness 69 (top 25% in category) | Commercial: 10+ yrs; 500+ brides (per WS, profile published 2026-09) | Active: 2026-09 — WeddingSutra vendor profile last modified (page metadata) | Independent/emerging tier — fame not a factor</t>
        </is>
      </c>
      <c r="Z119" s="2" t="inlineStr">
        <is>
          <t>Lead with their bridal portfolio. Ask how bookings arrive today. Be explicit that service/booking availability at launch is being confirmed (EV-09).</t>
        </is>
      </c>
      <c r="AA119" s="2" t="inlineStr">
        <is>
          <t>Bookings already flow via Instagram/WhatsApp and wedding portals</t>
        </is>
      </c>
      <c r="AB119" s="2" t="inlineStr">
        <is>
          <t>Bookings already via wedding portals/Instagram; off-platform client contact (SP-4a open); peak-season time</t>
        </is>
      </c>
      <c r="AC119" s="2" t="inlineStr">
        <is>
          <t>E05 channel/segment test (assign at wave start)</t>
        </is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</row>
    <row r="120">
      <c r="A120" s="2" t="n">
        <v>119</v>
      </c>
      <c r="B120" s="2" t="inlineStr">
        <is>
          <t>Wave 2 — Category &amp; city expansion</t>
        </is>
      </c>
      <c r="C120" s="2" t="inlineStr">
        <is>
          <t>UPK2-BM-027</t>
        </is>
      </c>
      <c r="D120" s="2" t="inlineStr">
        <is>
          <t>Priyankas Beauty Box</t>
        </is>
      </c>
      <c r="E120" s="2" t="inlineStr">
        <is>
          <t>Beauty &amp; Makeup</t>
        </is>
      </c>
      <c r="F120" s="2" t="inlineStr">
        <is>
          <t>BM-STUDIO</t>
        </is>
      </c>
      <c r="G120" s="2" t="inlineStr">
        <is>
          <t>Wedding &amp; Occasion</t>
        </is>
      </c>
      <c r="H120" s="2" t="inlineStr">
        <is>
          <t>Bridal Makeup Artist (hair &amp; makeup)</t>
        </is>
      </c>
      <c r="I120" s="2" t="inlineStr">
        <is>
          <t>Kolkata</t>
        </is>
      </c>
      <c r="J120" s="2" t="inlineStr">
        <is>
          <t>B — Established Independent</t>
        </is>
      </c>
      <c r="K120" s="2" t="inlineStr">
        <is>
          <t>Studio</t>
        </is>
      </c>
      <c r="L120" s="2" t="inlineStr">
        <is>
          <t>P0</t>
        </is>
      </c>
      <c r="M120" s="2" t="inlineStr">
        <is>
          <t>P0</t>
        </is>
      </c>
      <c r="N120" s="2" t="n">
        <v>73.7</v>
      </c>
      <c r="O120" s="2" t="n">
        <v>95</v>
      </c>
      <c r="P120" s="2" t="n">
        <v>62.6</v>
      </c>
      <c r="Q120" s="2" t="n">
        <v>69</v>
      </c>
      <c r="R120" s="2" t="n">
        <v>25</v>
      </c>
      <c r="S120" s="2" t="inlineStr">
        <is>
          <t>C1-DIRECT-VERIFIED</t>
        </is>
      </c>
      <c r="T120" s="2" t="inlineStr">
        <is>
          <t>Personal 1:1 email from founder/team to published business email</t>
        </is>
      </c>
      <c r="U120" s="2" t="inlineStr">
        <is>
          <t>https://priyankasbeautybox.com/contact/</t>
        </is>
      </c>
      <c r="V120" s="2" t="inlineStr">
        <is>
          <t>2026 — site content</t>
        </is>
      </c>
      <c r="W120" s="2" t="inlineStr">
        <is>
          <t>Bridal makeup with team (site)</t>
        </is>
      </c>
      <c r="X120" s="2" t="inlineStr"/>
      <c r="Y120" s="2" t="inlineStr">
        <is>
          <t>Readiness 74 (top 6% in category) | Commercial: Bridal makeup with team (site) | Active: 2026 — site content | Independent/emerging tier — fame not a factor</t>
        </is>
      </c>
      <c r="Z120" s="2" t="inlineStr">
        <is>
          <t>Lead with the studio's body of work and team. Ask how bookings arrive today. Service/booking availability at launch is being confirmed (EV-09).</t>
        </is>
      </c>
      <c r="AA120" s="2" t="inlineStr">
        <is>
          <t>Already gets leads via own site, Google and Instagram</t>
        </is>
      </c>
      <c r="AB120" s="2" t="inlineStr">
        <is>
          <t>Bookings already via wedding portals/Instagram; off-platform client contact (SP-4a open); peak-season time</t>
        </is>
      </c>
      <c r="AC120" s="2" t="inlineStr">
        <is>
          <t>E05 channel/segment test (assign at wave start)</t>
        </is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</row>
    <row r="121">
      <c r="A121" s="2" t="n">
        <v>120</v>
      </c>
      <c r="B121" s="2" t="inlineStr">
        <is>
          <t>Wave 2 — Category &amp; city expansion</t>
        </is>
      </c>
      <c r="C121" s="2" t="inlineStr">
        <is>
          <t>UPK2-BM-067</t>
        </is>
      </c>
      <c r="D121" s="2" t="inlineStr">
        <is>
          <t>Makeup by Chandni Doshi</t>
        </is>
      </c>
      <c r="E121" s="2" t="inlineStr">
        <is>
          <t>Beauty &amp; Makeup</t>
        </is>
      </c>
      <c r="F121" s="2" t="inlineStr">
        <is>
          <t>BM-INDEPENDENT-MUA</t>
        </is>
      </c>
      <c r="G121" s="2" t="inlineStr">
        <is>
          <t>Wedding &amp; Occasion</t>
        </is>
      </c>
      <c r="H121" s="2" t="inlineStr">
        <is>
          <t>Luxury Bridal Makeup Artist</t>
        </is>
      </c>
      <c r="I121" s="2" t="inlineStr">
        <is>
          <t>Mumbai</t>
        </is>
      </c>
      <c r="J121" s="2" t="inlineStr">
        <is>
          <t>B — Established Independent</t>
        </is>
      </c>
      <c r="K121" s="2" t="inlineStr">
        <is>
          <t>Independent professional</t>
        </is>
      </c>
      <c r="L121" s="2" t="inlineStr">
        <is>
          <t>P0</t>
        </is>
      </c>
      <c r="M121" s="2" t="inlineStr">
        <is>
          <t>P0</t>
        </is>
      </c>
      <c r="N121" s="2" t="n">
        <v>69.09999999999999</v>
      </c>
      <c r="O121" s="2" t="n">
        <v>76</v>
      </c>
      <c r="P121" s="2" t="n">
        <v>59.8</v>
      </c>
      <c r="Q121" s="2" t="n">
        <v>64</v>
      </c>
      <c r="R121" s="2" t="n">
        <v>30</v>
      </c>
      <c r="S121" s="2" t="inlineStr">
        <is>
          <t>C3-PRO-SOCIAL</t>
        </is>
      </c>
      <c r="T121" s="2" t="inlineStr">
        <is>
          <t>1:1 Instagram DM from Uepaki professional account</t>
        </is>
      </c>
      <c r="U121" s="2" t="inlineStr">
        <is>
          <t>https://www.instagram.com/makeup_chandnidoshi?igsh=MXJsZmNyZG9sZDV5NQ%3D%3D&amp;utm_source=qr</t>
        </is>
      </c>
      <c r="V121" s="2" t="inlineStr">
        <is>
          <t>2026-09 — WeddingSutra vendor profile last modified (page metadata)</t>
        </is>
      </c>
      <c r="W121" s="2" t="inlineStr">
        <is>
          <t>Luxury bridal; ex-celebrity stylist (per WS bio); profile updated 2026-09</t>
        </is>
      </c>
      <c r="X121" s="2" t="inlineStr">
        <is>
          <t>WeddingSutra (Vendor showcase profile (Makeup Artists))</t>
        </is>
      </c>
      <c r="Y121" s="2" t="inlineStr">
        <is>
          <t>Readiness 69 (top 25% in category) | Commercial: Luxury bridal; ex-celebrity stylist (per WS bio); profile updated 2026-09 | Active: 2026-09 — WeddingSutra vendor profile last modified (page metadata) | Independent/emerging tier — fame not a factor</t>
        </is>
      </c>
      <c r="Z121" s="2" t="inlineStr">
        <is>
          <t>Lead with their bridal portfolio. Ask how bookings arrive today. Be explicit that service/booking availability at launch is being confirmed (EV-09).</t>
        </is>
      </c>
      <c r="AA121" s="2" t="inlineStr">
        <is>
          <t>Bookings already flow via Instagram/WhatsApp and wedding portals</t>
        </is>
      </c>
      <c r="AB121" s="2" t="inlineStr">
        <is>
          <t>Bookings already via wedding portals/Instagram; off-platform client contact (SP-4a open); peak-season time</t>
        </is>
      </c>
      <c r="AC121" s="2" t="inlineStr">
        <is>
          <t>E05 channel/segment test (assign at wave start)</t>
        </is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</row>
    <row r="122">
      <c r="A122" s="2" t="n">
        <v>121</v>
      </c>
      <c r="B122" s="2" t="inlineStr">
        <is>
          <t>Wave 2 — Category &amp; city expansion</t>
        </is>
      </c>
      <c r="C122" s="2" t="inlineStr">
        <is>
          <t>UPK2-BM-005</t>
        </is>
      </c>
      <c r="D122" s="2" t="inlineStr">
        <is>
          <t>Anjum Bhardwaj Makeup Artist</t>
        </is>
      </c>
      <c r="E122" s="2" t="inlineStr">
        <is>
          <t>Beauty &amp; Makeup</t>
        </is>
      </c>
      <c r="F122" s="2" t="inlineStr">
        <is>
          <t>BM-INDEPENDENT-MUA</t>
        </is>
      </c>
      <c r="G122" s="2" t="inlineStr">
        <is>
          <t>Wedding &amp; Occasion</t>
        </is>
      </c>
      <c r="H122" s="2" t="inlineStr">
        <is>
          <t>Bridal, Fashion &amp; Photoshoot Makeup Artist</t>
        </is>
      </c>
      <c r="I122" s="2" t="inlineStr">
        <is>
          <t>Delhi NCR</t>
        </is>
      </c>
      <c r="J122" s="2" t="inlineStr">
        <is>
          <t>B — Established Independent</t>
        </is>
      </c>
      <c r="K122" s="2" t="inlineStr">
        <is>
          <t>Independent artist</t>
        </is>
      </c>
      <c r="L122" s="2" t="inlineStr">
        <is>
          <t>P0</t>
        </is>
      </c>
      <c r="M122" s="2" t="inlineStr">
        <is>
          <t>P0</t>
        </is>
      </c>
      <c r="N122" s="2" t="n">
        <v>70.90000000000001</v>
      </c>
      <c r="O122" s="2" t="n">
        <v>87</v>
      </c>
      <c r="P122" s="2" t="n">
        <v>59.2</v>
      </c>
      <c r="Q122" s="2" t="n">
        <v>69</v>
      </c>
      <c r="R122" s="2" t="n">
        <v>15</v>
      </c>
      <c r="S122" s="2" t="inlineStr">
        <is>
          <t>C1-DIRECT-VERIFIED</t>
        </is>
      </c>
      <c r="T122" s="2" t="inlineStr">
        <is>
          <t>Personal 1:1 email from founder/team to published business email</t>
        </is>
      </c>
      <c r="U122" s="2" t="inlineStr">
        <is>
          <t>https://www.anjumbhardwaj.com/contact/contact-form</t>
        </is>
      </c>
      <c r="V122" s="2" t="inlineStr">
        <is>
          <t>Site live 2026-10 (no dated content)</t>
        </is>
      </c>
      <c r="W122" s="2" t="inlineStr">
        <is>
          <t>Site: professional makeup artist for photoshoots, bridal, fashion in Noida/Delhi NCR (Pixpa portfolio)</t>
        </is>
      </c>
      <c r="X122" s="2" t="inlineStr">
        <is>
          <t>Own website (First-party site)</t>
        </is>
      </c>
      <c r="Y122" s="2" t="inlineStr">
        <is>
          <t>Readiness 71 (top 14% in category) | Commercial: Site: professional makeup artist for photoshoots, bridal, fashion in Noida/Delhi NCR (Pix… | Active: Site live 2026-10 (no dated content) | Independent/emerging tier — fame not a factor</t>
        </is>
      </c>
      <c r="Z122" s="2" t="inlineStr">
        <is>
          <t>Lead with their bridal portfolio. Ask how bookings arrive today. Be explicit that service/booking availability at launch is being confirmed (EV-09).</t>
        </is>
      </c>
      <c r="AA122" s="2" t="inlineStr">
        <is>
          <t>Low online activity signals</t>
        </is>
      </c>
      <c r="AB122" s="2" t="inlineStr">
        <is>
          <t>Bookings already via wedding portals/Instagram; off-platform client contact (SP-4a open); peak-season time</t>
        </is>
      </c>
      <c r="AC122" s="2" t="inlineStr">
        <is>
          <t>E05 channel/segment test (assign at wave start)</t>
        </is>
      </c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</row>
    <row r="123">
      <c r="A123" s="2" t="n">
        <v>122</v>
      </c>
      <c r="B123" s="2" t="inlineStr">
        <is>
          <t>Wave 2 — Category &amp; city expansion</t>
        </is>
      </c>
      <c r="C123" s="2" t="inlineStr">
        <is>
          <t>UPK2-BM-030</t>
        </is>
      </c>
      <c r="D123" s="2" t="inlineStr">
        <is>
          <t>Kirti Gandhi Makeup</t>
        </is>
      </c>
      <c r="E123" s="2" t="inlineStr">
        <is>
          <t>Beauty &amp; Makeup</t>
        </is>
      </c>
      <c r="F123" s="2" t="inlineStr">
        <is>
          <t>BM-INDEPENDENT-MUA</t>
        </is>
      </c>
      <c r="G123" s="2" t="inlineStr">
        <is>
          <t>Wedding &amp; Occasion</t>
        </is>
      </c>
      <c r="H123" s="2" t="inlineStr">
        <is>
          <t>Bridal Makeup Artist &amp; Team</t>
        </is>
      </c>
      <c r="I123" s="2" t="inlineStr">
        <is>
          <t>Mumbai</t>
        </is>
      </c>
      <c r="J123" s="2" t="inlineStr">
        <is>
          <t>B — Established Independent</t>
        </is>
      </c>
      <c r="K123" s="2" t="inlineStr">
        <is>
          <t>Independent professional</t>
        </is>
      </c>
      <c r="L123" s="2" t="inlineStr">
        <is>
          <t>P0</t>
        </is>
      </c>
      <c r="M123" s="2" t="inlineStr">
        <is>
          <t>P0</t>
        </is>
      </c>
      <c r="N123" s="2" t="n">
        <v>69.09999999999999</v>
      </c>
      <c r="O123" s="2" t="n">
        <v>76</v>
      </c>
      <c r="P123" s="2" t="n">
        <v>61.2</v>
      </c>
      <c r="Q123" s="2" t="n">
        <v>69</v>
      </c>
      <c r="R123" s="2" t="n">
        <v>30</v>
      </c>
      <c r="S123" s="2" t="inlineStr">
        <is>
          <t>C3-PRO-SOCIAL</t>
        </is>
      </c>
      <c r="T123" s="2" t="inlineStr">
        <is>
          <t>1:1 Instagram DM from Uepaki professional account</t>
        </is>
      </c>
      <c r="U123" s="2" t="inlineStr">
        <is>
          <t>https://www.instagram.com/KirtiGokalgandhi/</t>
        </is>
      </c>
      <c r="V123" s="2" t="inlineStr">
        <is>
          <t>2026-03 — WeddingSutra vendor profile last modified (page metadata)</t>
        </is>
      </c>
      <c r="W123" s="2" t="inlineStr">
        <is>
          <t>Bridal team; premium brands; travels for destination weddings (per WS bio)</t>
        </is>
      </c>
      <c r="X123" s="2" t="inlineStr">
        <is>
          <t>WeddingSutra (Vendor showcase profile (Makeup Artists))</t>
        </is>
      </c>
      <c r="Y123" s="2" t="inlineStr">
        <is>
          <t>Readiness 69 (top 25% in category) | Commercial: Bridal team; premium brands; travels for destination weddings (per WS bio) | Active: 2026-03 — WeddingSutra vendor profile last modified (page metadata) | Independent/emerging tier — fame not a factor</t>
        </is>
      </c>
      <c r="Z123" s="2" t="inlineStr">
        <is>
          <t>Lead with their bridal portfolio. Ask how bookings arrive today. Be explicit that service/booking availability at launch is being confirmed (EV-09).</t>
        </is>
      </c>
      <c r="AA123" s="2" t="inlineStr">
        <is>
          <t>Bookings already flow via Instagram/WhatsApp and wedding portals</t>
        </is>
      </c>
      <c r="AB123" s="2" t="inlineStr">
        <is>
          <t>Bookings already via wedding portals/Instagram; off-platform client contact (SP-4a open); peak-season time</t>
        </is>
      </c>
      <c r="AC123" s="2" t="inlineStr">
        <is>
          <t>E05 channel/segment test (assign at wave start)</t>
        </is>
      </c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</row>
    <row r="124">
      <c r="A124" s="2" t="n">
        <v>123</v>
      </c>
      <c r="B124" s="2" t="inlineStr">
        <is>
          <t>Wave 2 — Category &amp; city expansion</t>
        </is>
      </c>
      <c r="C124" s="2" t="inlineStr">
        <is>
          <t>UPK2-BM-037</t>
        </is>
      </c>
      <c r="D124" s="2" t="inlineStr">
        <is>
          <t>Anushree Shewale Makeovers</t>
        </is>
      </c>
      <c r="E124" s="2" t="inlineStr">
        <is>
          <t>Beauty &amp; Makeup</t>
        </is>
      </c>
      <c r="F124" s="2" t="inlineStr">
        <is>
          <t>BM-INDEPENDENT-MUA</t>
        </is>
      </c>
      <c r="G124" s="2" t="inlineStr">
        <is>
          <t>Wedding &amp; Occasion</t>
        </is>
      </c>
      <c r="H124" s="2" t="inlineStr">
        <is>
          <t>HD Bridal MUA</t>
        </is>
      </c>
      <c r="I124" s="2" t="inlineStr">
        <is>
          <t>Mumbai</t>
        </is>
      </c>
      <c r="J124" s="2" t="inlineStr">
        <is>
          <t>B — Established Independent</t>
        </is>
      </c>
      <c r="K124" s="2" t="inlineStr">
        <is>
          <t>Independent professional</t>
        </is>
      </c>
      <c r="L124" s="2" t="inlineStr">
        <is>
          <t>P0</t>
        </is>
      </c>
      <c r="M124" s="2" t="inlineStr">
        <is>
          <t>P0</t>
        </is>
      </c>
      <c r="N124" s="2" t="n">
        <v>68.7</v>
      </c>
      <c r="O124" s="2" t="n">
        <v>72</v>
      </c>
      <c r="P124" s="2" t="n">
        <v>59.2</v>
      </c>
      <c r="Q124" s="2" t="n">
        <v>66</v>
      </c>
      <c r="R124" s="2" t="n">
        <v>25</v>
      </c>
      <c r="S124" s="2" t="inlineStr">
        <is>
          <t>C3-PRO-SOCIAL</t>
        </is>
      </c>
      <c r="T124" s="2" t="inlineStr">
        <is>
          <t>1:1 Instagram DM from Uepaki professional account</t>
        </is>
      </c>
      <c r="U124" s="2" t="inlineStr">
        <is>
          <t>https://anushreeshewale.com/</t>
        </is>
      </c>
      <c r="V124" s="2" t="inlineStr">
        <is>
          <t>2026 — copyright</t>
        </is>
      </c>
      <c r="W124" s="2" t="inlineStr">
        <is>
          <t>Bridal from ₹18,000/look; also in LBB Mumbai list (fetched)</t>
        </is>
      </c>
      <c r="X124" s="2" t="inlineStr"/>
      <c r="Y124" s="2" t="inlineStr">
        <is>
          <t>Readiness 69 (top 29% in category) | Commercial: Bridal from ₹18,000/look; also in LBB Mumbai list (fetched) | Active: 2026 — copyright | Independent/emerging tier — fame not a factor</t>
        </is>
      </c>
      <c r="Z124" s="2" t="inlineStr">
        <is>
          <t>Lead with their bridal portfolio. Ask how bookings arrive today. Be explicit that service/booking availability at launch is being confirmed (EV-09).</t>
        </is>
      </c>
      <c r="AA124" s="2" t="inlineStr">
        <is>
          <t>Already gets leads via own site, Google and Instagram</t>
        </is>
      </c>
      <c r="AB124" s="2" t="inlineStr">
        <is>
          <t>Bookings already via wedding portals/Instagram; off-platform client contact (SP-4a open); peak-season time</t>
        </is>
      </c>
      <c r="AC124" s="2" t="inlineStr">
        <is>
          <t>E05 channel/segment test (assign at wave start)</t>
        </is>
      </c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</row>
    <row r="125">
      <c r="A125" s="2" t="n">
        <v>124</v>
      </c>
      <c r="B125" s="2" t="inlineStr">
        <is>
          <t>Wave 2 — Category &amp; city expansion</t>
        </is>
      </c>
      <c r="C125" s="2" t="inlineStr">
        <is>
          <t>UPK2-BM-068</t>
        </is>
      </c>
      <c r="D125" s="2" t="inlineStr">
        <is>
          <t>Makeup by Rekha Krishnamurthy</t>
        </is>
      </c>
      <c r="E125" s="2" t="inlineStr">
        <is>
          <t>Beauty &amp; Makeup</t>
        </is>
      </c>
      <c r="F125" s="2" t="inlineStr">
        <is>
          <t>BM-INDEPENDENT-MUA</t>
        </is>
      </c>
      <c r="G125" s="2" t="inlineStr">
        <is>
          <t>Wedding &amp; Occasion</t>
        </is>
      </c>
      <c r="H125" s="2" t="inlineStr">
        <is>
          <t>South Indian Bridal MUA</t>
        </is>
      </c>
      <c r="I125" s="2" t="inlineStr">
        <is>
          <t>Bengaluru</t>
        </is>
      </c>
      <c r="J125" s="2" t="inlineStr">
        <is>
          <t>B — Established Independent</t>
        </is>
      </c>
      <c r="K125" s="2" t="inlineStr">
        <is>
          <t>Independent professional</t>
        </is>
      </c>
      <c r="L125" s="2" t="inlineStr">
        <is>
          <t>P0</t>
        </is>
      </c>
      <c r="M125" s="2" t="inlineStr">
        <is>
          <t>P1</t>
        </is>
      </c>
      <c r="N125" s="2" t="n">
        <v>68.7</v>
      </c>
      <c r="O125" s="2" t="n">
        <v>72</v>
      </c>
      <c r="P125" s="2" t="n">
        <v>58.2</v>
      </c>
      <c r="Q125" s="2" t="n">
        <v>63</v>
      </c>
      <c r="R125" s="2" t="n">
        <v>25</v>
      </c>
      <c r="S125" s="2" t="inlineStr">
        <is>
          <t>C3-PRO-SOCIAL</t>
        </is>
      </c>
      <c r="T125" s="2" t="inlineStr">
        <is>
          <t>1:1 Instagram DM from Uepaki professional account</t>
        </is>
      </c>
      <c r="U125" s="2" t="inlineStr">
        <is>
          <t>https://rekhakrishnamurthy.com/</t>
        </is>
      </c>
      <c r="V125" s="2" t="inlineStr">
        <is>
          <t>undated (site live 2026-10)</t>
        </is>
      </c>
      <c r="W125" s="2" t="inlineStr">
        <is>
          <t>Personalised bridal, HD &amp; airbrush, trials (site meta)</t>
        </is>
      </c>
      <c r="X125" s="2" t="inlineStr"/>
      <c r="Y125" s="2" t="inlineStr">
        <is>
          <t>Readiness 69 (top 29% in category) | Commercial: Personalised bridal, HD &amp; airbrush, trials (site meta) | Active: undated (site live 2026-10) | Independent/emerging tier — fame not a factor</t>
        </is>
      </c>
      <c r="Z125" s="2" t="inlineStr">
        <is>
          <t>Lead with their bridal portfolio. Ask how bookings arrive today. Be explicit that service/booking availability at launch is being confirmed (EV-09).</t>
        </is>
      </c>
      <c r="AA125" s="2" t="inlineStr">
        <is>
          <t>Already gets leads via own site, Google and Instagram</t>
        </is>
      </c>
      <c r="AB125" s="2" t="inlineStr">
        <is>
          <t>Bookings already via wedding portals/Instagram; off-platform client contact (SP-4a open); peak-season time</t>
        </is>
      </c>
      <c r="AC125" s="2" t="inlineStr">
        <is>
          <t>E05 channel/segment test (assign at wave start)</t>
        </is>
      </c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</row>
    <row r="126">
      <c r="A126" s="2" t="n">
        <v>125</v>
      </c>
      <c r="B126" s="2" t="inlineStr">
        <is>
          <t>Wave 2 — Category &amp; city expansion</t>
        </is>
      </c>
      <c r="C126" s="2" t="inlineStr">
        <is>
          <t>UPK2-BM-045</t>
        </is>
      </c>
      <c r="D126" s="2" t="inlineStr">
        <is>
          <t>Aas Gulati Bridal Makeup Artist</t>
        </is>
      </c>
      <c r="E126" s="2" t="inlineStr">
        <is>
          <t>Beauty &amp; Makeup</t>
        </is>
      </c>
      <c r="F126" s="2" t="inlineStr">
        <is>
          <t>BM-INDEPENDENT-MUA</t>
        </is>
      </c>
      <c r="G126" s="2" t="inlineStr">
        <is>
          <t>Wedding &amp; Occasion</t>
        </is>
      </c>
      <c r="H126" s="2" t="inlineStr">
        <is>
          <t>Bridal Makeup Artist</t>
        </is>
      </c>
      <c r="I126" s="2" t="inlineStr">
        <is>
          <t>Chandigarh</t>
        </is>
      </c>
      <c r="J126" s="2" t="inlineStr">
        <is>
          <t>B — Established Independent</t>
        </is>
      </c>
      <c r="K126" s="2" t="inlineStr">
        <is>
          <t>Independent artist</t>
        </is>
      </c>
      <c r="L126" s="2" t="inlineStr">
        <is>
          <t>P0</t>
        </is>
      </c>
      <c r="M126" s="2" t="inlineStr">
        <is>
          <t>P0</t>
        </is>
      </c>
      <c r="N126" s="2" t="n">
        <v>69.8</v>
      </c>
      <c r="O126" s="2" t="n">
        <v>82</v>
      </c>
      <c r="P126" s="2" t="n">
        <v>58</v>
      </c>
      <c r="Q126" s="2" t="n">
        <v>67</v>
      </c>
      <c r="R126" s="2" t="n">
        <v>15</v>
      </c>
      <c r="S126" s="2" t="inlineStr">
        <is>
          <t>C3-PRO-SOCIAL</t>
        </is>
      </c>
      <c r="T126" s="2" t="inlineStr">
        <is>
          <t>1:1 Instagram DM from Uepaki professional account</t>
        </is>
      </c>
      <c r="U126" s="2" t="inlineStr">
        <is>
          <t>https://aasgulati.com/</t>
        </is>
      </c>
      <c r="V126" s="2" t="inlineStr">
        <is>
          <t>2026 — year on site</t>
        </is>
      </c>
      <c r="W126" s="2" t="inlineStr">
        <is>
          <t>New Chandigarh (Omaxe City); signature bridal package ₹40,000; serves Tricity &amp; Himachal</t>
        </is>
      </c>
      <c r="X126" s="2" t="inlineStr">
        <is>
          <t>Own website (First-party site)</t>
        </is>
      </c>
      <c r="Y126" s="2" t="inlineStr">
        <is>
          <t>Readiness 70 (top 19% in category) | Commercial: New Chandigarh (Omaxe City); signature bridal package ₹40,000; serves Tricity &amp; Himachal | Active: 2026 — year on site | Independent/emerging tier — fame not a factor</t>
        </is>
      </c>
      <c r="Z126" s="2" t="inlineStr">
        <is>
          <t>Lead with their bridal portfolio. Ask how bookings arrive today. Be explicit that service/booking availability at launch is being confirmed (EV-09).</t>
        </is>
      </c>
      <c r="AA126" s="2" t="inlineStr">
        <is>
          <t>—</t>
        </is>
      </c>
      <c r="AB126" s="2" t="inlineStr">
        <is>
          <t>Bookings already via wedding portals/Instagram; off-platform client contact (SP-4a open); peak-season time</t>
        </is>
      </c>
      <c r="AC126" s="2" t="inlineStr">
        <is>
          <t>E05 channel/segment test (assign at wave start)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</row>
    <row r="127">
      <c r="A127" s="2" t="n">
        <v>126</v>
      </c>
      <c r="B127" s="2" t="inlineStr">
        <is>
          <t>Wave 2 — Category &amp; city expansion</t>
        </is>
      </c>
      <c r="C127" s="2" t="inlineStr">
        <is>
          <t>UPK2-BM-073</t>
        </is>
      </c>
      <c r="D127" s="2" t="inlineStr">
        <is>
          <t>Veera Artistry</t>
        </is>
      </c>
      <c r="E127" s="2" t="inlineStr">
        <is>
          <t>Beauty &amp; Makeup</t>
        </is>
      </c>
      <c r="F127" s="2" t="inlineStr">
        <is>
          <t>BM-INDEPENDENT-MUA</t>
        </is>
      </c>
      <c r="G127" s="2" t="inlineStr">
        <is>
          <t>Wedding &amp; Occasion</t>
        </is>
      </c>
      <c r="H127" s="2" t="inlineStr">
        <is>
          <t>Bridal &amp; Groom MUA</t>
        </is>
      </c>
      <c r="I127" s="2" t="inlineStr">
        <is>
          <t>Chennai</t>
        </is>
      </c>
      <c r="J127" s="2" t="inlineStr">
        <is>
          <t>A — Emerging / High-potential</t>
        </is>
      </c>
      <c r="K127" s="2" t="inlineStr">
        <is>
          <t>Independent professional</t>
        </is>
      </c>
      <c r="L127" s="2" t="inlineStr">
        <is>
          <t>P0</t>
        </is>
      </c>
      <c r="M127" s="2" t="inlineStr">
        <is>
          <t>P0</t>
        </is>
      </c>
      <c r="N127" s="2" t="n">
        <v>73.40000000000001</v>
      </c>
      <c r="O127" s="2" t="n">
        <v>94</v>
      </c>
      <c r="P127" s="2" t="n">
        <v>58</v>
      </c>
      <c r="Q127" s="2" t="n">
        <v>61</v>
      </c>
      <c r="R127" s="2" t="n">
        <v>15</v>
      </c>
      <c r="S127" s="2" t="inlineStr">
        <is>
          <t>C1-DIRECT-VERIFIED</t>
        </is>
      </c>
      <c r="T127" s="2" t="inlineStr">
        <is>
          <t>1:1 message via own-website contact form</t>
        </is>
      </c>
      <c r="U127" s="2" t="inlineStr">
        <is>
          <t>https://veeraartistry.in/</t>
        </is>
      </c>
      <c r="V127" s="2" t="inlineStr">
        <is>
          <t>undated (site live 2026-10)</t>
        </is>
      </c>
      <c r="W127" s="2" t="inlineStr">
        <is>
          <t>4+ yrs; TV serial work; 90+ weddings (site)</t>
        </is>
      </c>
      <c r="X127" s="2" t="inlineStr"/>
      <c r="Y127" s="2" t="inlineStr">
        <is>
          <t>Readiness 73 (top 7% in category) | Commercial: 4+ yrs; TV serial work; 90+ weddings (site) | Active: undated (site live 2026-10) | Independent/emerging tier — fame not a factor</t>
        </is>
      </c>
      <c r="Z127" s="2" t="inlineStr">
        <is>
          <t>Lead with their bridal portfolio. Ask how bookings arrive today. Be explicit that service/booking availability at launch is being confirmed (EV-09).</t>
        </is>
      </c>
      <c r="AA127" s="2" t="inlineStr">
        <is>
          <t>Already gets leads via own site, Google and Instagram</t>
        </is>
      </c>
      <c r="AB127" s="2" t="inlineStr">
        <is>
          <t>Bookings already via wedding portals/Instagram; off-platform client contact (SP-4a open); peak-season time</t>
        </is>
      </c>
      <c r="AC127" s="2" t="inlineStr">
        <is>
          <t>E05 channel/segment test (assign at wave start)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</row>
    <row r="128">
      <c r="A128" s="2" t="n">
        <v>127</v>
      </c>
      <c r="B128" s="2" t="inlineStr">
        <is>
          <t>Wave 2 — Category &amp; city expansion</t>
        </is>
      </c>
      <c r="C128" s="2" t="inlineStr">
        <is>
          <t>UPK2-BM-042</t>
        </is>
      </c>
      <c r="D128" s="2" t="inlineStr">
        <is>
          <t>Rimi Makeover</t>
        </is>
      </c>
      <c r="E128" s="2" t="inlineStr">
        <is>
          <t>Beauty &amp; Makeup</t>
        </is>
      </c>
      <c r="F128" s="2" t="inlineStr">
        <is>
          <t>BM-INDEPENDENT-MUA</t>
        </is>
      </c>
      <c r="G128" s="2" t="inlineStr">
        <is>
          <t>Wedding &amp; Occasion</t>
        </is>
      </c>
      <c r="H128" s="2" t="inlineStr">
        <is>
          <t>Bridal Makeup Artist (hair &amp; makeup)</t>
        </is>
      </c>
      <c r="I128" s="2" t="inlineStr">
        <is>
          <t>Kolkata</t>
        </is>
      </c>
      <c r="J128" s="2" t="inlineStr">
        <is>
          <t>A — Emerging / High-potential</t>
        </is>
      </c>
      <c r="K128" s="2" t="inlineStr">
        <is>
          <t>Independent professional</t>
        </is>
      </c>
      <c r="L128" s="2" t="inlineStr">
        <is>
          <t>P0</t>
        </is>
      </c>
      <c r="M128" s="2" t="inlineStr">
        <is>
          <t>P0</t>
        </is>
      </c>
      <c r="N128" s="2" t="n">
        <v>73.40000000000001</v>
      </c>
      <c r="O128" s="2" t="n">
        <v>94</v>
      </c>
      <c r="P128" s="2" t="n">
        <v>59.2</v>
      </c>
      <c r="Q128" s="2" t="n">
        <v>65</v>
      </c>
      <c r="R128" s="2" t="n">
        <v>15</v>
      </c>
      <c r="S128" s="2" t="inlineStr">
        <is>
          <t>C1-DIRECT-VERIFIED</t>
        </is>
      </c>
      <c r="T128" s="2" t="inlineStr">
        <is>
          <t>Personal 1:1 email from founder/team to published business email</t>
        </is>
      </c>
      <c r="U128" s="2" t="inlineStr">
        <is>
          <t>https://rimimakeoverkolkata.in/</t>
        </is>
      </c>
      <c r="V128" s="2" t="inlineStr">
        <is>
          <t>2026 — copyright</t>
        </is>
      </c>
      <c r="W128" s="2" t="inlineStr">
        <is>
          <t>Bhowanipore-based bridal MUA (site)</t>
        </is>
      </c>
      <c r="X128" s="2" t="inlineStr"/>
      <c r="Y128" s="2" t="inlineStr">
        <is>
          <t>Readiness 73 (top 7% in category) | Commercial: Bhowanipore-based bridal MUA (site) | Active: 2026 — copyright | Independent/emerging tier — fame not a factor</t>
        </is>
      </c>
      <c r="Z128" s="2" t="inlineStr">
        <is>
          <t>Lead with their bridal portfolio. Ask how bookings arrive today. Be explicit that service/booking availability at launch is being confirmed (EV-09).</t>
        </is>
      </c>
      <c r="AA128" s="2" t="inlineStr">
        <is>
          <t>Already gets leads via own site, Google and Instagram</t>
        </is>
      </c>
      <c r="AB128" s="2" t="inlineStr">
        <is>
          <t>Bookings already via wedding portals/Instagram; off-platform client contact (SP-4a open); peak-season time</t>
        </is>
      </c>
      <c r="AC128" s="2" t="inlineStr">
        <is>
          <t>E05 channel/segment test (assign at wave start)</t>
        </is>
      </c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</row>
    <row r="129">
      <c r="A129" s="2" t="n">
        <v>128</v>
      </c>
      <c r="B129" s="2" t="inlineStr">
        <is>
          <t>Wave 2 — Category &amp; city expansion</t>
        </is>
      </c>
      <c r="C129" s="2" t="inlineStr">
        <is>
          <t>UPK2-BM-044</t>
        </is>
      </c>
      <c r="D129" s="2" t="inlineStr">
        <is>
          <t>Studio Appearance</t>
        </is>
      </c>
      <c r="E129" s="2" t="inlineStr">
        <is>
          <t>Beauty &amp; Makeup</t>
        </is>
      </c>
      <c r="F129" s="2" t="inlineStr">
        <is>
          <t>BM-STUDIO</t>
        </is>
      </c>
      <c r="G129" s="2" t="inlineStr">
        <is>
          <t>Wedding &amp; Occasion</t>
        </is>
      </c>
      <c r="H129" s="2" t="inlineStr">
        <is>
          <t>Bridal &amp; Party Makeup Studio</t>
        </is>
      </c>
      <c r="I129" s="2" t="inlineStr">
        <is>
          <t>Jaipur</t>
        </is>
      </c>
      <c r="J129" s="2" t="inlineStr">
        <is>
          <t>B — Established Independent</t>
        </is>
      </c>
      <c r="K129" s="2" t="inlineStr">
        <is>
          <t>Makeup studio</t>
        </is>
      </c>
      <c r="L129" s="2" t="inlineStr">
        <is>
          <t>P0</t>
        </is>
      </c>
      <c r="M129" s="2" t="inlineStr">
        <is>
          <t>P0</t>
        </is>
      </c>
      <c r="N129" s="2" t="n">
        <v>71.90000000000001</v>
      </c>
      <c r="O129" s="2" t="n">
        <v>89</v>
      </c>
      <c r="P129" s="2" t="n">
        <v>57.8</v>
      </c>
      <c r="Q129" s="2" t="n">
        <v>66</v>
      </c>
      <c r="R129" s="2" t="n">
        <v>10</v>
      </c>
      <c r="S129" s="2" t="inlineStr">
        <is>
          <t>C1-DIRECT-VERIFIED</t>
        </is>
      </c>
      <c r="T129" s="2" t="inlineStr">
        <is>
          <t>Personal 1:1 email from founder/team to published business email</t>
        </is>
      </c>
      <c r="U129" s="2" t="inlineStr">
        <is>
          <t>https://studioappearances.com/</t>
        </is>
      </c>
      <c r="V129" s="2" t="inlineStr">
        <is>
          <t>2026-02 — site dateModified</t>
        </is>
      </c>
      <c r="W129" s="2" t="inlineStr">
        <is>
          <t>Raja Park, Jaipur bridal &amp; party makeup studio</t>
        </is>
      </c>
      <c r="X129" s="2" t="inlineStr">
        <is>
          <t>Own website (First-party site)</t>
        </is>
      </c>
      <c r="Y129" s="2" t="inlineStr">
        <is>
          <t>Readiness 72 (top 12% in category) | Commercial: Raja Park, Jaipur bridal &amp; party makeup studio | Active: 2026-02 — site dateModified | Independent/emerging tier — fame not a factor</t>
        </is>
      </c>
      <c r="Z129" s="2" t="inlineStr">
        <is>
          <t>Lead with the studio's body of work and team. Ask how bookings arrive today. Service/booking availability at launch is being confirmed (EV-09).</t>
        </is>
      </c>
      <c r="AA129" s="2" t="inlineStr">
        <is>
          <t>—</t>
        </is>
      </c>
      <c r="AB129" s="2" t="inlineStr">
        <is>
          <t>Bookings already via wedding portals/Instagram; off-platform client contact (SP-4a open); peak-season time</t>
        </is>
      </c>
      <c r="AC129" s="2" t="inlineStr">
        <is>
          <t>E05 channel/segment test (assign at wave start)</t>
        </is>
      </c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</row>
    <row r="130">
      <c r="A130" s="2" t="n">
        <v>129</v>
      </c>
      <c r="B130" s="2" t="inlineStr">
        <is>
          <t>Wave 2 — Category &amp; city expansion</t>
        </is>
      </c>
      <c r="C130" s="2" t="inlineStr">
        <is>
          <t>UPK2-BM-065</t>
        </is>
      </c>
      <c r="D130" s="2" t="inlineStr">
        <is>
          <t>MakeupHub by Rajni</t>
        </is>
      </c>
      <c r="E130" s="2" t="inlineStr">
        <is>
          <t>Beauty &amp; Makeup</t>
        </is>
      </c>
      <c r="F130" s="2" t="inlineStr">
        <is>
          <t>BM-STUDIO</t>
        </is>
      </c>
      <c r="G130" s="2" t="inlineStr">
        <is>
          <t>Wedding &amp; Occasion</t>
        </is>
      </c>
      <c r="H130" s="2" t="inlineStr">
        <is>
          <t>Bridal Makeup Artist</t>
        </is>
      </c>
      <c r="I130" s="2" t="inlineStr">
        <is>
          <t>Chandigarh</t>
        </is>
      </c>
      <c r="J130" s="2" t="inlineStr">
        <is>
          <t>B — Established Independent</t>
        </is>
      </c>
      <c r="K130" s="2" t="inlineStr">
        <is>
          <t>Makeup studio</t>
        </is>
      </c>
      <c r="L130" s="2" t="inlineStr">
        <is>
          <t>P0</t>
        </is>
      </c>
      <c r="M130" s="2" t="inlineStr">
        <is>
          <t>P0</t>
        </is>
      </c>
      <c r="N130" s="2" t="n">
        <v>71.90000000000001</v>
      </c>
      <c r="O130" s="2" t="n">
        <v>89</v>
      </c>
      <c r="P130" s="2" t="n">
        <v>57.4</v>
      </c>
      <c r="Q130" s="2" t="n">
        <v>65</v>
      </c>
      <c r="R130" s="2" t="n">
        <v>10</v>
      </c>
      <c r="S130" s="2" t="inlineStr">
        <is>
          <t>C1-DIRECT-VERIFIED</t>
        </is>
      </c>
      <c r="T130" s="2" t="inlineStr">
        <is>
          <t>Personal 1:1 email from founder/team to published business email</t>
        </is>
      </c>
      <c r="U130" s="2" t="inlineStr">
        <is>
          <t>https://makeuphubbyrajni.in/</t>
        </is>
      </c>
      <c r="V130" s="2" t="inlineStr">
        <is>
          <t>2026 — site copyright 2026</t>
        </is>
      </c>
      <c r="W130" s="2" t="inlineStr">
        <is>
          <t>15+ years (site); serves Mohali, Chandigarh, Panchkula</t>
        </is>
      </c>
      <c r="X130" s="2" t="inlineStr">
        <is>
          <t>Own website (First-party site)</t>
        </is>
      </c>
      <c r="Y130" s="2" t="inlineStr">
        <is>
          <t>Readiness 72 (top 12% in category) | Commercial: 15+ years (site); serves Mohali, Chandigarh, Panchkula | Active: 2026 — site copyright 2026 | Independent/emerging tier — fame not a factor</t>
        </is>
      </c>
      <c r="Z130" s="2" t="inlineStr">
        <is>
          <t>Lead with the studio's body of work and team. Ask how bookings arrive today. Service/booking availability at launch is being confirmed (EV-09).</t>
        </is>
      </c>
      <c r="AA130" s="2" t="inlineStr">
        <is>
          <t>—</t>
        </is>
      </c>
      <c r="AB130" s="2" t="inlineStr">
        <is>
          <t>Bookings already via wedding portals/Instagram; off-platform client contact (SP-4a open); peak-season time</t>
        </is>
      </c>
      <c r="AC130" s="2" t="inlineStr">
        <is>
          <t>E05 channel/segment test (assign at wave start)</t>
        </is>
      </c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</row>
    <row r="131">
      <c r="A131" s="2" t="n">
        <v>130</v>
      </c>
      <c r="B131" s="2" t="inlineStr">
        <is>
          <t>Wave 2 — Category &amp; city expansion</t>
        </is>
      </c>
      <c r="C131" s="2" t="inlineStr">
        <is>
          <t>UPK2-BM-039</t>
        </is>
      </c>
      <c r="D131" s="2" t="inlineStr">
        <is>
          <t>Makeup By Shivani</t>
        </is>
      </c>
      <c r="E131" s="2" t="inlineStr">
        <is>
          <t>Beauty &amp; Makeup</t>
        </is>
      </c>
      <c r="F131" s="2" t="inlineStr">
        <is>
          <t>BM-INDEPENDENT-MUA</t>
        </is>
      </c>
      <c r="G131" s="2" t="inlineStr">
        <is>
          <t>Wedding &amp; Occasion</t>
        </is>
      </c>
      <c r="H131" s="2" t="inlineStr">
        <is>
          <t>Soft-glam Bridal &amp; Party Makeup Artist</t>
        </is>
      </c>
      <c r="I131" s="2" t="inlineStr">
        <is>
          <t>Chandigarh</t>
        </is>
      </c>
      <c r="J131" s="2" t="inlineStr">
        <is>
          <t>A — Emerging / High-potential</t>
        </is>
      </c>
      <c r="K131" s="2" t="inlineStr">
        <is>
          <t>Independent artist</t>
        </is>
      </c>
      <c r="L131" s="2" t="inlineStr">
        <is>
          <t>P0</t>
        </is>
      </c>
      <c r="M131" s="2" t="inlineStr">
        <is>
          <t>P0</t>
        </is>
      </c>
      <c r="N131" s="2" t="n">
        <v>73</v>
      </c>
      <c r="O131" s="2" t="n">
        <v>93</v>
      </c>
      <c r="P131" s="2" t="n">
        <v>57.3</v>
      </c>
      <c r="Q131" s="2" t="n">
        <v>64</v>
      </c>
      <c r="R131" s="2" t="n">
        <v>8</v>
      </c>
      <c r="S131" s="2" t="inlineStr">
        <is>
          <t>C1-DIRECT-VERIFIED</t>
        </is>
      </c>
      <c r="T131" s="2" t="inlineStr">
        <is>
          <t>Personal 1:1 email from founder/team to published business email</t>
        </is>
      </c>
      <c r="U131" s="2" t="inlineStr">
        <is>
          <t>https://makeupbyshivani.com/</t>
        </is>
      </c>
      <c r="V131" s="2" t="inlineStr">
        <is>
          <t>2026 — site copyright 2026</t>
        </is>
      </c>
      <c r="W131" s="2" t="inlineStr">
        <is>
          <t>Chandigarh, Mohali, Panchkula, Zirakpur; HD makeup, hair, draping, venue travel</t>
        </is>
      </c>
      <c r="X131" s="2" t="inlineStr">
        <is>
          <t>Own website (First-party site)</t>
        </is>
      </c>
      <c r="Y131" s="2" t="inlineStr">
        <is>
          <t>Readiness 73 (top 8% in category) | Commercial: Chandigarh, Mohali, Panchkula, Zirakpur; HD makeup, hair, draping, venue travel | Active: 2026 — site copyright 2026 | Independent/emerging tier — fame not a factor</t>
        </is>
      </c>
      <c r="Z131" s="2" t="inlineStr">
        <is>
          <t>Lead with their bridal portfolio. Ask how bookings arrive today. Be explicit that service/booking availability at launch is being confirmed (EV-09).</t>
        </is>
      </c>
      <c r="AA131" s="2" t="inlineStr">
        <is>
          <t>—</t>
        </is>
      </c>
      <c r="AB131" s="2" t="inlineStr">
        <is>
          <t>Bookings already via wedding portals/Instagram; off-platform client contact (SP-4a open); peak-season time</t>
        </is>
      </c>
      <c r="AC131" s="2" t="inlineStr">
        <is>
          <t>E05 channel/segment test (assign at wave start)</t>
        </is>
      </c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</row>
    <row r="132">
      <c r="A132" s="2" t="n">
        <v>131</v>
      </c>
      <c r="B132" s="2" t="inlineStr">
        <is>
          <t>Wave 2 — Category &amp; city expansion</t>
        </is>
      </c>
      <c r="C132" s="2" t="inlineStr">
        <is>
          <t>UPK2-BM-057</t>
        </is>
      </c>
      <c r="D132" s="2" t="inlineStr">
        <is>
          <t>Megha MUA</t>
        </is>
      </c>
      <c r="E132" s="2" t="inlineStr">
        <is>
          <t>Beauty &amp; Makeup</t>
        </is>
      </c>
      <c r="F132" s="2" t="inlineStr">
        <is>
          <t>BM-INDEPENDENT-MUA</t>
        </is>
      </c>
      <c r="G132" s="2" t="inlineStr">
        <is>
          <t>Wedding &amp; Occasion</t>
        </is>
      </c>
      <c r="H132" s="2" t="inlineStr">
        <is>
          <t>Bridal, HD &amp; Party Makeup Artist</t>
        </is>
      </c>
      <c r="I132" s="2" t="inlineStr">
        <is>
          <t>Chandigarh</t>
        </is>
      </c>
      <c r="J132" s="2" t="inlineStr">
        <is>
          <t>A — Emerging / High-potential</t>
        </is>
      </c>
      <c r="K132" s="2" t="inlineStr">
        <is>
          <t>Independent artist</t>
        </is>
      </c>
      <c r="L132" s="2" t="inlineStr">
        <is>
          <t>P0</t>
        </is>
      </c>
      <c r="M132" s="2" t="inlineStr">
        <is>
          <t>P0</t>
        </is>
      </c>
      <c r="N132" s="2" t="n">
        <v>72.09999999999999</v>
      </c>
      <c r="O132" s="2" t="n">
        <v>89</v>
      </c>
      <c r="P132" s="2" t="n">
        <v>56</v>
      </c>
      <c r="Q132" s="2" t="n">
        <v>61</v>
      </c>
      <c r="R132" s="2" t="n">
        <v>8</v>
      </c>
      <c r="S132" s="2" t="inlineStr">
        <is>
          <t>C1-DIRECT-VERIFIED</t>
        </is>
      </c>
      <c r="T132" s="2" t="inlineStr">
        <is>
          <t>Personal 1:1 email from founder/team to published business email</t>
        </is>
      </c>
      <c r="U132" s="2" t="inlineStr">
        <is>
          <t>https://meghamua.com/contact/</t>
        </is>
      </c>
      <c r="V132" s="2" t="inlineStr">
        <is>
          <t>2026-03 — site dateModified</t>
        </is>
      </c>
      <c r="W132" s="2" t="inlineStr">
        <is>
          <t>Certified MUA; studio and on-location bridal across tricity; destination weddings</t>
        </is>
      </c>
      <c r="X132" s="2" t="inlineStr">
        <is>
          <t>Own website (First-party site)</t>
        </is>
      </c>
      <c r="Y132" s="2" t="inlineStr">
        <is>
          <t>Readiness 72 (top 12% in category) | Commercial: Certified MUA; studio and on-location bridal across tricity; destination weddings | Active: 2026-03 — site dateModified | Independent/emerging tier — fame not a factor</t>
        </is>
      </c>
      <c r="Z132" s="2" t="inlineStr">
        <is>
          <t>Lead with their bridal portfolio. Ask how bookings arrive today. Be explicit that service/booking availability at launch is being confirmed (EV-09).</t>
        </is>
      </c>
      <c r="AA132" s="2" t="inlineStr">
        <is>
          <t>—</t>
        </is>
      </c>
      <c r="AB132" s="2" t="inlineStr">
        <is>
          <t>Bookings already via wedding portals/Instagram; off-platform client contact (SP-4a open); peak-season time</t>
        </is>
      </c>
      <c r="AC132" s="2" t="inlineStr">
        <is>
          <t>E05 channel/segment test (assign at wave start)</t>
        </is>
      </c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</row>
    <row r="133">
      <c r="A133" s="2" t="n">
        <v>132</v>
      </c>
      <c r="B133" s="2" t="inlineStr">
        <is>
          <t>Wave 2 — Category &amp; city expansion</t>
        </is>
      </c>
      <c r="C133" s="2" t="inlineStr">
        <is>
          <t>UPK2-BM-049</t>
        </is>
      </c>
      <c r="D133" s="2" t="inlineStr">
        <is>
          <t>Saloni Makeup Artist</t>
        </is>
      </c>
      <c r="E133" s="2" t="inlineStr">
        <is>
          <t>Beauty &amp; Makeup</t>
        </is>
      </c>
      <c r="F133" s="2" t="inlineStr">
        <is>
          <t>BM-INDEPENDENT-MUA</t>
        </is>
      </c>
      <c r="G133" s="2" t="inlineStr">
        <is>
          <t>Wedding &amp; Occasion</t>
        </is>
      </c>
      <c r="H133" s="2" t="inlineStr">
        <is>
          <t>Bridal, Party &amp; Airbrush Makeup Artist</t>
        </is>
      </c>
      <c r="I133" s="2" t="inlineStr">
        <is>
          <t>Jaipur</t>
        </is>
      </c>
      <c r="J133" s="2" t="inlineStr">
        <is>
          <t>A — Emerging / High-potential</t>
        </is>
      </c>
      <c r="K133" s="2" t="inlineStr">
        <is>
          <t>Independent artist</t>
        </is>
      </c>
      <c r="L133" s="2" t="inlineStr">
        <is>
          <t>P0</t>
        </is>
      </c>
      <c r="M133" s="2" t="inlineStr">
        <is>
          <t>P0</t>
        </is>
      </c>
      <c r="N133" s="2" t="n">
        <v>69.3</v>
      </c>
      <c r="O133" s="2" t="n">
        <v>77</v>
      </c>
      <c r="P133" s="2" t="n">
        <v>54.6</v>
      </c>
      <c r="Q133" s="2" t="n">
        <v>61</v>
      </c>
      <c r="R133" s="2" t="n">
        <v>8</v>
      </c>
      <c r="S133" s="2" t="inlineStr">
        <is>
          <t>C1-DIRECT-VERIFIED</t>
        </is>
      </c>
      <c r="T133" s="2" t="inlineStr">
        <is>
          <t>Personal 1:1 email from founder/team to published business email</t>
        </is>
      </c>
      <c r="U133" s="2" t="inlineStr">
        <is>
          <t>https://salonimakeupartist.com/</t>
        </is>
      </c>
      <c r="V133" s="2" t="inlineStr">
        <is>
          <t>2025-10 — site dateModified</t>
        </is>
      </c>
      <c r="W133" s="2" t="inlineStr">
        <is>
          <t>Mansarovar, Jaipur; bridal/party/airbrush booking site</t>
        </is>
      </c>
      <c r="X133" s="2" t="inlineStr">
        <is>
          <t>Own website (First-party site)</t>
        </is>
      </c>
      <c r="Y133" s="2" t="inlineStr">
        <is>
          <t>Readiness 69 (top 24% in category) | Commercial: Mansarovar, Jaipur; bridal/party/airbrush booking site | Active: 2025-10 — site dateModified | Independent/emerging tier — fame not a factor</t>
        </is>
      </c>
      <c r="Z133" s="2" t="inlineStr">
        <is>
          <t>Lead with their bridal portfolio. Ask how bookings arrive today. Be explicit that service/booking availability at launch is being confirmed (EV-09).</t>
        </is>
      </c>
      <c r="AA133" s="2" t="inlineStr">
        <is>
          <t>—</t>
        </is>
      </c>
      <c r="AB133" s="2" t="inlineStr">
        <is>
          <t>Bookings already via wedding portals/Instagram; off-platform client contact (SP-4a open); peak-season time</t>
        </is>
      </c>
      <c r="AC133" s="2" t="inlineStr">
        <is>
          <t>E05 channel/segment test (assign at wave start)</t>
        </is>
      </c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</row>
    <row r="134">
      <c r="A134" s="2" t="n">
        <v>133</v>
      </c>
      <c r="B134" s="2" t="inlineStr">
        <is>
          <t>Wave 2 — Category &amp; city expansion</t>
        </is>
      </c>
      <c r="C134" s="2" t="inlineStr">
        <is>
          <t>UPK2-FL-001</t>
        </is>
      </c>
      <c r="D134" s="2" t="inlineStr">
        <is>
          <t>Aisha Rao</t>
        </is>
      </c>
      <c r="E134" s="2" t="inlineStr">
        <is>
          <t>Fashion &amp; Lifestyle</t>
        </is>
      </c>
      <c r="F134" s="2" t="inlineStr">
        <is>
          <t>FL-OCCASION-BRIDAL</t>
        </is>
      </c>
      <c r="G134" s="2" t="inlineStr">
        <is>
          <t>Wedding &amp; Occasion</t>
        </is>
      </c>
      <c r="H134" s="2" t="inlineStr">
        <is>
          <t>Occasion couture &amp; bridal gowns</t>
        </is>
      </c>
      <c r="I134" s="2" t="inlineStr">
        <is>
          <t>Hyderabad</t>
        </is>
      </c>
      <c r="J134" s="2" t="inlineStr">
        <is>
          <t>C — Strong Mid-tier</t>
        </is>
      </c>
      <c r="K134" s="2" t="inlineStr">
        <is>
          <t>Label/brand</t>
        </is>
      </c>
      <c r="L134" s="2" t="inlineStr">
        <is>
          <t>P0</t>
        </is>
      </c>
      <c r="M134" s="2" t="inlineStr">
        <is>
          <t>P1</t>
        </is>
      </c>
      <c r="N134" s="2" t="n">
        <v>84.40000000000001</v>
      </c>
      <c r="O134" s="2" t="n">
        <v>97</v>
      </c>
      <c r="P134" s="2" t="n">
        <v>79.7</v>
      </c>
      <c r="Q134" s="2" t="n">
        <v>85</v>
      </c>
      <c r="R134" s="2" t="n">
        <v>60</v>
      </c>
      <c r="S134" s="2" t="inlineStr">
        <is>
          <t>C1-DIRECT-VERIFIED</t>
        </is>
      </c>
      <c r="T134" s="2" t="inlineStr">
        <is>
          <t>Personal 1:1 email from founder/team to published business email</t>
        </is>
      </c>
      <c r="U134" s="2" t="inlineStr">
        <is>
          <t>https://aisharao.com/pages/virtual-appointment</t>
        </is>
      </c>
      <c r="V134" s="2" t="inlineStr">
        <is>
          <t>2026-09 — newest product published on aisharao.com</t>
        </is>
      </c>
      <c r="W134" s="2" t="inlineStr">
        <is>
          <t>Celebrity looks on site (e.g. product pages naming Rashmika Mandanna, Sanya Malhotra)</t>
        </is>
      </c>
      <c r="X134" s="2" t="inlineStr">
        <is>
          <t>FDCI (member listing (preliminary-)); Aza Fashions (designer storefront); Ogaan (designer storefront)</t>
        </is>
      </c>
      <c r="Y134" s="2" t="inlineStr">
        <is>
          <t>Readiness 84 (top 4% in category) | Commercial: Celebrity looks on site (e.g. product pages naming Rashmika Mandanna, Sanya Malhotra) | Active: 2026-09 — newest product published on aisharao.com | Marketplace-familiar: FDCI); Aza Fashions; Ogaan</t>
        </is>
      </c>
      <c r="Z134" s="2" t="inlineStr">
        <is>
          <t>Lead with the label's craft and name. Ask how made-to-order/bridal enquiries reach them today. Position Uepaki as an additional professional channel, not a replacement for stockists.</t>
        </is>
      </c>
      <c r="AA134" s="2" t="inlineStr">
        <is>
          <t>Established own D2C site and multi-designer stockists</t>
        </is>
      </c>
      <c r="AB134" s="2" t="inlineStr">
        <is>
          <t>Own D2C store/stockists already; "who else is on it?"; commission vs stockist margin</t>
        </is>
      </c>
      <c r="AC134" s="2" t="inlineStr">
        <is>
          <t>E05 channel/segment test (assign at wave start)</t>
        </is>
      </c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</row>
    <row r="135">
      <c r="A135" s="2" t="n">
        <v>134</v>
      </c>
      <c r="B135" s="2" t="inlineStr">
        <is>
          <t>Wave 2 — Category &amp; city expansion</t>
        </is>
      </c>
      <c r="C135" s="2" t="inlineStr">
        <is>
          <t>UPK2-FL-170</t>
        </is>
      </c>
      <c r="D135" s="2" t="inlineStr">
        <is>
          <t>Mala And Kinnary</t>
        </is>
      </c>
      <c r="E135" s="2" t="inlineStr">
        <is>
          <t>Fashion &amp; Lifestyle</t>
        </is>
      </c>
      <c r="F135" s="2" t="inlineStr">
        <is>
          <t>FL-OCCASION-BRIDAL</t>
        </is>
      </c>
      <c r="G135" s="2" t="inlineStr">
        <is>
          <t>Wedding &amp; Occasion</t>
        </is>
      </c>
      <c r="H135" s="2" t="inlineStr">
        <is>
          <t>Occasion &amp; bridal wear (lehengas, sarees, festive sets)</t>
        </is>
      </c>
      <c r="I135" s="2" t="inlineStr">
        <is>
          <t>Pune</t>
        </is>
      </c>
      <c r="J135" s="2" t="inlineStr">
        <is>
          <t>B — Established Independent</t>
        </is>
      </c>
      <c r="K135" s="2" t="inlineStr">
        <is>
          <t>Label/brand (D2C store)</t>
        </is>
      </c>
      <c r="L135" s="2" t="inlineStr">
        <is>
          <t>P0</t>
        </is>
      </c>
      <c r="M135" s="2" t="inlineStr">
        <is>
          <t>P0</t>
        </is>
      </c>
      <c r="N135" s="2" t="n">
        <v>87</v>
      </c>
      <c r="O135" s="2" t="n">
        <v>100</v>
      </c>
      <c r="P135" s="2" t="n">
        <v>79.3</v>
      </c>
      <c r="Q135" s="2" t="n">
        <v>86</v>
      </c>
      <c r="R135" s="2" t="n">
        <v>50</v>
      </c>
      <c r="S135" s="2" t="inlineStr">
        <is>
          <t>C1-DIRECT-VERIFIED</t>
        </is>
      </c>
      <c r="T135" s="2" t="inlineStr">
        <is>
          <t>Personal 1:1 email from founder/team to published business email</t>
        </is>
      </c>
      <c r="U135" s="2" t="inlineStr">
        <is>
          <t>https://malaandkinnary.in/pages/book-an-appointment</t>
        </is>
      </c>
      <c r="V135" s="2" t="inlineStr">
        <is>
          <t>2026-07 — newest product published on own Shopify store (Leaf blossom) per products.json</t>
        </is>
      </c>
      <c r="W135" s="2" t="inlineStr">
        <is>
          <t>Own online store live with 162 products listed; stocked by multi-designer retailer(s): Aza Fashions, Ogaan</t>
        </is>
      </c>
      <c r="X135" s="2" t="inlineStr">
        <is>
          <t>Aza Fashions (stocked designer (designer index)); Ogaan (stocked designer (designer index))</t>
        </is>
      </c>
      <c r="Y135" s="2" t="inlineStr">
        <is>
          <t>Readiness 87 (top 1% in category) | Commercial: Own online store live with 162 products listed; stocked by multi-designer retailer(s): Az… | Active: 2026-07 — newest product published on own Shopify store (Leaf blossom… | Marketplace-familiar: Aza Fashions); Ogaan) | Independent/emerging tier — fame not a factor</t>
        </is>
      </c>
      <c r="Z135" s="2" t="inlineStr">
        <is>
          <t>Lead with the label's craft and name. Ask how made-to-order/bridal enquiries reach them today. Position Uepaki as an additional professional channel, not a replacement for stockists.</t>
        </is>
      </c>
      <c r="AA135" s="2" t="inlineStr">
        <is>
          <t>Already has own D2C store and established multi-designer stockists</t>
        </is>
      </c>
      <c r="AB135" s="2" t="inlineStr">
        <is>
          <t>Own D2C store/stockists already; "who else is on it?"; commission vs stockist margin</t>
        </is>
      </c>
      <c r="AC135" s="2" t="inlineStr">
        <is>
          <t>E05 channel/segment test (assign at wave start)</t>
        </is>
      </c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</row>
    <row r="136">
      <c r="A136" s="2" t="n">
        <v>135</v>
      </c>
      <c r="B136" s="2" t="inlineStr">
        <is>
          <t>Wave 2 — Category &amp; city expansion</t>
        </is>
      </c>
      <c r="C136" s="2" t="inlineStr">
        <is>
          <t>UPK2-FL-168</t>
        </is>
      </c>
      <c r="D136" s="2" t="inlineStr">
        <is>
          <t>Archana Shah</t>
        </is>
      </c>
      <c r="E136" s="2" t="inlineStr">
        <is>
          <t>Fashion &amp; Lifestyle</t>
        </is>
      </c>
      <c r="F136" s="2" t="inlineStr">
        <is>
          <t>FL-OCCASION-BRIDAL</t>
        </is>
      </c>
      <c r="G136" s="2" t="inlineStr">
        <is>
          <t>Wedding &amp; Occasion</t>
        </is>
      </c>
      <c r="H136" s="2" t="inlineStr">
        <is>
          <t>Occasion &amp; bridal wear (lehengas, sarees, festive sets)</t>
        </is>
      </c>
      <c r="I136" s="2" t="inlineStr">
        <is>
          <t>Hyderabad</t>
        </is>
      </c>
      <c r="J136" s="2" t="inlineStr">
        <is>
          <t>B — Established Independent</t>
        </is>
      </c>
      <c r="K136" s="2" t="inlineStr">
        <is>
          <t>Label/brand (D2C store)</t>
        </is>
      </c>
      <c r="L136" s="2" t="inlineStr">
        <is>
          <t>P0</t>
        </is>
      </c>
      <c r="M136" s="2" t="inlineStr">
        <is>
          <t>P0</t>
        </is>
      </c>
      <c r="N136" s="2" t="n">
        <v>87</v>
      </c>
      <c r="O136" s="2" t="n">
        <v>100</v>
      </c>
      <c r="P136" s="2" t="n">
        <v>79.3</v>
      </c>
      <c r="Q136" s="2" t="n">
        <v>86</v>
      </c>
      <c r="R136" s="2" t="n">
        <v>50</v>
      </c>
      <c r="S136" s="2" t="inlineStr">
        <is>
          <t>C1-DIRECT-VERIFIED</t>
        </is>
      </c>
      <c r="T136" s="2" t="inlineStr">
        <is>
          <t>Personal 1:1 email from founder/team to published business email</t>
        </is>
      </c>
      <c r="U136" s="2" t="inlineStr">
        <is>
          <t>https://www.archanashahofficial.com/pages/contact</t>
        </is>
      </c>
      <c r="V136" s="2" t="inlineStr">
        <is>
          <t>2026-08 — newest product published on own Shopify store (Maysara Abaya) per products.json</t>
        </is>
      </c>
      <c r="W136" s="2" t="inlineStr">
        <is>
          <t>Own online store live with 250+ products listed; stocked by multi-designer retailer(s): Aza Fashions, Ogaan</t>
        </is>
      </c>
      <c r="X136" s="2" t="inlineStr">
        <is>
          <t>Aza Fashions (stocked designer (designer index)); Ogaan (stocked designer (designer index))</t>
        </is>
      </c>
      <c r="Y136" s="2" t="inlineStr">
        <is>
          <t>Readiness 87 (top 1% in category) | Commercial: Own online store live with 250+ products listed; stocked by multi-designer retailer(s): A… | Active: 2026-08 — newest product published on own Shopify store (Maysara Abay… | Marketplace-familiar: Aza Fashions); Ogaan) | Independent/emerging tier — fame not a factor</t>
        </is>
      </c>
      <c r="Z136" s="2" t="inlineStr">
        <is>
          <t>Lead with the label's craft and name. Ask how made-to-order/bridal enquiries reach them today. Position Uepaki as an additional professional channel, not a replacement for stockists.</t>
        </is>
      </c>
      <c r="AA136" s="2" t="inlineStr">
        <is>
          <t>Already has own D2C store and established multi-designer stockists</t>
        </is>
      </c>
      <c r="AB136" s="2" t="inlineStr">
        <is>
          <t>Own D2C store/stockists already; "who else is on it?"; commission vs stockist margin</t>
        </is>
      </c>
      <c r="AC136" s="2" t="inlineStr">
        <is>
          <t>E05 channel/segment test (assign at wave start)</t>
        </is>
      </c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</row>
    <row r="137">
      <c r="A137" s="2" t="n">
        <v>136</v>
      </c>
      <c r="B137" s="2" t="inlineStr">
        <is>
          <t>Wave 2 — Category &amp; city expansion</t>
        </is>
      </c>
      <c r="C137" s="2" t="inlineStr">
        <is>
          <t>UPK2-FL-004</t>
        </is>
      </c>
      <c r="D137" s="2" t="inlineStr">
        <is>
          <t>Suhani Pittie</t>
        </is>
      </c>
      <c r="E137" s="2" t="inlineStr">
        <is>
          <t>Fashion &amp; Lifestyle</t>
        </is>
      </c>
      <c r="F137" s="2" t="inlineStr">
        <is>
          <t>FL-JEWELLERY</t>
        </is>
      </c>
      <c r="G137" s="2" t="inlineStr">
        <is>
          <t>Wedding &amp; Occasion</t>
        </is>
      </c>
      <c r="H137" s="2" t="inlineStr">
        <is>
          <t>Fashion &amp; fine jewellery</t>
        </is>
      </c>
      <c r="I137" s="2" t="inlineStr">
        <is>
          <t>Hyderabad</t>
        </is>
      </c>
      <c r="J137" s="2" t="inlineStr">
        <is>
          <t>C — Strong Mid-tier</t>
        </is>
      </c>
      <c r="K137" s="2" t="inlineStr">
        <is>
          <t>Label/brand</t>
        </is>
      </c>
      <c r="L137" s="2" t="inlineStr">
        <is>
          <t>P0</t>
        </is>
      </c>
      <c r="M137" s="2" t="inlineStr">
        <is>
          <t>P1</t>
        </is>
      </c>
      <c r="N137" s="2" t="n">
        <v>84.40000000000001</v>
      </c>
      <c r="O137" s="2" t="n">
        <v>97</v>
      </c>
      <c r="P137" s="2" t="n">
        <v>78.40000000000001</v>
      </c>
      <c r="Q137" s="2" t="n">
        <v>84</v>
      </c>
      <c r="R137" s="2" t="n">
        <v>55</v>
      </c>
      <c r="S137" s="2" t="inlineStr">
        <is>
          <t>C1-DIRECT-VERIFIED</t>
        </is>
      </c>
      <c r="T137" s="2" t="inlineStr">
        <is>
          <t>Personal 1:1 email from founder/team to published business email</t>
        </is>
      </c>
      <c r="U137" s="2" t="inlineStr">
        <is>
          <t>https://suhanipittie.com/pages/contact-us</t>
        </is>
      </c>
      <c r="V137" s="2" t="inlineStr">
        <is>
          <t>2026-10 — newest product published on suhanipittie.com</t>
        </is>
      </c>
      <c r="W137" s="2" t="inlineStr"/>
      <c r="X137" s="2" t="inlineStr">
        <is>
          <t>FDCI (member listing (accessory-)); Aza Fashions (designer storefront); Ogaan (designer storefront)</t>
        </is>
      </c>
      <c r="Y137" s="2" t="inlineStr">
        <is>
          <t>Readiness 84 (top 4% in category) | Commercial:  | Active: 2026-10 — newest product published on suhanipittie.com | Marketplace-familiar: FDCI); Aza Fashions; Ogaan</t>
        </is>
      </c>
      <c r="Z137" s="2" t="inlineStr">
        <is>
          <t>Lead with a specific collection. Position as an additional channel under the label's own name. No sales promises.</t>
        </is>
      </c>
      <c r="AA137" s="2" t="inlineStr">
        <is>
          <t>Established own D2C site and multi-designer stockists</t>
        </is>
      </c>
      <c r="AB137" s="2" t="inlineStr">
        <is>
          <t>Own D2C store/stockists already; "who else is on it?"; commission vs stockist margin</t>
        </is>
      </c>
      <c r="AC137" s="2" t="inlineStr">
        <is>
          <t>E05 channel/segment test (assign at wave start)</t>
        </is>
      </c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</row>
    <row r="138">
      <c r="A138" s="2" t="n">
        <v>137</v>
      </c>
      <c r="B138" s="2" t="inlineStr">
        <is>
          <t>Wave 2 — Category &amp; city expansion</t>
        </is>
      </c>
      <c r="C138" s="2" t="inlineStr">
        <is>
          <t>UPK2-FL-002</t>
        </is>
      </c>
      <c r="D138" s="2" t="inlineStr">
        <is>
          <t>Mrunalini Rao</t>
        </is>
      </c>
      <c r="E138" s="2" t="inlineStr">
        <is>
          <t>Fashion &amp; Lifestyle</t>
        </is>
      </c>
      <c r="F138" s="2" t="inlineStr">
        <is>
          <t>FL-OCCASION-BRIDAL</t>
        </is>
      </c>
      <c r="G138" s="2" t="inlineStr">
        <is>
          <t>Wedding &amp; Occasion</t>
        </is>
      </c>
      <c r="H138" s="2" t="inlineStr">
        <is>
          <t>Couture &amp; bridal</t>
        </is>
      </c>
      <c r="I138" s="2" t="inlineStr">
        <is>
          <t>Hyderabad</t>
        </is>
      </c>
      <c r="J138" s="2" t="inlineStr">
        <is>
          <t>C — Strong Mid-tier</t>
        </is>
      </c>
      <c r="K138" s="2" t="inlineStr">
        <is>
          <t>Label/brand</t>
        </is>
      </c>
      <c r="L138" s="2" t="inlineStr">
        <is>
          <t>P0</t>
        </is>
      </c>
      <c r="M138" s="2" t="inlineStr">
        <is>
          <t>P1</t>
        </is>
      </c>
      <c r="N138" s="2" t="n">
        <v>84.40000000000001</v>
      </c>
      <c r="O138" s="2" t="n">
        <v>97</v>
      </c>
      <c r="P138" s="2" t="n">
        <v>78.40000000000001</v>
      </c>
      <c r="Q138" s="2" t="n">
        <v>84</v>
      </c>
      <c r="R138" s="2" t="n">
        <v>55</v>
      </c>
      <c r="S138" s="2" t="inlineStr">
        <is>
          <t>C1-DIRECT-VERIFIED</t>
        </is>
      </c>
      <c r="T138" s="2" t="inlineStr">
        <is>
          <t>Personal 1:1 email from founder/team to published business email</t>
        </is>
      </c>
      <c r="U138" s="2" t="inlineStr">
        <is>
          <t>https://www.mrunalinirao.com/pages/contact</t>
        </is>
      </c>
      <c r="V138" s="2" t="inlineStr">
        <is>
          <t>2026-10 — newest product published on mrunalinirao.com</t>
        </is>
      </c>
      <c r="W138" s="2" t="inlineStr"/>
      <c r="X138" s="2" t="inlineStr">
        <is>
          <t>FDCI (member listing (registered-)); Aza Fashions (designer storefront); Ogaan (designer storefront)</t>
        </is>
      </c>
      <c r="Y138" s="2" t="inlineStr">
        <is>
          <t>Readiness 84 (top 4% in category) | Commercial:  | Active: 2026-10 — newest product published on mrunalinirao.com | Marketplace-familiar: FDCI); Aza Fashions; Ogaan</t>
        </is>
      </c>
      <c r="Z138" s="2" t="inlineStr">
        <is>
          <t>Lead with the label's craft and name. Ask how made-to-order/bridal enquiries reach them today. Position Uepaki as an additional professional channel, not a replacement for stockists.</t>
        </is>
      </c>
      <c r="AA138" s="2" t="inlineStr">
        <is>
          <t>Established own D2C site and multi-designer stockists</t>
        </is>
      </c>
      <c r="AB138" s="2" t="inlineStr">
        <is>
          <t>Own D2C store/stockists already; "who else is on it?"; commission vs stockist margin</t>
        </is>
      </c>
      <c r="AC138" s="2" t="inlineStr">
        <is>
          <t>E05 channel/segment test (assign at wave start)</t>
        </is>
      </c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</row>
    <row r="139">
      <c r="A139" s="2" t="n">
        <v>138</v>
      </c>
      <c r="B139" s="2" t="inlineStr">
        <is>
          <t>Wave 2 — Category &amp; city expansion</t>
        </is>
      </c>
      <c r="C139" s="2" t="inlineStr">
        <is>
          <t>UPK2-FL-003</t>
        </is>
      </c>
      <c r="D139" s="2" t="inlineStr">
        <is>
          <t>Jayanti Reddy</t>
        </is>
      </c>
      <c r="E139" s="2" t="inlineStr">
        <is>
          <t>Fashion &amp; Lifestyle</t>
        </is>
      </c>
      <c r="F139" s="2" t="inlineStr">
        <is>
          <t>FL-OCCASION-BRIDAL</t>
        </is>
      </c>
      <c r="G139" s="2" t="inlineStr">
        <is>
          <t>Wedding &amp; Occasion</t>
        </is>
      </c>
      <c r="H139" s="2" t="inlineStr">
        <is>
          <t>Contemporary bridal &amp; occasion couture</t>
        </is>
      </c>
      <c r="I139" s="2" t="inlineStr">
        <is>
          <t>Hyderabad</t>
        </is>
      </c>
      <c r="J139" s="2" t="inlineStr">
        <is>
          <t>C — Strong Mid-tier</t>
        </is>
      </c>
      <c r="K139" s="2" t="inlineStr">
        <is>
          <t>Label/brand</t>
        </is>
      </c>
      <c r="L139" s="2" t="inlineStr">
        <is>
          <t>P0</t>
        </is>
      </c>
      <c r="M139" s="2" t="inlineStr">
        <is>
          <t>P1</t>
        </is>
      </c>
      <c r="N139" s="2" t="n">
        <v>84.40000000000001</v>
      </c>
      <c r="O139" s="2" t="n">
        <v>97</v>
      </c>
      <c r="P139" s="2" t="n">
        <v>78.40000000000001</v>
      </c>
      <c r="Q139" s="2" t="n">
        <v>84</v>
      </c>
      <c r="R139" s="2" t="n">
        <v>55</v>
      </c>
      <c r="S139" s="2" t="inlineStr">
        <is>
          <t>C1-DIRECT-VERIFIED</t>
        </is>
      </c>
      <c r="T139" s="2" t="inlineStr">
        <is>
          <t>Personal 1:1 email from founder/team to published business email</t>
        </is>
      </c>
      <c r="U139" s="2" t="inlineStr">
        <is>
          <t>https://jayantireddy.com/pages/about-us</t>
        </is>
      </c>
      <c r="V139" s="2" t="inlineStr">
        <is>
          <t>2026-09 — newest product published on jayantireddy.com</t>
        </is>
      </c>
      <c r="W139" s="2" t="inlineStr">
        <is>
          <t>Bridal clientele; stocked at Aza and Ogaan</t>
        </is>
      </c>
      <c r="X139" s="2" t="inlineStr">
        <is>
          <t>FDCI (member listing (preliminary-)); Aza Fashions (designer storefront); Ogaan (designer storefront)</t>
        </is>
      </c>
      <c r="Y139" s="2" t="inlineStr">
        <is>
          <t>Readiness 84 (top 4% in category) | Commercial: Bridal clientele; stocked at Aza and Ogaan | Active: 2026-09 — newest product published on jayantireddy.com | Marketplace-familiar: FDCI); Aza Fashions; Ogaan</t>
        </is>
      </c>
      <c r="Z139" s="2" t="inlineStr">
        <is>
          <t>Lead with the label's craft and name. Ask how made-to-order/bridal enquiries reach them today. Position Uepaki as an additional professional channel, not a replacement for stockists.</t>
        </is>
      </c>
      <c r="AA139" s="2" t="inlineStr">
        <is>
          <t>Established own D2C site and multi-designer stockists</t>
        </is>
      </c>
      <c r="AB139" s="2" t="inlineStr">
        <is>
          <t>Own D2C store/stockists already; "who else is on it?"; commission vs stockist margin</t>
        </is>
      </c>
      <c r="AC139" s="2" t="inlineStr">
        <is>
          <t>E05 channel/segment test (assign at wave start)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</row>
    <row r="140">
      <c r="A140" s="2" t="n">
        <v>139</v>
      </c>
      <c r="B140" s="2" t="inlineStr">
        <is>
          <t>Wave 2 — Category &amp; city expansion</t>
        </is>
      </c>
      <c r="C140" s="2" t="inlineStr">
        <is>
          <t>UPK2-FL-192</t>
        </is>
      </c>
      <c r="D140" s="2" t="inlineStr">
        <is>
          <t>Dyelogue</t>
        </is>
      </c>
      <c r="E140" s="2" t="inlineStr">
        <is>
          <t>Fashion &amp; Lifestyle</t>
        </is>
      </c>
      <c r="F140" s="2" t="inlineStr">
        <is>
          <t>FL-OCCASION-BRIDAL</t>
        </is>
      </c>
      <c r="G140" s="2" t="inlineStr">
        <is>
          <t>Wedding &amp; Occasion</t>
        </is>
      </c>
      <c r="H140" s="2" t="inlineStr">
        <is>
          <t>Occasion &amp; bridal wear (lehengas, sarees, festive sets)</t>
        </is>
      </c>
      <c r="I140" s="2" t="inlineStr">
        <is>
          <t>Ahmedabad</t>
        </is>
      </c>
      <c r="J140" s="2" t="inlineStr">
        <is>
          <t>B — Established Independent</t>
        </is>
      </c>
      <c r="K140" s="2" t="inlineStr">
        <is>
          <t>Label/brand (D2C store)</t>
        </is>
      </c>
      <c r="L140" s="2" t="inlineStr">
        <is>
          <t>P0</t>
        </is>
      </c>
      <c r="M140" s="2" t="inlineStr">
        <is>
          <t>P0</t>
        </is>
      </c>
      <c r="N140" s="2" t="n">
        <v>85</v>
      </c>
      <c r="O140" s="2" t="n">
        <v>98</v>
      </c>
      <c r="P140" s="2" t="n">
        <v>78</v>
      </c>
      <c r="Q140" s="2" t="n">
        <v>85</v>
      </c>
      <c r="R140" s="2" t="n">
        <v>50</v>
      </c>
      <c r="S140" s="2" t="inlineStr">
        <is>
          <t>C1-DIRECT-VERIFIED</t>
        </is>
      </c>
      <c r="T140" s="2" t="inlineStr">
        <is>
          <t>Personal 1:1 email from founder/team to published business email</t>
        </is>
      </c>
      <c r="U140" s="2" t="inlineStr">
        <is>
          <t>https://dyelogue.com/pages/contact</t>
        </is>
      </c>
      <c r="V140" s="2" t="inlineStr">
        <is>
          <t>2026-07 — newest product published on own Shopify store (MOSAIC BLAZER SET) per products.json</t>
        </is>
      </c>
      <c r="W140" s="2" t="inlineStr">
        <is>
          <t>Own online store live with 250+ products listed; stocked by multi-designer retailer(s): Aza Fashions, Ogaan</t>
        </is>
      </c>
      <c r="X140" s="2" t="inlineStr">
        <is>
          <t>Aza Fashions (stocked designer (designer index)); Ogaan (stocked designer (designer index))</t>
        </is>
      </c>
      <c r="Y140" s="2" t="inlineStr">
        <is>
          <t>Readiness 85 (top 3% in category) | Commercial: Own online store live with 250+ products listed; stocked by multi-designer retailer(s): A… | Active: 2026-07 — newest product published on own Shopify store (MOSAIC BLAZE… | Marketplace-familiar: Aza Fashions); Ogaan) | Independent/emerging tier — fame not a factor</t>
        </is>
      </c>
      <c r="Z140" s="2" t="inlineStr">
        <is>
          <t>Lead with the label's craft and name. Ask how made-to-order/bridal enquiries reach them today. Position Uepaki as an additional professional channel, not a replacement for stockists.</t>
        </is>
      </c>
      <c r="AA140" s="2" t="inlineStr">
        <is>
          <t>Already has own D2C store and established multi-designer stockists</t>
        </is>
      </c>
      <c r="AB140" s="2" t="inlineStr">
        <is>
          <t>Own D2C store/stockists already; "who else is on it?"; commission vs stockist margin</t>
        </is>
      </c>
      <c r="AC140" s="2" t="inlineStr">
        <is>
          <t>E05 channel/segment test (assign at wave start)</t>
        </is>
      </c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</row>
    <row r="141">
      <c r="A141" s="2" t="n">
        <v>140</v>
      </c>
      <c r="B141" s="2" t="inlineStr">
        <is>
          <t>Wave 2 — Category &amp; city expansion</t>
        </is>
      </c>
      <c r="C141" s="2" t="inlineStr">
        <is>
          <t>UPK2-FL-191</t>
        </is>
      </c>
      <c r="D141" s="2" t="inlineStr">
        <is>
          <t>Deep Thee</t>
        </is>
      </c>
      <c r="E141" s="2" t="inlineStr">
        <is>
          <t>Fashion &amp; Lifestyle</t>
        </is>
      </c>
      <c r="F141" s="2" t="inlineStr">
        <is>
          <t>FL-OCCASION-BRIDAL</t>
        </is>
      </c>
      <c r="G141" s="2" t="inlineStr">
        <is>
          <t>Wedding &amp; Occasion</t>
        </is>
      </c>
      <c r="H141" s="2" t="inlineStr">
        <is>
          <t>Occasion &amp; bridal wear (lehengas, sarees, festive sets)</t>
        </is>
      </c>
      <c r="I141" s="2" t="inlineStr">
        <is>
          <t>Hyderabad</t>
        </is>
      </c>
      <c r="J141" s="2" t="inlineStr">
        <is>
          <t>B — Established Independent</t>
        </is>
      </c>
      <c r="K141" s="2" t="inlineStr">
        <is>
          <t>Label/brand (D2C store)</t>
        </is>
      </c>
      <c r="L141" s="2" t="inlineStr">
        <is>
          <t>P0</t>
        </is>
      </c>
      <c r="M141" s="2" t="inlineStr">
        <is>
          <t>P0</t>
        </is>
      </c>
      <c r="N141" s="2" t="n">
        <v>85</v>
      </c>
      <c r="O141" s="2" t="n">
        <v>98</v>
      </c>
      <c r="P141" s="2" t="n">
        <v>78</v>
      </c>
      <c r="Q141" s="2" t="n">
        <v>85</v>
      </c>
      <c r="R141" s="2" t="n">
        <v>50</v>
      </c>
      <c r="S141" s="2" t="inlineStr">
        <is>
          <t>C1-DIRECT-VERIFIED</t>
        </is>
      </c>
      <c r="T141" s="2" t="inlineStr">
        <is>
          <t>Personal 1:1 email from founder/team to published business email</t>
        </is>
      </c>
      <c r="U141" s="2" t="inlineStr">
        <is>
          <t>https://deepthee.in/pages/contact-us</t>
        </is>
      </c>
      <c r="V141" s="2" t="inlineStr">
        <is>
          <t>2026-07 — newest product published on own Shopify store (Tara Saree with Blouse) per products.json</t>
        </is>
      </c>
      <c r="W141" s="2" t="inlineStr">
        <is>
          <t>Own online store live with 250+ products listed; stocked by multi-designer retailer(s): Aza Fashions, Ogaan</t>
        </is>
      </c>
      <c r="X141" s="2" t="inlineStr">
        <is>
          <t>Aza Fashions (stocked designer (designer index)); Ogaan (stocked designer (designer index))</t>
        </is>
      </c>
      <c r="Y141" s="2" t="inlineStr">
        <is>
          <t>Readiness 85 (top 3% in category) | Commercial: Own online store live with 250+ products listed; stocked by multi-designer retailer(s): A… | Active: 2026-07 — newest product published on own Shopify store (Tara Saree w… | Marketplace-familiar: Aza Fashions); Ogaan) | Independent/emerging tier — fame not a factor</t>
        </is>
      </c>
      <c r="Z141" s="2" t="inlineStr">
        <is>
          <t>Lead with the label's craft and name. Ask how made-to-order/bridal enquiries reach them today. Position Uepaki as an additional professional channel, not a replacement for stockists.</t>
        </is>
      </c>
      <c r="AA141" s="2" t="inlineStr">
        <is>
          <t>Already has own D2C store and established multi-designer stockists</t>
        </is>
      </c>
      <c r="AB141" s="2" t="inlineStr">
        <is>
          <t>Own D2C store/stockists already; "who else is on it?"; commission vs stockist margin</t>
        </is>
      </c>
      <c r="AC141" s="2" t="inlineStr">
        <is>
          <t>E05 channel/segment test (assign at wave start)</t>
        </is>
      </c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</row>
    <row r="142">
      <c r="A142" s="2" t="n">
        <v>141</v>
      </c>
      <c r="B142" s="2" t="inlineStr">
        <is>
          <t>Wave 2 — Category &amp; city expansion</t>
        </is>
      </c>
      <c r="C142" s="2" t="inlineStr">
        <is>
          <t>UPK2-FL-194</t>
        </is>
      </c>
      <c r="D142" s="2" t="inlineStr">
        <is>
          <t>Pooja-Keyur</t>
        </is>
      </c>
      <c r="E142" s="2" t="inlineStr">
        <is>
          <t>Fashion &amp; Lifestyle</t>
        </is>
      </c>
      <c r="F142" s="2" t="inlineStr">
        <is>
          <t>FL-OCCASION-BRIDAL</t>
        </is>
      </c>
      <c r="G142" s="2" t="inlineStr">
        <is>
          <t>Wedding &amp; Occasion</t>
        </is>
      </c>
      <c r="H142" s="2" t="inlineStr">
        <is>
          <t>Occasion &amp; bridal wear (lehengas, sarees, festive sets)</t>
        </is>
      </c>
      <c r="I142" s="2" t="inlineStr">
        <is>
          <t>Ahmedabad</t>
        </is>
      </c>
      <c r="J142" s="2" t="inlineStr">
        <is>
          <t>B — Established Independent</t>
        </is>
      </c>
      <c r="K142" s="2" t="inlineStr">
        <is>
          <t>Label/brand (D2C store)</t>
        </is>
      </c>
      <c r="L142" s="2" t="inlineStr">
        <is>
          <t>P0</t>
        </is>
      </c>
      <c r="M142" s="2" t="inlineStr">
        <is>
          <t>P0</t>
        </is>
      </c>
      <c r="N142" s="2" t="n">
        <v>85</v>
      </c>
      <c r="O142" s="2" t="n">
        <v>98</v>
      </c>
      <c r="P142" s="2" t="n">
        <v>78</v>
      </c>
      <c r="Q142" s="2" t="n">
        <v>85</v>
      </c>
      <c r="R142" s="2" t="n">
        <v>50</v>
      </c>
      <c r="S142" s="2" t="inlineStr">
        <is>
          <t>C1-DIRECT-VERIFIED</t>
        </is>
      </c>
      <c r="T142" s="2" t="inlineStr">
        <is>
          <t>Personal 1:1 email from founder/team to published business email</t>
        </is>
      </c>
      <c r="U142" s="2" t="inlineStr">
        <is>
          <t>https://poojakeyur.in/pages/contact</t>
        </is>
      </c>
      <c r="V142" s="2" t="inlineStr">
        <is>
          <t>2026-09 — newest product published on own Shopify store (BABY PINK SAREE) per products.json</t>
        </is>
      </c>
      <c r="W142" s="2" t="inlineStr">
        <is>
          <t>Own online store live with 250+ products listed; stocked by multi-designer retailer(s): Aza Fashions, Ogaan</t>
        </is>
      </c>
      <c r="X142" s="2" t="inlineStr">
        <is>
          <t>Aza Fashions (stocked designer (designer index)); Ogaan (stocked designer (designer index))</t>
        </is>
      </c>
      <c r="Y142" s="2" t="inlineStr">
        <is>
          <t>Readiness 85 (top 3% in category) | Commercial: Own online store live with 250+ products listed; stocked by multi-designer retailer(s): A… | Active: 2026-09 — newest product published on own Shopify store (BABY PINK SA… | Marketplace-familiar: Aza Fashions); Ogaan) | Independent/emerging tier — fame not a factor</t>
        </is>
      </c>
      <c r="Z142" s="2" t="inlineStr">
        <is>
          <t>Lead with the label's craft and name. Ask how made-to-order/bridal enquiries reach them today. Position Uepaki as an additional professional channel, not a replacement for stockists.</t>
        </is>
      </c>
      <c r="AA142" s="2" t="inlineStr">
        <is>
          <t>Already has own D2C store and established multi-designer stockists</t>
        </is>
      </c>
      <c r="AB142" s="2" t="inlineStr">
        <is>
          <t>Own D2C store/stockists already; "who else is on it?"; commission vs stockist margin</t>
        </is>
      </c>
      <c r="AC142" s="2" t="inlineStr">
        <is>
          <t>E05 channel/segment test (assign at wave start)</t>
        </is>
      </c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</row>
    <row r="143">
      <c r="A143" s="2" t="n">
        <v>142</v>
      </c>
      <c r="B143" s="2" t="inlineStr">
        <is>
          <t>Wave 2 — Category &amp; city expansion</t>
        </is>
      </c>
      <c r="C143" s="2" t="inlineStr">
        <is>
          <t>UPK2-FL-184</t>
        </is>
      </c>
      <c r="D143" s="2" t="inlineStr">
        <is>
          <t>Mahima Mahajan</t>
        </is>
      </c>
      <c r="E143" s="2" t="inlineStr">
        <is>
          <t>Fashion &amp; Lifestyle</t>
        </is>
      </c>
      <c r="F143" s="2" t="inlineStr">
        <is>
          <t>FL-OCCASION-BRIDAL</t>
        </is>
      </c>
      <c r="G143" s="2" t="inlineStr">
        <is>
          <t>Wedding &amp; Occasion</t>
        </is>
      </c>
      <c r="H143" s="2" t="inlineStr">
        <is>
          <t>Occasion &amp; bridal wear (lehengas, sarees, festive sets)</t>
        </is>
      </c>
      <c r="I143" s="2" t="inlineStr">
        <is>
          <t>Delhi NCR</t>
        </is>
      </c>
      <c r="J143" s="2" t="inlineStr">
        <is>
          <t>B — Established Independent</t>
        </is>
      </c>
      <c r="K143" s="2" t="inlineStr">
        <is>
          <t>Label/brand (D2C store)</t>
        </is>
      </c>
      <c r="L143" s="2" t="inlineStr">
        <is>
          <t>P0</t>
        </is>
      </c>
      <c r="M143" s="2" t="inlineStr">
        <is>
          <t>P0</t>
        </is>
      </c>
      <c r="N143" s="2" t="n">
        <v>85</v>
      </c>
      <c r="O143" s="2" t="n">
        <v>98</v>
      </c>
      <c r="P143" s="2" t="n">
        <v>78</v>
      </c>
      <c r="Q143" s="2" t="n">
        <v>85</v>
      </c>
      <c r="R143" s="2" t="n">
        <v>50</v>
      </c>
      <c r="S143" s="2" t="inlineStr">
        <is>
          <t>C1-DIRECT-VERIFIED</t>
        </is>
      </c>
      <c r="T143" s="2" t="inlineStr">
        <is>
          <t>Personal 1:1 email from founder/team to published business email</t>
        </is>
      </c>
      <c r="U143" s="2" t="inlineStr">
        <is>
          <t>https://www.mahimamahajan.in/pages/contact-us</t>
        </is>
      </c>
      <c r="V143" s="2" t="inlineStr">
        <is>
          <t>2026-10 — newest product published on own Shopify store (Habiba) per products.json</t>
        </is>
      </c>
      <c r="W143" s="2" t="inlineStr">
        <is>
          <t>Own online store live with 250+ products listed; stocked by multi-designer retailer(s): Aza Fashions, Ogaan</t>
        </is>
      </c>
      <c r="X143" s="2" t="inlineStr">
        <is>
          <t>Aza Fashions (stocked designer (designer index)); Ogaan (stocked designer (designer index))</t>
        </is>
      </c>
      <c r="Y143" s="2" t="inlineStr">
        <is>
          <t>Readiness 85 (top 3% in category) | Commercial: Own online store live with 250+ products listed; stocked by multi-designer retailer(s): A… | Active: 2026-10 — newest product published on own Shopify store (Habiba) per… | Marketplace-familiar: Aza Fashions); Ogaan) | Independent/emerging tier — fame not a factor</t>
        </is>
      </c>
      <c r="Z143" s="2" t="inlineStr">
        <is>
          <t>Lead with the label's craft and name. Ask how made-to-order/bridal enquiries reach them today. Position Uepaki as an additional professional channel, not a replacement for stockists.</t>
        </is>
      </c>
      <c r="AA143" s="2" t="inlineStr">
        <is>
          <t>Already has own D2C store and established multi-designer stockists</t>
        </is>
      </c>
      <c r="AB143" s="2" t="inlineStr">
        <is>
          <t>Own D2C store/stockists already; "who else is on it?"; commission vs stockist margin</t>
        </is>
      </c>
      <c r="AC143" s="2" t="inlineStr">
        <is>
          <t>E05 channel/segment test (assign at wave start)</t>
        </is>
      </c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</row>
    <row r="144">
      <c r="A144" s="2" t="n">
        <v>143</v>
      </c>
      <c r="B144" s="2" t="inlineStr">
        <is>
          <t>Wave 2 — Category &amp; city expansion</t>
        </is>
      </c>
      <c r="C144" s="2" t="inlineStr">
        <is>
          <t>UPK2-FL-178</t>
        </is>
      </c>
      <c r="D144" s="2" t="inlineStr">
        <is>
          <t>House Of Tuhina</t>
        </is>
      </c>
      <c r="E144" s="2" t="inlineStr">
        <is>
          <t>Fashion &amp; Lifestyle</t>
        </is>
      </c>
      <c r="F144" s="2" t="inlineStr">
        <is>
          <t>FL-JEWELLERY</t>
        </is>
      </c>
      <c r="G144" s="2" t="inlineStr">
        <is>
          <t>Wedding &amp; Occasion</t>
        </is>
      </c>
      <c r="H144" s="2" t="inlineStr">
        <is>
          <t>Designer jewellery</t>
        </is>
      </c>
      <c r="I144" s="2" t="inlineStr">
        <is>
          <t>Delhi NCR</t>
        </is>
      </c>
      <c r="J144" s="2" t="inlineStr">
        <is>
          <t>B — Established Independent</t>
        </is>
      </c>
      <c r="K144" s="2" t="inlineStr">
        <is>
          <t>Label/brand (D2C store)</t>
        </is>
      </c>
      <c r="L144" s="2" t="inlineStr">
        <is>
          <t>P0</t>
        </is>
      </c>
      <c r="M144" s="2" t="inlineStr">
        <is>
          <t>P0</t>
        </is>
      </c>
      <c r="N144" s="2" t="n">
        <v>85</v>
      </c>
      <c r="O144" s="2" t="n">
        <v>98</v>
      </c>
      <c r="P144" s="2" t="n">
        <v>78</v>
      </c>
      <c r="Q144" s="2" t="n">
        <v>85</v>
      </c>
      <c r="R144" s="2" t="n">
        <v>50</v>
      </c>
      <c r="S144" s="2" t="inlineStr">
        <is>
          <t>C1-DIRECT-VERIFIED</t>
        </is>
      </c>
      <c r="T144" s="2" t="inlineStr">
        <is>
          <t>Personal 1:1 email from founder/team to published business email</t>
        </is>
      </c>
      <c r="U144" s="2" t="inlineStr">
        <is>
          <t>https://houseoftuhina.com/pages/contact</t>
        </is>
      </c>
      <c r="V144" s="2" t="inlineStr">
        <is>
          <t>2026-10 — newest product published on own Shopify store (Look 14) per products.json</t>
        </is>
      </c>
      <c r="W144" s="2" t="inlineStr">
        <is>
          <t>Own online store live with 250+ products listed; stocked by multi-designer retailer(s): Aza Fashions, Ogaan</t>
        </is>
      </c>
      <c r="X144" s="2" t="inlineStr">
        <is>
          <t>Aza Fashions (stocked designer (designer index); about-designer profile: founded 2012 | Noida); Ogaan (stocked designer…</t>
        </is>
      </c>
      <c r="Y144" s="2" t="inlineStr">
        <is>
          <t>Readiness 85 (top 3% in category) | Commercial: Own online store live with 250+ products listed; stocked by multi-designer retailer(s): A… | Active: 2026-10 — newest product published on own Shopify store (Look 14) per… | Marketplace-familiar: Aza Fashions; about-designer profile: founded 2012 | Noida)… | Independent/emerging tier — fame not a factor</t>
        </is>
      </c>
      <c r="Z144" s="2" t="inlineStr">
        <is>
          <t>Lead with a specific collection. Position as an additional channel under the label's own name. No sales promises.</t>
        </is>
      </c>
      <c r="AA144" s="2" t="inlineStr">
        <is>
          <t>Already has own D2C store and established multi-designer stockists</t>
        </is>
      </c>
      <c r="AB144" s="2" t="inlineStr">
        <is>
          <t>Own D2C store/stockists already; "who else is on it?"; commission vs stockist margin</t>
        </is>
      </c>
      <c r="AC144" s="2" t="inlineStr">
        <is>
          <t>E05 channel/segment test (assign at wave start)</t>
        </is>
      </c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</row>
    <row r="145">
      <c r="A145" s="2" t="n">
        <v>144</v>
      </c>
      <c r="B145" s="2" t="inlineStr">
        <is>
          <t>Wave 2 — Category &amp; city expansion</t>
        </is>
      </c>
      <c r="C145" s="2" t="inlineStr">
        <is>
          <t>UPK2-FL-195</t>
        </is>
      </c>
      <c r="D145" s="2" t="inlineStr">
        <is>
          <t>Preevin</t>
        </is>
      </c>
      <c r="E145" s="2" t="inlineStr">
        <is>
          <t>Fashion &amp; Lifestyle</t>
        </is>
      </c>
      <c r="F145" s="2" t="inlineStr">
        <is>
          <t>FL-OCCASION-BRIDAL</t>
        </is>
      </c>
      <c r="G145" s="2" t="inlineStr">
        <is>
          <t>Wedding &amp; Occasion</t>
        </is>
      </c>
      <c r="H145" s="2" t="inlineStr">
        <is>
          <t>Occasion &amp; bridal wear (lehengas, sarees, festive sets)</t>
        </is>
      </c>
      <c r="I145" s="2" t="inlineStr">
        <is>
          <t>Delhi NCR</t>
        </is>
      </c>
      <c r="J145" s="2" t="inlineStr">
        <is>
          <t>B — Established Independent</t>
        </is>
      </c>
      <c r="K145" s="2" t="inlineStr">
        <is>
          <t>Label/brand (D2C store)</t>
        </is>
      </c>
      <c r="L145" s="2" t="inlineStr">
        <is>
          <t>P0</t>
        </is>
      </c>
      <c r="M145" s="2" t="inlineStr">
        <is>
          <t>P0</t>
        </is>
      </c>
      <c r="N145" s="2" t="n">
        <v>85</v>
      </c>
      <c r="O145" s="2" t="n">
        <v>98</v>
      </c>
      <c r="P145" s="2" t="n">
        <v>77.7</v>
      </c>
      <c r="Q145" s="2" t="n">
        <v>84</v>
      </c>
      <c r="R145" s="2" t="n">
        <v>50</v>
      </c>
      <c r="S145" s="2" t="inlineStr">
        <is>
          <t>C1-DIRECT-VERIFIED</t>
        </is>
      </c>
      <c r="T145" s="2" t="inlineStr">
        <is>
          <t>Personal 1:1 email from founder/team to published business email</t>
        </is>
      </c>
      <c r="U145" s="2" t="inlineStr">
        <is>
          <t>https://www.preevin.com/pages/contact</t>
        </is>
      </c>
      <c r="V145" s="2" t="inlineStr">
        <is>
          <t>2026-07 — newest product published on own Shopify store (Vintage blush Straight Sharara) per products.json</t>
        </is>
      </c>
      <c r="W145" s="2" t="inlineStr">
        <is>
          <t>Own online store live with 250+ products listed; stocked by multi-designer retailer(s): Aza Fashions, Ogaan</t>
        </is>
      </c>
      <c r="X145" s="2" t="inlineStr">
        <is>
          <t>Aza Fashions (stocked designer (designer index)); Ogaan (stocked designer (designer index))</t>
        </is>
      </c>
      <c r="Y145" s="2" t="inlineStr">
        <is>
          <t>Readiness 85 (top 3% in category) | Commercial: Own online store live with 250+ products listed; stocked by multi-designer retailer(s): A… | Active: 2026-07 — newest product published on own Shopify store (Vintage blus… | Marketplace-familiar: Aza Fashions); Ogaan) | Independent/emerging tier — fame not a factor</t>
        </is>
      </c>
      <c r="Z145" s="2" t="inlineStr">
        <is>
          <t>Lead with the label's craft and name. Ask how made-to-order/bridal enquiries reach them today. Position Uepaki as an additional professional channel, not a replacement for stockists.</t>
        </is>
      </c>
      <c r="AA145" s="2" t="inlineStr">
        <is>
          <t>Already has own D2C store and established multi-designer stockists</t>
        </is>
      </c>
      <c r="AB145" s="2" t="inlineStr">
        <is>
          <t>Own D2C store/stockists already; "who else is on it?"; commission vs stockist margin</t>
        </is>
      </c>
      <c r="AC145" s="2" t="inlineStr">
        <is>
          <t>E05 channel/segment test (assign at wave start)</t>
        </is>
      </c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</row>
    <row r="146">
      <c r="A146" s="2" t="n">
        <v>145</v>
      </c>
      <c r="B146" s="2" t="inlineStr">
        <is>
          <t>Wave 2 — Category &amp; city expansion</t>
        </is>
      </c>
      <c r="C146" s="2" t="inlineStr">
        <is>
          <t>UPK2-FL-172</t>
        </is>
      </c>
      <c r="D146" s="2" t="inlineStr">
        <is>
          <t>Corpora Studio</t>
        </is>
      </c>
      <c r="E146" s="2" t="inlineStr">
        <is>
          <t>Fashion &amp; Lifestyle</t>
        </is>
      </c>
      <c r="F146" s="2" t="inlineStr">
        <is>
          <t>FL-CONTEMPORARY</t>
        </is>
      </c>
      <c r="G146" s="2" t="inlineStr">
        <is>
          <t>Brand &amp; Everyday Style</t>
        </is>
      </c>
      <c r="H146" s="2" t="inlineStr">
        <is>
          <t>Contemporary ready-to-wear / festive pret</t>
        </is>
      </c>
      <c r="I146" s="2" t="inlineStr">
        <is>
          <t>Delhi NCR</t>
        </is>
      </c>
      <c r="J146" s="2" t="inlineStr">
        <is>
          <t>A — Emerging / High-potential</t>
        </is>
      </c>
      <c r="K146" s="2" t="inlineStr">
        <is>
          <t>Label/brand (D2C store)</t>
        </is>
      </c>
      <c r="L146" s="2" t="inlineStr">
        <is>
          <t>P0</t>
        </is>
      </c>
      <c r="M146" s="2" t="inlineStr">
        <is>
          <t>P0</t>
        </is>
      </c>
      <c r="N146" s="2" t="n">
        <v>86</v>
      </c>
      <c r="O146" s="2" t="n">
        <v>99</v>
      </c>
      <c r="P146" s="2" t="n">
        <v>76.3</v>
      </c>
      <c r="Q146" s="2" t="n">
        <v>81</v>
      </c>
      <c r="R146" s="2" t="n">
        <v>45</v>
      </c>
      <c r="S146" s="2" t="inlineStr">
        <is>
          <t>C1-DIRECT-VERIFIED</t>
        </is>
      </c>
      <c r="T146" s="2" t="inlineStr">
        <is>
          <t>Personal 1:1 email from founder/team to published business email</t>
        </is>
      </c>
      <c r="U146" s="2" t="inlineStr">
        <is>
          <t>https://corporastudio.in/pages/contact</t>
        </is>
      </c>
      <c r="V146" s="2" t="inlineStr">
        <is>
          <t>2026-07 — newest product published on own Shopify store (Black Cloud Dress) per products.json</t>
        </is>
      </c>
      <c r="W146" s="2" t="inlineStr">
        <is>
          <t>Own online store live with 110 products listed; stocked by multi-designer retailer(s): Aza Fashions, Ogaan</t>
        </is>
      </c>
      <c r="X146" s="2" t="inlineStr">
        <is>
          <t>Aza Fashions (stocked designer (designer index)); Ogaan (stocked designer (designer index))</t>
        </is>
      </c>
      <c r="Y146" s="2" t="inlineStr">
        <is>
          <t>Readiness 86 (top 2% in category) | Commercial: Own online store live with 110 products listed; stocked by multi-designer retailer(s): Az… | Active: 2026-07 — newest product published on own Shopify store (Black Cloud… | Marketplace-familiar: Aza Fashions); Ogaan) | Independent/emerging tier — fame not a factor</t>
        </is>
      </c>
      <c r="Z146" s="2" t="inlineStr">
        <is>
          <t>Lead with the label's own range and identity. Position as an additional channel next to own store and stockists. No sales or reach promises.</t>
        </is>
      </c>
      <c r="AA146" s="2" t="inlineStr">
        <is>
          <t>Already has own D2C store and established multi-designer stockists</t>
        </is>
      </c>
      <c r="AB146" s="2" t="inlineStr">
        <is>
          <t>Own D2C store/stockists already; "who else is on it?"; commission vs stockist margin</t>
        </is>
      </c>
      <c r="AC146" s="2" t="inlineStr">
        <is>
          <t>E05 channel/segment test (assign at wave start)</t>
        </is>
      </c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</row>
    <row r="147">
      <c r="A147" s="2" t="n">
        <v>146</v>
      </c>
      <c r="B147" s="2" t="inlineStr">
        <is>
          <t>Wave 2 — Category &amp; city expansion</t>
        </is>
      </c>
      <c r="C147" s="2" t="inlineStr">
        <is>
          <t>UPK2-FL-189</t>
        </is>
      </c>
      <c r="D147" s="2" t="inlineStr">
        <is>
          <t>Istya</t>
        </is>
      </c>
      <c r="E147" s="2" t="inlineStr">
        <is>
          <t>Fashion &amp; Lifestyle</t>
        </is>
      </c>
      <c r="F147" s="2" t="inlineStr">
        <is>
          <t>FL-OCCASION-BRIDAL</t>
        </is>
      </c>
      <c r="G147" s="2" t="inlineStr">
        <is>
          <t>Wedding &amp; Occasion</t>
        </is>
      </c>
      <c r="H147" s="2" t="inlineStr">
        <is>
          <t>Occasion &amp; bridal wear (lehengas, sarees, festive sets)</t>
        </is>
      </c>
      <c r="I147" s="2" t="inlineStr">
        <is>
          <t>Kolkata</t>
        </is>
      </c>
      <c r="J147" s="2" t="inlineStr">
        <is>
          <t>A — Emerging / High-potential</t>
        </is>
      </c>
      <c r="K147" s="2" t="inlineStr">
        <is>
          <t>Label/brand (D2C store)</t>
        </is>
      </c>
      <c r="L147" s="2" t="inlineStr">
        <is>
          <t>P0</t>
        </is>
      </c>
      <c r="M147" s="2" t="inlineStr">
        <is>
          <t>P0</t>
        </is>
      </c>
      <c r="N147" s="2" t="n">
        <v>86</v>
      </c>
      <c r="O147" s="2" t="n">
        <v>99</v>
      </c>
      <c r="P147" s="2" t="n">
        <v>76.3</v>
      </c>
      <c r="Q147" s="2" t="n">
        <v>81</v>
      </c>
      <c r="R147" s="2" t="n">
        <v>45</v>
      </c>
      <c r="S147" s="2" t="inlineStr">
        <is>
          <t>C1-DIRECT-VERIFIED</t>
        </is>
      </c>
      <c r="T147" s="2" t="inlineStr">
        <is>
          <t>Personal 1:1 email from founder/team to published business email</t>
        </is>
      </c>
      <c r="U147" s="2" t="inlineStr">
        <is>
          <t>https://istya.co.in/pages/contact</t>
        </is>
      </c>
      <c r="V147" s="2" t="inlineStr">
        <is>
          <t>2026-08 — newest product published on own Shopify store (IVORY GEOMETRIC EMBROIDERED LEHENGA WITH DUPATTA) per products.json</t>
        </is>
      </c>
      <c r="W147" s="2" t="inlineStr">
        <is>
          <t>Own online store live with 174 products listed; stocked by multi-designer retailer(s): Aza Fashions, Ogaan</t>
        </is>
      </c>
      <c r="X147" s="2" t="inlineStr">
        <is>
          <t>Aza Fashions (stocked designer (designer index); about-designer profile: founded 2023 | Kolkata); Ogaan (stocked design…</t>
        </is>
      </c>
      <c r="Y147" s="2" t="inlineStr">
        <is>
          <t>Readiness 86 (top 2% in category) | Commercial: Own online store live with 174 products listed; stocked by multi-designer retailer(s): Az… | Active: 2026-08 — newest product published on own Shopify store (IVORY GEOMET… | Marketplace-familiar: Aza Fashions; about-designer profile: founded 2023 | Kolkat… | Independent/emerging tier — fame not a factor</t>
        </is>
      </c>
      <c r="Z147" s="2" t="inlineStr">
        <is>
          <t>Lead with the label's craft and name. Ask how made-to-order/bridal enquiries reach them today. Position Uepaki as an additional professional channel, not a replacement for stockists.</t>
        </is>
      </c>
      <c r="AA147" s="2" t="inlineStr">
        <is>
          <t>Already has own D2C store and established multi-designer stockists</t>
        </is>
      </c>
      <c r="AB147" s="2" t="inlineStr">
        <is>
          <t>Own D2C store/stockists already; "who else is on it?"; commission vs stockist margin</t>
        </is>
      </c>
      <c r="AC147" s="2" t="inlineStr">
        <is>
          <t>E05 channel/segment test (assign at wave start)</t>
        </is>
      </c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</row>
    <row r="148">
      <c r="A148" s="2" t="n">
        <v>147</v>
      </c>
      <c r="B148" s="2" t="inlineStr">
        <is>
          <t>Wave 2 — Category &amp; city expansion</t>
        </is>
      </c>
      <c r="C148" s="2" t="inlineStr">
        <is>
          <t>UPK2-FL-171</t>
        </is>
      </c>
      <c r="D148" s="2" t="inlineStr">
        <is>
          <t>Aseem Kapoor</t>
        </is>
      </c>
      <c r="E148" s="2" t="inlineStr">
        <is>
          <t>Fashion &amp; Lifestyle</t>
        </is>
      </c>
      <c r="F148" s="2" t="inlineStr">
        <is>
          <t>FL-OCCASION-BRIDAL</t>
        </is>
      </c>
      <c r="G148" s="2" t="inlineStr">
        <is>
          <t>Wedding &amp; Occasion</t>
        </is>
      </c>
      <c r="H148" s="2" t="inlineStr">
        <is>
          <t>Occasion &amp; bridal wear (lehengas, sarees, festive sets)</t>
        </is>
      </c>
      <c r="I148" s="2" t="inlineStr">
        <is>
          <t>Delhi NCR</t>
        </is>
      </c>
      <c r="J148" s="2" t="inlineStr">
        <is>
          <t>A — Emerging / High-potential</t>
        </is>
      </c>
      <c r="K148" s="2" t="inlineStr">
        <is>
          <t>Label/brand (D2C store)</t>
        </is>
      </c>
      <c r="L148" s="2" t="inlineStr">
        <is>
          <t>P0</t>
        </is>
      </c>
      <c r="M148" s="2" t="inlineStr">
        <is>
          <t>P0</t>
        </is>
      </c>
      <c r="N148" s="2" t="n">
        <v>86</v>
      </c>
      <c r="O148" s="2" t="n">
        <v>99</v>
      </c>
      <c r="P148" s="2" t="n">
        <v>76.3</v>
      </c>
      <c r="Q148" s="2" t="n">
        <v>81</v>
      </c>
      <c r="R148" s="2" t="n">
        <v>45</v>
      </c>
      <c r="S148" s="2" t="inlineStr">
        <is>
          <t>C1-DIRECT-VERIFIED</t>
        </is>
      </c>
      <c r="T148" s="2" t="inlineStr">
        <is>
          <t>Personal 1:1 email from founder/team to published business email</t>
        </is>
      </c>
      <c r="U148" s="2" t="inlineStr">
        <is>
          <t>https://aseemkapoor.com/pages/contact</t>
        </is>
      </c>
      <c r="V148" s="2" t="inlineStr">
        <is>
          <t>2026-08 — newest product published on own Shopify store (MANDALA SHIRT SET) per products.json</t>
        </is>
      </c>
      <c r="W148" s="2" t="inlineStr">
        <is>
          <t>Own online store live with 250+ products listed; stocked by multi-designer retailer(s): Aza Fashions, Ogaan</t>
        </is>
      </c>
      <c r="X148" s="2" t="inlineStr">
        <is>
          <t>Aza Fashions (stocked designer (designer index)); Ogaan (stocked designer (designer index))</t>
        </is>
      </c>
      <c r="Y148" s="2" t="inlineStr">
        <is>
          <t>Readiness 86 (top 2% in category) | Commercial: Own online store live with 250+ products listed; stocked by multi-designer retailer(s): A… | Active: 2026-08 — newest product published on own Shopify store (MANDALA SHIR… | Marketplace-familiar: Aza Fashions); Ogaan) | Independent/emerging tier — fame not a factor</t>
        </is>
      </c>
      <c r="Z148" s="2" t="inlineStr">
        <is>
          <t>Lead with the label's craft and name. Ask how made-to-order/bridal enquiries reach them today. Position Uepaki as an additional professional channel, not a replacement for stockists.</t>
        </is>
      </c>
      <c r="AA148" s="2" t="inlineStr">
        <is>
          <t>Already has own D2C store and established multi-designer stockists</t>
        </is>
      </c>
      <c r="AB148" s="2" t="inlineStr">
        <is>
          <t>Own D2C store/stockists already; "who else is on it?"; commission vs stockist margin</t>
        </is>
      </c>
      <c r="AC148" s="2" t="inlineStr">
        <is>
          <t>E05 channel/segment test (assign at wave start)</t>
        </is>
      </c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</row>
    <row r="149">
      <c r="A149" s="2" t="n">
        <v>148</v>
      </c>
      <c r="B149" s="2" t="inlineStr">
        <is>
          <t>Wave 2 — Category &amp; city expansion</t>
        </is>
      </c>
      <c r="C149" s="2" t="inlineStr">
        <is>
          <t>UPK2-FL-314</t>
        </is>
      </c>
      <c r="D149" s="2" t="inlineStr">
        <is>
          <t>Esha Arora</t>
        </is>
      </c>
      <c r="E149" s="2" t="inlineStr">
        <is>
          <t>Fashion &amp; Lifestyle</t>
        </is>
      </c>
      <c r="F149" s="2" t="inlineStr">
        <is>
          <t>FL-OCCASION-BRIDAL</t>
        </is>
      </c>
      <c r="G149" s="2" t="inlineStr">
        <is>
          <t>Wedding &amp; Occasion</t>
        </is>
      </c>
      <c r="H149" s="2" t="inlineStr">
        <is>
          <t>Occasion &amp; bridal wear (lehengas, sarees, festive sets)</t>
        </is>
      </c>
      <c r="I149" s="2" t="inlineStr">
        <is>
          <t>Delhi NCR</t>
        </is>
      </c>
      <c r="J149" s="2" t="inlineStr">
        <is>
          <t>B — Established Independent</t>
        </is>
      </c>
      <c r="K149" s="2" t="inlineStr">
        <is>
          <t>Label/brand (D2C store)</t>
        </is>
      </c>
      <c r="L149" s="2" t="inlineStr">
        <is>
          <t>P0</t>
        </is>
      </c>
      <c r="M149" s="2" t="inlineStr">
        <is>
          <t>P0</t>
        </is>
      </c>
      <c r="N149" s="2" t="n">
        <v>84</v>
      </c>
      <c r="O149" s="2" t="n">
        <v>96</v>
      </c>
      <c r="P149" s="2" t="n">
        <v>76.3</v>
      </c>
      <c r="Q149" s="2" t="n">
        <v>81</v>
      </c>
      <c r="R149" s="2" t="n">
        <v>50</v>
      </c>
      <c r="S149" s="2" t="inlineStr">
        <is>
          <t>C1-DIRECT-VERIFIED</t>
        </is>
      </c>
      <c r="T149" s="2" t="inlineStr">
        <is>
          <t>1:1 message via own-website contact form</t>
        </is>
      </c>
      <c r="U149" s="2" t="inlineStr">
        <is>
          <t>https://www.eshaarora.in/pages/contact-us</t>
        </is>
      </c>
      <c r="V149" s="2" t="inlineStr">
        <is>
          <t>2026-08 — newest product published on own Shopify store (Rhodora Skirt Set) per products.json</t>
        </is>
      </c>
      <c r="W149" s="2" t="inlineStr">
        <is>
          <t>Own online store live with 250+ products listed; stocked by multi-designer retailer(s): Aza Fashions, Ogaan</t>
        </is>
      </c>
      <c r="X149" s="2" t="inlineStr">
        <is>
          <t>Aza Fashions (stocked designer (designer index)); Ogaan (stocked designer (designer index))</t>
        </is>
      </c>
      <c r="Y149" s="2" t="inlineStr">
        <is>
          <t>Readiness 84 (top 5% in category) | Commercial: Own online store live with 250+ products listed; stocked by multi-designer retailer(s): A… | Active: 2026-08 — newest product published on own Shopify store (Rhodora Skir… | Marketplace-familiar: Aza Fashions); Ogaan) | Independent/emerging tier — fame not a factor</t>
        </is>
      </c>
      <c r="Z149" s="2" t="inlineStr">
        <is>
          <t>Lead with the label's craft and name. Ask how made-to-order/bridal enquiries reach them today. Position Uepaki as an additional professional channel, not a replacement for stockists.</t>
        </is>
      </c>
      <c r="AA149" s="2" t="inlineStr">
        <is>
          <t>Already has own D2C store and established multi-designer stockists</t>
        </is>
      </c>
      <c r="AB149" s="2" t="inlineStr">
        <is>
          <t>Own D2C store/stockists already; "who else is on it?"; commission vs stockist margin</t>
        </is>
      </c>
      <c r="AC149" s="2" t="inlineStr">
        <is>
          <t>E05 channel/segment test (assign at wave start)</t>
        </is>
      </c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</row>
    <row r="150">
      <c r="A150" s="2" t="n">
        <v>149</v>
      </c>
      <c r="B150" s="2" t="inlineStr">
        <is>
          <t>Wave 2 — Category &amp; city expansion</t>
        </is>
      </c>
      <c r="C150" s="2" t="inlineStr">
        <is>
          <t>UPK2-FL-196</t>
        </is>
      </c>
      <c r="D150" s="2" t="inlineStr">
        <is>
          <t>Rajiramniq</t>
        </is>
      </c>
      <c r="E150" s="2" t="inlineStr">
        <is>
          <t>Fashion &amp; Lifestyle</t>
        </is>
      </c>
      <c r="F150" s="2" t="inlineStr">
        <is>
          <t>FL-OCCASION-BRIDAL</t>
        </is>
      </c>
      <c r="G150" s="2" t="inlineStr">
        <is>
          <t>Wedding &amp; Occasion</t>
        </is>
      </c>
      <c r="H150" s="2" t="inlineStr">
        <is>
          <t>Occasion &amp; bridal wear (lehengas, sarees, festive sets)</t>
        </is>
      </c>
      <c r="I150" s="2" t="inlineStr">
        <is>
          <t>Delhi NCR</t>
        </is>
      </c>
      <c r="J150" s="2" t="inlineStr">
        <is>
          <t>B — Established Independent</t>
        </is>
      </c>
      <c r="K150" s="2" t="inlineStr">
        <is>
          <t>Label/brand (D2C store)</t>
        </is>
      </c>
      <c r="L150" s="2" t="inlineStr">
        <is>
          <t>P0</t>
        </is>
      </c>
      <c r="M150" s="2" t="inlineStr">
        <is>
          <t>P0</t>
        </is>
      </c>
      <c r="N150" s="2" t="n">
        <v>81</v>
      </c>
      <c r="O150" s="2" t="n">
        <v>85</v>
      </c>
      <c r="P150" s="2" t="n">
        <v>75.09999999999999</v>
      </c>
      <c r="Q150" s="2" t="n">
        <v>82</v>
      </c>
      <c r="R150" s="2" t="n">
        <v>50</v>
      </c>
      <c r="S150" s="2" t="inlineStr">
        <is>
          <t>C3-PRO-SOCIAL</t>
        </is>
      </c>
      <c r="T150" s="2" t="inlineStr">
        <is>
          <t>1:1 Instagram DM from Uepaki professional account</t>
        </is>
      </c>
      <c r="U150" s="2" t="inlineStr">
        <is>
          <t>https://rajiramniq.com/</t>
        </is>
      </c>
      <c r="V150" s="2" t="inlineStr">
        <is>
          <t>2026-09 — newest product published on own Shopify store (Mastani Pink- Green Stripes Yoke Kaftan Dress) per products.json</t>
        </is>
      </c>
      <c r="W150" s="2" t="inlineStr">
        <is>
          <t>Own online store live with 250+ products listed; stocked by multi-designer retailer(s): Aza Fashions, Ogaan</t>
        </is>
      </c>
      <c r="X150" s="2" t="inlineStr">
        <is>
          <t>Aza Fashions (stocked designer (designer index)); Ogaan (stocked designer (designer index))</t>
        </is>
      </c>
      <c r="Y150" s="2" t="inlineStr">
        <is>
          <t>Readiness 81 (top 16% in category) | Commercial: Own online store live with 250+ products listed; stocked by multi-designer retailer(s): A… | Active: 2026-09 — newest product published on own Shopify store (Mastani Pink… | Marketplace-familiar: Aza Fashions); Ogaan) | Independent/emerging tier — fame not a factor</t>
        </is>
      </c>
      <c r="Z150" s="2" t="inlineStr">
        <is>
          <t>Lead with the label's craft and name. Ask how made-to-order/bridal enquiries reach them today. Position Uepaki as an additional professional channel, not a replacement for stockists.</t>
        </is>
      </c>
      <c r="AA150" s="2" t="inlineStr">
        <is>
          <t>Already has own D2C store and established multi-designer stockists</t>
        </is>
      </c>
      <c r="AB150" s="2" t="inlineStr">
        <is>
          <t>Own D2C store/stockists already; "who else is on it?"; commission vs stockist margin</t>
        </is>
      </c>
      <c r="AC150" s="2" t="inlineStr">
        <is>
          <t>E05 channel/segment test (assign at wave start)</t>
        </is>
      </c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</row>
    <row r="151">
      <c r="A151" s="2" t="n">
        <v>150</v>
      </c>
      <c r="B151" s="2" t="inlineStr">
        <is>
          <t>Wave 2 — Category &amp; city expansion</t>
        </is>
      </c>
      <c r="C151" s="2" t="inlineStr">
        <is>
          <t>UPK2-FL-279</t>
        </is>
      </c>
      <c r="D151" s="2" t="inlineStr">
        <is>
          <t>The Saree Sneakers</t>
        </is>
      </c>
      <c r="E151" s="2" t="inlineStr">
        <is>
          <t>Fashion &amp; Lifestyle</t>
        </is>
      </c>
      <c r="F151" s="2" t="inlineStr">
        <is>
          <t>FL-CONTEMPORARY</t>
        </is>
      </c>
      <c r="G151" s="2" t="inlineStr">
        <is>
          <t>Brand &amp; Everyday Style</t>
        </is>
      </c>
      <c r="H151" s="2" t="inlineStr">
        <is>
          <t>Contemporary ready-to-wear / festive pret</t>
        </is>
      </c>
      <c r="I151" s="2" t="inlineStr">
        <is>
          <t>Kolkata</t>
        </is>
      </c>
      <c r="J151" s="2" t="inlineStr">
        <is>
          <t>B — Established Independent</t>
        </is>
      </c>
      <c r="K151" s="2" t="inlineStr">
        <is>
          <t>Label/brand (D2C store)</t>
        </is>
      </c>
      <c r="L151" s="2" t="inlineStr">
        <is>
          <t>P0</t>
        </is>
      </c>
      <c r="M151" s="2" t="inlineStr">
        <is>
          <t>P0</t>
        </is>
      </c>
      <c r="N151" s="2" t="n">
        <v>82.7</v>
      </c>
      <c r="O151" s="2" t="n">
        <v>96</v>
      </c>
      <c r="P151" s="2" t="n">
        <v>76</v>
      </c>
      <c r="Q151" s="2" t="n">
        <v>82</v>
      </c>
      <c r="R151" s="2" t="n">
        <v>50</v>
      </c>
      <c r="S151" s="2" t="inlineStr">
        <is>
          <t>C1-DIRECT-VERIFIED</t>
        </is>
      </c>
      <c r="T151" s="2" t="inlineStr">
        <is>
          <t>Personal 1:1 email from founder/team to published business email</t>
        </is>
      </c>
      <c r="U151" s="2" t="inlineStr">
        <is>
          <t>https://www.thesareesneakers.com/contactus</t>
        </is>
      </c>
      <c r="V151" s="2" t="inlineStr">
        <is>
          <t>2026-10 — currently listed in Aza Fashions/Ogaan designer index; own store live (HTTP 200)</t>
        </is>
      </c>
      <c r="W151" s="2" t="inlineStr">
        <is>
          <t>Own online store live; stocked by multi-designer retailer(s): Aza Fashions, Ogaan</t>
        </is>
      </c>
      <c r="X151" s="2" t="inlineStr">
        <is>
          <t>Aza Fashions (stocked designer (designer index)); Ogaan (stocked designer (designer index))</t>
        </is>
      </c>
      <c r="Y151" s="2" t="inlineStr">
        <is>
          <t>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  <c r="Z151" s="2" t="inlineStr">
        <is>
          <t>Lead with the label's own range and identity. Position as an additional channel next to own store and stockists. No sales or reach promises.</t>
        </is>
      </c>
      <c r="AA151" s="2" t="inlineStr">
        <is>
          <t>Already has own D2C store and established multi-designer stockists</t>
        </is>
      </c>
      <c r="AB151" s="2" t="inlineStr">
        <is>
          <t>Own D2C store/stockists already; "who else is on it?"; commission vs stockist margin</t>
        </is>
      </c>
      <c r="AC151" s="2" t="inlineStr">
        <is>
          <t>E05 channel/segment test (assign at wave start)</t>
        </is>
      </c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</row>
    <row r="152">
      <c r="A152" s="2" t="n">
        <v>151</v>
      </c>
      <c r="B152" s="2" t="inlineStr">
        <is>
          <t>Wave 2 — Category &amp; city expansion</t>
        </is>
      </c>
      <c r="C152" s="2" t="inlineStr">
        <is>
          <t>UPK2-FL-261</t>
        </is>
      </c>
      <c r="D152" s="2" t="inlineStr">
        <is>
          <t>Jodi</t>
        </is>
      </c>
      <c r="E152" s="2" t="inlineStr">
        <is>
          <t>Fashion &amp; Lifestyle</t>
        </is>
      </c>
      <c r="F152" s="2" t="inlineStr">
        <is>
          <t>FL-OCCASION-BRIDAL</t>
        </is>
      </c>
      <c r="G152" s="2" t="inlineStr">
        <is>
          <t>Wedding &amp; Occasion</t>
        </is>
      </c>
      <c r="H152" s="2" t="inlineStr">
        <is>
          <t>Occasion &amp; bridal wear (lehengas, sarees, festive sets)</t>
        </is>
      </c>
      <c r="I152" s="2" t="inlineStr">
        <is>
          <t>Bengaluru</t>
        </is>
      </c>
      <c r="J152" s="2" t="inlineStr">
        <is>
          <t>B — Established Independent</t>
        </is>
      </c>
      <c r="K152" s="2" t="inlineStr">
        <is>
          <t>Label/brand (D2C store)</t>
        </is>
      </c>
      <c r="L152" s="2" t="inlineStr">
        <is>
          <t>P0</t>
        </is>
      </c>
      <c r="M152" s="2" t="inlineStr">
        <is>
          <t>P0</t>
        </is>
      </c>
      <c r="N152" s="2" t="n">
        <v>82.7</v>
      </c>
      <c r="O152" s="2" t="n">
        <v>96</v>
      </c>
      <c r="P152" s="2" t="n">
        <v>76</v>
      </c>
      <c r="Q152" s="2" t="n">
        <v>82</v>
      </c>
      <c r="R152" s="2" t="n">
        <v>50</v>
      </c>
      <c r="S152" s="2" t="inlineStr">
        <is>
          <t>C1-DIRECT-VERIFIED</t>
        </is>
      </c>
      <c r="T152" s="2" t="inlineStr">
        <is>
          <t>Personal 1:1 email from founder/team to published business email</t>
        </is>
      </c>
      <c r="U152" s="2" t="inlineStr">
        <is>
          <t>https://jodistudio.com/contact</t>
        </is>
      </c>
      <c r="V152" s="2" t="inlineStr">
        <is>
          <t>2026-10 — currently listed in Aza Fashions/Ogaan designer index; own store live (HTTP 200)</t>
        </is>
      </c>
      <c r="W152" s="2" t="inlineStr">
        <is>
          <t>Own online store live; stocked by multi-designer retailer(s): Aza Fashions, Ogaan</t>
        </is>
      </c>
      <c r="X152" s="2" t="inlineStr">
        <is>
          <t>Aza Fashions (stocked designer (designer index)); Ogaan (stocked designer (designer index))</t>
        </is>
      </c>
      <c r="Y152" s="2" t="inlineStr">
        <is>
          <t>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  <c r="Z152" s="2" t="inlineStr">
        <is>
          <t>Lead with the label's craft and name. Ask how made-to-order/bridal enquiries reach them today. Position Uepaki as an additional professional channel, not a replacement for stockists.</t>
        </is>
      </c>
      <c r="AA152" s="2" t="inlineStr">
        <is>
          <t>Already has own D2C store and established multi-designer stockists</t>
        </is>
      </c>
      <c r="AB152" s="2" t="inlineStr">
        <is>
          <t>Own D2C store/stockists already; "who else is on it?"; commission vs stockist margin</t>
        </is>
      </c>
      <c r="AC152" s="2" t="inlineStr">
        <is>
          <t>E05 channel/segment test (assign at wave start)</t>
        </is>
      </c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</row>
    <row r="153">
      <c r="A153" s="2" t="n">
        <v>152</v>
      </c>
      <c r="B153" s="2" t="inlineStr">
        <is>
          <t>Wave 2 — Category &amp; city expansion</t>
        </is>
      </c>
      <c r="C153" s="2" t="inlineStr">
        <is>
          <t>UPK2-FL-267</t>
        </is>
      </c>
      <c r="D153" s="2" t="inlineStr">
        <is>
          <t>Amisha Kothari</t>
        </is>
      </c>
      <c r="E153" s="2" t="inlineStr">
        <is>
          <t>Fashion &amp; Lifestyle</t>
        </is>
      </c>
      <c r="F153" s="2" t="inlineStr">
        <is>
          <t>FL-CONTEMPORARY</t>
        </is>
      </c>
      <c r="G153" s="2" t="inlineStr">
        <is>
          <t>Brand &amp; Everyday Style</t>
        </is>
      </c>
      <c r="H153" s="2" t="inlineStr">
        <is>
          <t>Contemporary ready-to-wear / festive pret</t>
        </is>
      </c>
      <c r="I153" s="2" t="inlineStr">
        <is>
          <t>Mumbai</t>
        </is>
      </c>
      <c r="J153" s="2" t="inlineStr">
        <is>
          <t>B — Established Independent</t>
        </is>
      </c>
      <c r="K153" s="2" t="inlineStr">
        <is>
          <t>Label/brand (D2C store)</t>
        </is>
      </c>
      <c r="L153" s="2" t="inlineStr">
        <is>
          <t>P0</t>
        </is>
      </c>
      <c r="M153" s="2" t="inlineStr">
        <is>
          <t>P0</t>
        </is>
      </c>
      <c r="N153" s="2" t="n">
        <v>81.7</v>
      </c>
      <c r="O153" s="2" t="n">
        <v>95</v>
      </c>
      <c r="P153" s="2" t="n">
        <v>75.2</v>
      </c>
      <c r="Q153" s="2" t="n">
        <v>81</v>
      </c>
      <c r="R153" s="2" t="n">
        <v>50</v>
      </c>
      <c r="S153" s="2" t="inlineStr">
        <is>
          <t>C1-DIRECT-VERIFIED</t>
        </is>
      </c>
      <c r="T153" s="2" t="inlineStr">
        <is>
          <t>Personal 1:1 email from founder/team to published business email</t>
        </is>
      </c>
      <c r="U153" s="2" t="inlineStr">
        <is>
          <t>https://amishakotharilabel.com/contact/</t>
        </is>
      </c>
      <c r="V153" s="2" t="inlineStr">
        <is>
          <t>2026-10 — currently listed in Aza Fashions/Ogaan designer index; own store live (HTTP 200)</t>
        </is>
      </c>
      <c r="W153" s="2" t="inlineStr">
        <is>
          <t>Own online store live; stocked by multi-designer retailer(s): Aza Fashions, Ogaan</t>
        </is>
      </c>
      <c r="X153" s="2" t="inlineStr">
        <is>
          <t>Aza Fashions (stocked designer (designer index)); Ogaan (stocked designer (designer index))</t>
        </is>
      </c>
      <c r="Y153" s="2" t="inlineStr">
        <is>
          <t>Readiness 82 (top 6%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  <c r="Z153" s="2" t="inlineStr">
        <is>
          <t>Lead with the label's own range and identity. Position as an additional channel next to own store and stockists. No sales or reach promises.</t>
        </is>
      </c>
      <c r="AA153" s="2" t="inlineStr">
        <is>
          <t>Already has own D2C store and established multi-designer stockists</t>
        </is>
      </c>
      <c r="AB153" s="2" t="inlineStr">
        <is>
          <t>Own D2C store/stockists already; "who else is on it?"; commission vs stockist margin</t>
        </is>
      </c>
      <c r="AC153" s="2" t="inlineStr">
        <is>
          <t>E05 channel/segment test (assign at wave start)</t>
        </is>
      </c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</row>
    <row r="154">
      <c r="A154" s="2" t="n">
        <v>153</v>
      </c>
      <c r="B154" s="2" t="inlineStr">
        <is>
          <t>Wave 2 — Category &amp; city expansion</t>
        </is>
      </c>
      <c r="C154" s="2" t="inlineStr">
        <is>
          <t>UPK2-FL-214</t>
        </is>
      </c>
      <c r="D154" s="2" t="inlineStr">
        <is>
          <t>Ezra</t>
        </is>
      </c>
      <c r="E154" s="2" t="inlineStr">
        <is>
          <t>Fashion &amp; Lifestyle</t>
        </is>
      </c>
      <c r="F154" s="2" t="inlineStr">
        <is>
          <t>FL-CONTEMPORARY</t>
        </is>
      </c>
      <c r="G154" s="2" t="inlineStr">
        <is>
          <t>Brand &amp; Everyday Style</t>
        </is>
      </c>
      <c r="H154" s="2" t="inlineStr">
        <is>
          <t>Contemporary ready-to-wear / festive pret</t>
        </is>
      </c>
      <c r="I154" s="2" t="inlineStr">
        <is>
          <t>Mumbai</t>
        </is>
      </c>
      <c r="J154" s="2" t="inlineStr">
        <is>
          <t>B — Established Independent</t>
        </is>
      </c>
      <c r="K154" s="2" t="inlineStr">
        <is>
          <t>Label/brand (D2C store)</t>
        </is>
      </c>
      <c r="L154" s="2" t="inlineStr">
        <is>
          <t>P0</t>
        </is>
      </c>
      <c r="M154" s="2" t="inlineStr">
        <is>
          <t>P0</t>
        </is>
      </c>
      <c r="N154" s="2" t="n">
        <v>81.59999999999999</v>
      </c>
      <c r="O154" s="2" t="n">
        <v>90</v>
      </c>
      <c r="P154" s="2" t="n">
        <v>73.09999999999999</v>
      </c>
      <c r="Q154" s="2" t="n">
        <v>81</v>
      </c>
      <c r="R154" s="2" t="n">
        <v>40</v>
      </c>
      <c r="S154" s="2" t="inlineStr">
        <is>
          <t>C1-DIRECT-VERIFIED</t>
        </is>
      </c>
      <c r="T154" s="2" t="inlineStr">
        <is>
          <t>Personal 1:1 email from founder/team to published business email</t>
        </is>
      </c>
      <c r="U154" s="2" t="inlineStr">
        <is>
          <t>https://ezra.co.in/pages/contact</t>
        </is>
      </c>
      <c r="V154" s="2" t="inlineStr">
        <is>
          <t>2026-08 — newest product published on own Shopify store (Texas Jacket) per products.json</t>
        </is>
      </c>
      <c r="W154" s="2" t="inlineStr">
        <is>
          <t>Own online store live with 223 products listed; stocked by multi-designer retailer(s): Aza Fashions</t>
        </is>
      </c>
      <c r="X154" s="2" t="inlineStr">
        <is>
          <t>Aza Fashions (stocked designer (designer index))</t>
        </is>
      </c>
      <c r="Y154" s="2" t="inlineStr">
        <is>
          <t>Readiness 82 (top 11% in category) | Commercial: Own online store live with 223 products listed; stocked by multi-designer retailer(s): Az… | Active: 2026-08 — newest product published on own Shopify store (Texas Jacket… | Independent/emerging tier — fame not a factor</t>
        </is>
      </c>
      <c r="Z154" s="2" t="inlineStr">
        <is>
          <t>Lead with the label's own range and identity. Position as an additional channel next to own store and stockists. No sales or reach promises.</t>
        </is>
      </c>
      <c r="AA154" s="2" t="inlineStr">
        <is>
          <t>Already has own D2C store and established multi-designer stockists</t>
        </is>
      </c>
      <c r="AB154" s="2" t="inlineStr">
        <is>
          <t>Own D2C store/stockists already; "who else is on it?"; commission vs stockist margin</t>
        </is>
      </c>
      <c r="AC154" s="2" t="inlineStr">
        <is>
          <t>E05 channel/segment test (assign at wave start)</t>
        </is>
      </c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</row>
    <row r="155">
      <c r="A155" s="2" t="n">
        <v>154</v>
      </c>
      <c r="B155" s="2" t="inlineStr">
        <is>
          <t>Wave 2 — Category &amp; city expansion</t>
        </is>
      </c>
      <c r="C155" s="2" t="inlineStr">
        <is>
          <t>UPK2-FL-244</t>
        </is>
      </c>
      <c r="D155" s="2" t="inlineStr">
        <is>
          <t>Shahin Mannan</t>
        </is>
      </c>
      <c r="E155" s="2" t="inlineStr">
        <is>
          <t>Fashion &amp; Lifestyle</t>
        </is>
      </c>
      <c r="F155" s="2" t="inlineStr">
        <is>
          <t>FL-JEWELLERY</t>
        </is>
      </c>
      <c r="G155" s="2" t="inlineStr">
        <is>
          <t>Wedding &amp; Occasion</t>
        </is>
      </c>
      <c r="H155" s="2" t="inlineStr">
        <is>
          <t>Designer jewellery</t>
        </is>
      </c>
      <c r="I155" s="2" t="inlineStr">
        <is>
          <t>Delhi NCR</t>
        </is>
      </c>
      <c r="J155" s="2" t="inlineStr">
        <is>
          <t>B — Established Independent</t>
        </is>
      </c>
      <c r="K155" s="2" t="inlineStr">
        <is>
          <t>Label/brand (D2C store)</t>
        </is>
      </c>
      <c r="L155" s="2" t="inlineStr">
        <is>
          <t>P0</t>
        </is>
      </c>
      <c r="M155" s="2" t="inlineStr">
        <is>
          <t>P0</t>
        </is>
      </c>
      <c r="N155" s="2" t="n">
        <v>81.59999999999999</v>
      </c>
      <c r="O155" s="2" t="n">
        <v>90</v>
      </c>
      <c r="P155" s="2" t="n">
        <v>73.09999999999999</v>
      </c>
      <c r="Q155" s="2" t="n">
        <v>81</v>
      </c>
      <c r="R155" s="2" t="n">
        <v>40</v>
      </c>
      <c r="S155" s="2" t="inlineStr">
        <is>
          <t>C1-DIRECT-VERIFIED</t>
        </is>
      </c>
      <c r="T155" s="2" t="inlineStr">
        <is>
          <t>Personal 1:1 email from founder/team to published business email</t>
        </is>
      </c>
      <c r="U155" s="2" t="inlineStr">
        <is>
          <t>https://www.shahinmannan.com/pages/contact-us</t>
        </is>
      </c>
      <c r="V155" s="2" t="inlineStr">
        <is>
          <t>2026-09 — newest product published on own Shopify store (Kajal Aggarwal in CACTUS CROP TOP WITH TIER SKIRT) per products.json</t>
        </is>
      </c>
      <c r="W155" s="2" t="inlineStr">
        <is>
          <t>Own online store live with 250+ products listed; stocked by multi-designer retailer(s): Aza Fashions</t>
        </is>
      </c>
      <c r="X155" s="2" t="inlineStr">
        <is>
          <t>Aza Fashions (stocked designer (designer index))</t>
        </is>
      </c>
      <c r="Y155" s="2" t="inlineStr">
        <is>
          <t>Readiness 82 (top 11% in category) | Commercial: Own online store live with 250+ products listed; stocked by multi-designer retailer(s): A… | Active: 2026-09 — newest product published on own Shopify store (Kajal Aggarw… | Independent/emerging tier — fame not a factor</t>
        </is>
      </c>
      <c r="Z155" s="2" t="inlineStr">
        <is>
          <t>Lead with a specific collection. Position as an additional channel under the label's own name. No sales promises.</t>
        </is>
      </c>
      <c r="AA155" s="2" t="inlineStr">
        <is>
          <t>Already has own D2C store and established multi-designer stockists</t>
        </is>
      </c>
      <c r="AB155" s="2" t="inlineStr">
        <is>
          <t>Own D2C store/stockists already; "who else is on it?"; commission vs stockist margin</t>
        </is>
      </c>
      <c r="AC155" s="2" t="inlineStr">
        <is>
          <t>E05 channel/segment test (assign at wave start)</t>
        </is>
      </c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</row>
    <row r="156">
      <c r="A156" s="2" t="n">
        <v>155</v>
      </c>
      <c r="B156" s="2" t="inlineStr">
        <is>
          <t>Wave 2 — Category &amp; city expansion</t>
        </is>
      </c>
      <c r="C156" s="2" t="inlineStr">
        <is>
          <t>UPK2-FL-245</t>
        </is>
      </c>
      <c r="D156" s="2" t="inlineStr">
        <is>
          <t>Sole House</t>
        </is>
      </c>
      <c r="E156" s="2" t="inlineStr">
        <is>
          <t>Fashion &amp; Lifestyle</t>
        </is>
      </c>
      <c r="F156" s="2" t="inlineStr">
        <is>
          <t>FL-JEWELLERY</t>
        </is>
      </c>
      <c r="G156" s="2" t="inlineStr">
        <is>
          <t>Wedding &amp; Occasion</t>
        </is>
      </c>
      <c r="H156" s="2" t="inlineStr">
        <is>
          <t>Designer jewellery</t>
        </is>
      </c>
      <c r="I156" s="2" t="inlineStr">
        <is>
          <t>Delhi NCR</t>
        </is>
      </c>
      <c r="J156" s="2" t="inlineStr">
        <is>
          <t>B — Established Independent</t>
        </is>
      </c>
      <c r="K156" s="2" t="inlineStr">
        <is>
          <t>Label/brand (D2C store)</t>
        </is>
      </c>
      <c r="L156" s="2" t="inlineStr">
        <is>
          <t>P0</t>
        </is>
      </c>
      <c r="M156" s="2" t="inlineStr">
        <is>
          <t>P0</t>
        </is>
      </c>
      <c r="N156" s="2" t="n">
        <v>81.59999999999999</v>
      </c>
      <c r="O156" s="2" t="n">
        <v>90</v>
      </c>
      <c r="P156" s="2" t="n">
        <v>73.09999999999999</v>
      </c>
      <c r="Q156" s="2" t="n">
        <v>81</v>
      </c>
      <c r="R156" s="2" t="n">
        <v>40</v>
      </c>
      <c r="S156" s="2" t="inlineStr">
        <is>
          <t>C1-DIRECT-VERIFIED</t>
        </is>
      </c>
      <c r="T156" s="2" t="inlineStr">
        <is>
          <t>Personal 1:1 email from founder/team to published business email</t>
        </is>
      </c>
      <c r="U156" s="2" t="inlineStr">
        <is>
          <t>https://solehouse.in/pages/contact</t>
        </is>
      </c>
      <c r="V156" s="2" t="inlineStr">
        <is>
          <t>2026-07 — newest product published on own Shopify store (Snow White) per products.json</t>
        </is>
      </c>
      <c r="W156" s="2" t="inlineStr">
        <is>
          <t>Own online store live with 198 products listed; stocked by multi-designer retailer(s): Aza Fashions</t>
        </is>
      </c>
      <c r="X156" s="2" t="inlineStr">
        <is>
          <t>Aza Fashions (stocked designer (designer index))</t>
        </is>
      </c>
      <c r="Y156" s="2" t="inlineStr">
        <is>
          <t>Readiness 82 (top 11% in category) | Commercial: Own online store live with 198 products listed; stocked by multi-designer retailer(s): Az… | Active: 2026-07 — newest product published on own Shopify store (Snow White)… | Independent/emerging tier — fame not a factor</t>
        </is>
      </c>
      <c r="Z156" s="2" t="inlineStr">
        <is>
          <t>Lead with a specific collection. Position as an additional channel under the label's own name. No sales promises.</t>
        </is>
      </c>
      <c r="AA156" s="2" t="inlineStr">
        <is>
          <t>Already has own D2C store and established multi-designer stockists</t>
        </is>
      </c>
      <c r="AB156" s="2" t="inlineStr">
        <is>
          <t>Own D2C store/stockists already; "who else is on it?"; commission vs stockist margin</t>
        </is>
      </c>
      <c r="AC156" s="2" t="inlineStr">
        <is>
          <t>E05 channel/segment test (assign at wave start)</t>
        </is>
      </c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</row>
    <row r="157">
      <c r="A157" s="2" t="n">
        <v>156</v>
      </c>
      <c r="B157" s="2" t="inlineStr">
        <is>
          <t>Wave 2 — Category &amp; city expansion</t>
        </is>
      </c>
      <c r="C157" s="2" t="inlineStr">
        <is>
          <t>UPK2-FL-213</t>
        </is>
      </c>
      <c r="D157" s="2" t="inlineStr">
        <is>
          <t>Ethnic Andaz</t>
        </is>
      </c>
      <c r="E157" s="2" t="inlineStr">
        <is>
          <t>Fashion &amp; Lifestyle</t>
        </is>
      </c>
      <c r="F157" s="2" t="inlineStr">
        <is>
          <t>FL-JEWELLERY</t>
        </is>
      </c>
      <c r="G157" s="2" t="inlineStr">
        <is>
          <t>Wedding &amp; Occasion</t>
        </is>
      </c>
      <c r="H157" s="2" t="inlineStr">
        <is>
          <t>Designer jewellery</t>
        </is>
      </c>
      <c r="I157" s="2" t="inlineStr">
        <is>
          <t>Mumbai</t>
        </is>
      </c>
      <c r="J157" s="2" t="inlineStr">
        <is>
          <t>B — Established Independent</t>
        </is>
      </c>
      <c r="K157" s="2" t="inlineStr">
        <is>
          <t>Label/brand (D2C store)</t>
        </is>
      </c>
      <c r="L157" s="2" t="inlineStr">
        <is>
          <t>P0</t>
        </is>
      </c>
      <c r="M157" s="2" t="inlineStr">
        <is>
          <t>P0</t>
        </is>
      </c>
      <c r="N157" s="2" t="n">
        <v>81.59999999999999</v>
      </c>
      <c r="O157" s="2" t="n">
        <v>90</v>
      </c>
      <c r="P157" s="2" t="n">
        <v>73.09999999999999</v>
      </c>
      <c r="Q157" s="2" t="n">
        <v>81</v>
      </c>
      <c r="R157" s="2" t="n">
        <v>40</v>
      </c>
      <c r="S157" s="2" t="inlineStr">
        <is>
          <t>C1-DIRECT-VERIFIED</t>
        </is>
      </c>
      <c r="T157" s="2" t="inlineStr">
        <is>
          <t>Personal 1:1 email from founder/team to published business email</t>
        </is>
      </c>
      <c r="U157" s="2" t="inlineStr">
        <is>
          <t>https://ethnicandaz.com/pages/contact</t>
        </is>
      </c>
      <c r="V157" s="2" t="inlineStr">
        <is>
          <t>2026-09 — newest product published on own Shopify store (Reeva Silver Bangles) per products.json</t>
        </is>
      </c>
      <c r="W157" s="2" t="inlineStr">
        <is>
          <t>Own online store live with 250+ products listed; stocked by multi-designer retailer(s): Aza Fashions</t>
        </is>
      </c>
      <c r="X157" s="2" t="inlineStr">
        <is>
          <t>Aza Fashions (stocked designer (designer index))</t>
        </is>
      </c>
      <c r="Y157" s="2" t="inlineStr">
        <is>
          <t>Readiness 82 (top 11% in category) | Commercial: Own online store live with 250+ products listed; stocked by multi-designer retailer(s): A… | Active: 2026-09 — newest product published on own Shopify store (Reeva Silver… | Independent/emerging tier — fame not a factor</t>
        </is>
      </c>
      <c r="Z157" s="2" t="inlineStr">
        <is>
          <t>Lead with a specific collection. Position as an additional channel under the label's own name. No sales promises.</t>
        </is>
      </c>
      <c r="AA157" s="2" t="inlineStr">
        <is>
          <t>Already has own D2C store and established multi-designer stockists</t>
        </is>
      </c>
      <c r="AB157" s="2" t="inlineStr">
        <is>
          <t>Own D2C store/stockists already; "who else is on it?"; commission vs stockist margin</t>
        </is>
      </c>
      <c r="AC157" s="2" t="inlineStr">
        <is>
          <t>E05 channel/segment test (assign at wave start)</t>
        </is>
      </c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</row>
    <row r="158">
      <c r="A158" s="2" t="n">
        <v>157</v>
      </c>
      <c r="B158" s="2" t="inlineStr">
        <is>
          <t>Wave 2 — Category &amp; city expansion</t>
        </is>
      </c>
      <c r="C158" s="2" t="inlineStr">
        <is>
          <t>UPK2-FL-231</t>
        </is>
      </c>
      <c r="D158" s="2" t="inlineStr">
        <is>
          <t>Mnsh</t>
        </is>
      </c>
      <c r="E158" s="2" t="inlineStr">
        <is>
          <t>Fashion &amp; Lifestyle</t>
        </is>
      </c>
      <c r="F158" s="2" t="inlineStr">
        <is>
          <t>FL-JEWELLERY</t>
        </is>
      </c>
      <c r="G158" s="2" t="inlineStr">
        <is>
          <t>Wedding &amp; Occasion</t>
        </is>
      </c>
      <c r="H158" s="2" t="inlineStr">
        <is>
          <t>Designer jewellery</t>
        </is>
      </c>
      <c r="I158" s="2" t="inlineStr">
        <is>
          <t>Mumbai</t>
        </is>
      </c>
      <c r="J158" s="2" t="inlineStr">
        <is>
          <t>B — Established Independent</t>
        </is>
      </c>
      <c r="K158" s="2" t="inlineStr">
        <is>
          <t>Label/brand (D2C store)</t>
        </is>
      </c>
      <c r="L158" s="2" t="inlineStr">
        <is>
          <t>P0</t>
        </is>
      </c>
      <c r="M158" s="2" t="inlineStr">
        <is>
          <t>P0</t>
        </is>
      </c>
      <c r="N158" s="2" t="n">
        <v>81.59999999999999</v>
      </c>
      <c r="O158" s="2" t="n">
        <v>90</v>
      </c>
      <c r="P158" s="2" t="n">
        <v>73.09999999999999</v>
      </c>
      <c r="Q158" s="2" t="n">
        <v>81</v>
      </c>
      <c r="R158" s="2" t="n">
        <v>40</v>
      </c>
      <c r="S158" s="2" t="inlineStr">
        <is>
          <t>C1-DIRECT-VERIFIED</t>
        </is>
      </c>
      <c r="T158" s="2" t="inlineStr">
        <is>
          <t>Personal 1:1 email from founder/team to published business email</t>
        </is>
      </c>
      <c r="U158" s="2" t="inlineStr">
        <is>
          <t>https://mnsh.co/pages/contact-us</t>
        </is>
      </c>
      <c r="V158" s="2" t="inlineStr">
        <is>
          <t>2026-10 — newest product published on own Shopify store (Emerald Vine Necklace Set) per products.json</t>
        </is>
      </c>
      <c r="W158" s="2" t="inlineStr">
        <is>
          <t>Own online store live with 250+ products listed; stocked by multi-designer retailer(s): Aza Fashions</t>
        </is>
      </c>
      <c r="X158" s="2" t="inlineStr">
        <is>
          <t>Aza Fashions (stocked designer (designer index))</t>
        </is>
      </c>
      <c r="Y158" s="2" t="inlineStr">
        <is>
          <t>Readiness 82 (top 11% in category) | Commercial: Own online store live with 250+ products listed; stocked by multi-designer retailer(s): A… | Active: 2026-10 — newest product published on own Shopify store (Emerald Vine… | Independent/emerging tier — fame not a factor</t>
        </is>
      </c>
      <c r="Z158" s="2" t="inlineStr">
        <is>
          <t>Lead with a specific collection. Position as an additional channel under the label's own name. No sales promises.</t>
        </is>
      </c>
      <c r="AA158" s="2" t="inlineStr">
        <is>
          <t>Already has own D2C store and established multi-designer stockists</t>
        </is>
      </c>
      <c r="AB158" s="2" t="inlineStr">
        <is>
          <t>Own D2C store/stockists already; "who else is on it?"; commission vs stockist margin</t>
        </is>
      </c>
      <c r="AC158" s="2" t="inlineStr">
        <is>
          <t>E05 channel/segment test (assign at wave start)</t>
        </is>
      </c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</row>
    <row r="159">
      <c r="A159" s="2" t="n">
        <v>158</v>
      </c>
      <c r="B159" s="2" t="inlineStr">
        <is>
          <t>Wave 2 — Category &amp; city expansion</t>
        </is>
      </c>
      <c r="C159" s="2" t="inlineStr">
        <is>
          <t>UPK2-FL-232</t>
        </is>
      </c>
      <c r="D159" s="2" t="inlineStr">
        <is>
          <t>Moh India</t>
        </is>
      </c>
      <c r="E159" s="2" t="inlineStr">
        <is>
          <t>Fashion &amp; Lifestyle</t>
        </is>
      </c>
      <c r="F159" s="2" t="inlineStr">
        <is>
          <t>FL-OCCASION-BRIDAL</t>
        </is>
      </c>
      <c r="G159" s="2" t="inlineStr">
        <is>
          <t>Wedding &amp; Occasion</t>
        </is>
      </c>
      <c r="H159" s="2" t="inlineStr">
        <is>
          <t>Occasion &amp; bridal wear (lehengas, sarees, festive sets)</t>
        </is>
      </c>
      <c r="I159" s="2" t="inlineStr">
        <is>
          <t>Delhi NCR</t>
        </is>
      </c>
      <c r="J159" s="2" t="inlineStr">
        <is>
          <t>B — Established Independent</t>
        </is>
      </c>
      <c r="K159" s="2" t="inlineStr">
        <is>
          <t>Label/brand (D2C store)</t>
        </is>
      </c>
      <c r="L159" s="2" t="inlineStr">
        <is>
          <t>P0</t>
        </is>
      </c>
      <c r="M159" s="2" t="inlineStr">
        <is>
          <t>P0</t>
        </is>
      </c>
      <c r="N159" s="2" t="n">
        <v>81.59999999999999</v>
      </c>
      <c r="O159" s="2" t="n">
        <v>90</v>
      </c>
      <c r="P159" s="2" t="n">
        <v>73.09999999999999</v>
      </c>
      <c r="Q159" s="2" t="n">
        <v>81</v>
      </c>
      <c r="R159" s="2" t="n">
        <v>40</v>
      </c>
      <c r="S159" s="2" t="inlineStr">
        <is>
          <t>C1-DIRECT-VERIFIED</t>
        </is>
      </c>
      <c r="T159" s="2" t="inlineStr">
        <is>
          <t>Personal 1:1 email from founder/team to published business email</t>
        </is>
      </c>
      <c r="U159" s="2" t="inlineStr">
        <is>
          <t>https://mohindia.in/pages/contact</t>
        </is>
      </c>
      <c r="V159" s="2" t="inlineStr">
        <is>
          <t>2026-10 — newest product published on own Shopify store (Nightshade Saree Set) per products.json</t>
        </is>
      </c>
      <c r="W159" s="2" t="inlineStr">
        <is>
          <t>Own online store live with 250+ products listed; stocked by multi-designer retailer(s): Aza Fashions</t>
        </is>
      </c>
      <c r="X159" s="2" t="inlineStr">
        <is>
          <t>Aza Fashions (stocked designer (designer index))</t>
        </is>
      </c>
      <c r="Y159" s="2" t="inlineStr">
        <is>
          <t>Readiness 82 (top 11% in category) | Commercial: Own online store live with 250+ products listed; stocked by multi-designer retailer(s): A… | Active: 2026-10 — newest product published on own Shopify store (Nightshade S… | Independent/emerging tier — fame not a factor</t>
        </is>
      </c>
      <c r="Z159" s="2" t="inlineStr">
        <is>
          <t>Lead with the label's craft and name. Ask how made-to-order/bridal enquiries reach them today. Position Uepaki as an additional professional channel, not a replacement for stockists.</t>
        </is>
      </c>
      <c r="AA159" s="2" t="inlineStr">
        <is>
          <t>Already has own D2C store and established multi-designer stockists</t>
        </is>
      </c>
      <c r="AB159" s="2" t="inlineStr">
        <is>
          <t>Own D2C store/stockists already; "who else is on it?"; commission vs stockist margin</t>
        </is>
      </c>
      <c r="AC159" s="2" t="inlineStr">
        <is>
          <t>E05 channel/segment test (assign at wave start)</t>
        </is>
      </c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</row>
    <row r="160">
      <c r="A160" s="2" t="n">
        <v>159</v>
      </c>
      <c r="B160" s="2" t="inlineStr">
        <is>
          <t>Wave 2 — Category &amp; city expansion</t>
        </is>
      </c>
      <c r="C160" s="2" t="inlineStr">
        <is>
          <t>UPK2-FL-233</t>
        </is>
      </c>
      <c r="D160" s="2" t="inlineStr">
        <is>
          <t>Moontara</t>
        </is>
      </c>
      <c r="E160" s="2" t="inlineStr">
        <is>
          <t>Fashion &amp; Lifestyle</t>
        </is>
      </c>
      <c r="F160" s="2" t="inlineStr">
        <is>
          <t>FL-CONTEMPORARY</t>
        </is>
      </c>
      <c r="G160" s="2" t="inlineStr">
        <is>
          <t>Brand &amp; Everyday Style</t>
        </is>
      </c>
      <c r="H160" s="2" t="inlineStr">
        <is>
          <t>Contemporary ready-to-wear / festive pret</t>
        </is>
      </c>
      <c r="I160" s="2" t="inlineStr">
        <is>
          <t>Jaipur</t>
        </is>
      </c>
      <c r="J160" s="2" t="inlineStr">
        <is>
          <t>B — Established Independent</t>
        </is>
      </c>
      <c r="K160" s="2" t="inlineStr">
        <is>
          <t>Label/brand (D2C store)</t>
        </is>
      </c>
      <c r="L160" s="2" t="inlineStr">
        <is>
          <t>P0</t>
        </is>
      </c>
      <c r="M160" s="2" t="inlineStr">
        <is>
          <t>P0</t>
        </is>
      </c>
      <c r="N160" s="2" t="n">
        <v>81.59999999999999</v>
      </c>
      <c r="O160" s="2" t="n">
        <v>90</v>
      </c>
      <c r="P160" s="2" t="n">
        <v>73.09999999999999</v>
      </c>
      <c r="Q160" s="2" t="n">
        <v>81</v>
      </c>
      <c r="R160" s="2" t="n">
        <v>40</v>
      </c>
      <c r="S160" s="2" t="inlineStr">
        <is>
          <t>C1-DIRECT-VERIFIED</t>
        </is>
      </c>
      <c r="T160" s="2" t="inlineStr">
        <is>
          <t>Personal 1:1 email from founder/team to published business email</t>
        </is>
      </c>
      <c r="U160" s="2" t="inlineStr">
        <is>
          <t>https://www.moontara.in/pages/contact-us</t>
        </is>
      </c>
      <c r="V160" s="2" t="inlineStr">
        <is>
          <t>2026-07 — newest product published on own Shopify store (Camellia Dress: Cotton Midi Dress in Ivory &amp; Sage Green Trop) per products.json</t>
        </is>
      </c>
      <c r="W160" s="2" t="inlineStr">
        <is>
          <t>Own online store live with 182 products listed; stocked by multi-designer retailer(s): Aza Fashions</t>
        </is>
      </c>
      <c r="X160" s="2" t="inlineStr">
        <is>
          <t>Aza Fashions (stocked designer (designer index))</t>
        </is>
      </c>
      <c r="Y160" s="2" t="inlineStr">
        <is>
          <t>Readiness 82 (top 11% in category) | Commercial: Own online store live with 182 products listed; stocked by multi-designer retailer(s): Az… | Active: 2026-07 — newest product published on own Shopify store (Camellia Dre… | Independent/emerging tier — fame not a factor</t>
        </is>
      </c>
      <c r="Z160" s="2" t="inlineStr">
        <is>
          <t>Lead with the label's own range and identity. Position as an additional channel next to own store and stockists. No sales or reach promises.</t>
        </is>
      </c>
      <c r="AA160" s="2" t="inlineStr">
        <is>
          <t>Already has own D2C store and established multi-designer stockists</t>
        </is>
      </c>
      <c r="AB160" s="2" t="inlineStr">
        <is>
          <t>Own D2C store/stockists already; "who else is on it?"; commission vs stockist margin</t>
        </is>
      </c>
      <c r="AC160" s="2" t="inlineStr">
        <is>
          <t>E05 channel/segment test (assign at wave start)</t>
        </is>
      </c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</row>
    <row r="161">
      <c r="A161" s="2" t="n">
        <v>160</v>
      </c>
      <c r="B161" s="2" t="inlineStr">
        <is>
          <t>Wave 2 — Category &amp; city expansion</t>
        </is>
      </c>
      <c r="C161" s="2" t="inlineStr">
        <is>
          <t>UPK2-FL-247</t>
        </is>
      </c>
      <c r="D161" s="2" t="inlineStr">
        <is>
          <t>Tasuvure</t>
        </is>
      </c>
      <c r="E161" s="2" t="inlineStr">
        <is>
          <t>Fashion &amp; Lifestyle</t>
        </is>
      </c>
      <c r="F161" s="2" t="inlineStr">
        <is>
          <t>FL-CONTEMPORARY</t>
        </is>
      </c>
      <c r="G161" s="2" t="inlineStr">
        <is>
          <t>Brand &amp; Everyday Style</t>
        </is>
      </c>
      <c r="H161" s="2" t="inlineStr">
        <is>
          <t>Contemporary ready-to-wear / festive pret</t>
        </is>
      </c>
      <c r="I161" s="2" t="inlineStr">
        <is>
          <t>Delhi NCR</t>
        </is>
      </c>
      <c r="J161" s="2" t="inlineStr">
        <is>
          <t>B — Established Independent</t>
        </is>
      </c>
      <c r="K161" s="2" t="inlineStr">
        <is>
          <t>Label/brand (D2C store)</t>
        </is>
      </c>
      <c r="L161" s="2" t="inlineStr">
        <is>
          <t>P0</t>
        </is>
      </c>
      <c r="M161" s="2" t="inlineStr">
        <is>
          <t>P0</t>
        </is>
      </c>
      <c r="N161" s="2" t="n">
        <v>81.59999999999999</v>
      </c>
      <c r="O161" s="2" t="n">
        <v>90</v>
      </c>
      <c r="P161" s="2" t="n">
        <v>73.09999999999999</v>
      </c>
      <c r="Q161" s="2" t="n">
        <v>81</v>
      </c>
      <c r="R161" s="2" t="n">
        <v>40</v>
      </c>
      <c r="S161" s="2" t="inlineStr">
        <is>
          <t>C1-DIRECT-VERIFIED</t>
        </is>
      </c>
      <c r="T161" s="2" t="inlineStr">
        <is>
          <t>Personal 1:1 email from founder/team to published business email</t>
        </is>
      </c>
      <c r="U161" s="2" t="inlineStr">
        <is>
          <t>https://tasuvure.in/pages/contact</t>
        </is>
      </c>
      <c r="V161" s="2" t="inlineStr">
        <is>
          <t>2026-10 — newest product published on own Shopify store (Tunic Set with Seq Pant and Seq Scarf - Blue) per products.json</t>
        </is>
      </c>
      <c r="W161" s="2" t="inlineStr">
        <is>
          <t>Own online store live with 250+ products listed; stocked by multi-designer retailer(s): Aza Fashions</t>
        </is>
      </c>
      <c r="X161" s="2" t="inlineStr">
        <is>
          <t>Aza Fashions (stocked designer (designer index))</t>
        </is>
      </c>
      <c r="Y161" s="2" t="inlineStr">
        <is>
          <t>Readiness 82 (top 11% in category) | Commercial: Own online store live with 250+ products listed; stocked by multi-designer retailer(s): A… | Active: 2026-10 — newest product published on own Shopify store (Tunic Set wi… | Independent/emerging tier — fame not a factor</t>
        </is>
      </c>
      <c r="Z161" s="2" t="inlineStr">
        <is>
          <t>Lead with the label's own range and identity. Position as an additional channel next to own store and stockists. No sales or reach promises.</t>
        </is>
      </c>
      <c r="AA161" s="2" t="inlineStr">
        <is>
          <t>Already has own D2C store and established multi-designer stockists</t>
        </is>
      </c>
      <c r="AB161" s="2" t="inlineStr">
        <is>
          <t>Own D2C store/stockists already; "who else is on it?"; commission vs stockist margin</t>
        </is>
      </c>
      <c r="AC161" s="2" t="inlineStr">
        <is>
          <t>E05 channel/segment test (assign at wave start)</t>
        </is>
      </c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</row>
    <row r="162">
      <c r="A162" s="2" t="n">
        <v>161</v>
      </c>
      <c r="B162" s="2" t="inlineStr">
        <is>
          <t>Wave 2 — Category &amp; city expansion</t>
        </is>
      </c>
      <c r="C162" s="2" t="inlineStr">
        <is>
          <t>UPK2-FL-243</t>
        </is>
      </c>
      <c r="D162" s="2" t="inlineStr">
        <is>
          <t>Seher Jaipur</t>
        </is>
      </c>
      <c r="E162" s="2" t="inlineStr">
        <is>
          <t>Fashion &amp; Lifestyle</t>
        </is>
      </c>
      <c r="F162" s="2" t="inlineStr">
        <is>
          <t>FL-CONTEMPORARY</t>
        </is>
      </c>
      <c r="G162" s="2" t="inlineStr">
        <is>
          <t>Brand &amp; Everyday Style</t>
        </is>
      </c>
      <c r="H162" s="2" t="inlineStr">
        <is>
          <t>Contemporary ready-to-wear / festive pret</t>
        </is>
      </c>
      <c r="I162" s="2" t="inlineStr">
        <is>
          <t>Jaipur</t>
        </is>
      </c>
      <c r="J162" s="2" t="inlineStr">
        <is>
          <t>B — Established Independent</t>
        </is>
      </c>
      <c r="K162" s="2" t="inlineStr">
        <is>
          <t>Label/brand (D2C store)</t>
        </is>
      </c>
      <c r="L162" s="2" t="inlineStr">
        <is>
          <t>P0</t>
        </is>
      </c>
      <c r="M162" s="2" t="inlineStr">
        <is>
          <t>P0</t>
        </is>
      </c>
      <c r="N162" s="2" t="n">
        <v>81.59999999999999</v>
      </c>
      <c r="O162" s="2" t="n">
        <v>90</v>
      </c>
      <c r="P162" s="2" t="n">
        <v>73.09999999999999</v>
      </c>
      <c r="Q162" s="2" t="n">
        <v>81</v>
      </c>
      <c r="R162" s="2" t="n">
        <v>40</v>
      </c>
      <c r="S162" s="2" t="inlineStr">
        <is>
          <t>C1-DIRECT-VERIFIED</t>
        </is>
      </c>
      <c r="T162" s="2" t="inlineStr">
        <is>
          <t>Personal 1:1 email from founder/team to published business email</t>
        </is>
      </c>
      <c r="U162" s="2" t="inlineStr">
        <is>
          <t>https://seherjaipur.com/pages/contact</t>
        </is>
      </c>
      <c r="V162" s="2" t="inlineStr">
        <is>
          <t>2026-09 — newest product published on own Shopify store (Zehra Teal Saree) per products.json</t>
        </is>
      </c>
      <c r="W162" s="2" t="inlineStr">
        <is>
          <t>Own online store live with 69 products listed; stocked by multi-designer retailer(s): Aza Fashions</t>
        </is>
      </c>
      <c r="X162" s="2" t="inlineStr">
        <is>
          <t>Aza Fashions (stocked designer (designer index))</t>
        </is>
      </c>
      <c r="Y162" s="2" t="inlineStr">
        <is>
          <t>Readiness 82 (top 11% in category) | Commercial: Own online store live with 69 products listed; stocked by multi-designer retailer(s): Aza… | Active: 2026-09 — newest product published on own Shopify store (Zehra Teal S… | Independent/emerging tier — fame not a factor</t>
        </is>
      </c>
      <c r="Z162" s="2" t="inlineStr">
        <is>
          <t>Lead with the label's own range and identity. Position as an additional channel next to own store and stockists. No sales or reach promises.</t>
        </is>
      </c>
      <c r="AA162" s="2" t="inlineStr">
        <is>
          <t>Already has own D2C store and established multi-designer stockists</t>
        </is>
      </c>
      <c r="AB162" s="2" t="inlineStr">
        <is>
          <t>Own D2C store/stockists already; "who else is on it?"; commission vs stockist margin</t>
        </is>
      </c>
      <c r="AC162" s="2" t="inlineStr">
        <is>
          <t>E05 channel/segment test (assign at wave start)</t>
        </is>
      </c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</row>
    <row r="163">
      <c r="A163" s="2" t="n">
        <v>162</v>
      </c>
      <c r="B163" s="2" t="inlineStr">
        <is>
          <t>Wave 2 — Category &amp; city expansion</t>
        </is>
      </c>
      <c r="C163" s="2" t="inlineStr">
        <is>
          <t>UPK2-FL-240</t>
        </is>
      </c>
      <c r="D163" s="2" t="inlineStr">
        <is>
          <t>Priya Chaudhary</t>
        </is>
      </c>
      <c r="E163" s="2" t="inlineStr">
        <is>
          <t>Fashion &amp; Lifestyle</t>
        </is>
      </c>
      <c r="F163" s="2" t="inlineStr">
        <is>
          <t>FL-CONTEMPORARY</t>
        </is>
      </c>
      <c r="G163" s="2" t="inlineStr">
        <is>
          <t>Brand &amp; Everyday Style</t>
        </is>
      </c>
      <c r="H163" s="2" t="inlineStr">
        <is>
          <t>Contemporary ready-to-wear / festive pret</t>
        </is>
      </c>
      <c r="I163" s="2" t="inlineStr">
        <is>
          <t>Delhi NCR</t>
        </is>
      </c>
      <c r="J163" s="2" t="inlineStr">
        <is>
          <t>B — Established Independent</t>
        </is>
      </c>
      <c r="K163" s="2" t="inlineStr">
        <is>
          <t>Label/brand (D2C store)</t>
        </is>
      </c>
      <c r="L163" s="2" t="inlineStr">
        <is>
          <t>P0</t>
        </is>
      </c>
      <c r="M163" s="2" t="inlineStr">
        <is>
          <t>P0</t>
        </is>
      </c>
      <c r="N163" s="2" t="n">
        <v>81.59999999999999</v>
      </c>
      <c r="O163" s="2" t="n">
        <v>90</v>
      </c>
      <c r="P163" s="2" t="n">
        <v>73.09999999999999</v>
      </c>
      <c r="Q163" s="2" t="n">
        <v>81</v>
      </c>
      <c r="R163" s="2" t="n">
        <v>40</v>
      </c>
      <c r="S163" s="2" t="inlineStr">
        <is>
          <t>C1-DIRECT-VERIFIED</t>
        </is>
      </c>
      <c r="T163" s="2" t="inlineStr">
        <is>
          <t>Personal 1:1 email from founder/team to published business email</t>
        </is>
      </c>
      <c r="U163" s="2" t="inlineStr">
        <is>
          <t>https://priyachaudhary.com/pages/contact</t>
        </is>
      </c>
      <c r="V163" s="2" t="inlineStr">
        <is>
          <t>2026-07 — newest product published on own Shopify store (Teal Red Chanderi Kurta Set- Set of 2) per products.json</t>
        </is>
      </c>
      <c r="W163" s="2" t="inlineStr">
        <is>
          <t>Own online store live with 250+ products listed; stocked by multi-designer retailer(s): Aza Fashions</t>
        </is>
      </c>
      <c r="X163" s="2" t="inlineStr">
        <is>
          <t>Aza Fashions (stocked designer (designer index))</t>
        </is>
      </c>
      <c r="Y163" s="2" t="inlineStr">
        <is>
          <t>Readiness 82 (top 11% in category) | Commercial: Own online store live with 250+ products listed; stocked by multi-designer retailer(s): A… | Active: 2026-07 — newest product published on own Shopify store (Teal Red Cha… | Independent/emerging tier — fame not a factor</t>
        </is>
      </c>
      <c r="Z163" s="2" t="inlineStr">
        <is>
          <t>Lead with the label's own range and identity. Position as an additional channel next to own store and stockists. No sales or reach promises.</t>
        </is>
      </c>
      <c r="AA163" s="2" t="inlineStr">
        <is>
          <t>Already has own D2C store and established multi-designer stockists</t>
        </is>
      </c>
      <c r="AB163" s="2" t="inlineStr">
        <is>
          <t>Own D2C store/stockists already; "who else is on it?"; commission vs stockist margin</t>
        </is>
      </c>
      <c r="AC163" s="2" t="inlineStr">
        <is>
          <t>E05 channel/segment test (assign at wave start)</t>
        </is>
      </c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</row>
    <row r="164">
      <c r="A164" s="2" t="n">
        <v>163</v>
      </c>
      <c r="B164" s="2" t="inlineStr">
        <is>
          <t>Wave 2 — Category &amp; city expansion</t>
        </is>
      </c>
      <c r="C164" s="2" t="inlineStr">
        <is>
          <t>UPK2-FL-281</t>
        </is>
      </c>
      <c r="D164" s="2" t="inlineStr">
        <is>
          <t>Around Always</t>
        </is>
      </c>
      <c r="E164" s="2" t="inlineStr">
        <is>
          <t>Fashion &amp; Lifestyle</t>
        </is>
      </c>
      <c r="F164" s="2" t="inlineStr">
        <is>
          <t>FL-JEWELLERY</t>
        </is>
      </c>
      <c r="G164" s="2" t="inlineStr">
        <is>
          <t>Wedding &amp; Occasion</t>
        </is>
      </c>
      <c r="H164" s="2" t="inlineStr">
        <is>
          <t>Designer jewellery</t>
        </is>
      </c>
      <c r="I164" s="2" t="inlineStr">
        <is>
          <t>Kolkata</t>
        </is>
      </c>
      <c r="J164" s="2" t="inlineStr">
        <is>
          <t>B — Established Independent</t>
        </is>
      </c>
      <c r="K164" s="2" t="inlineStr">
        <is>
          <t>Label/brand (D2C store)</t>
        </is>
      </c>
      <c r="L164" s="2" t="inlineStr">
        <is>
          <t>P0</t>
        </is>
      </c>
      <c r="M164" s="2" t="inlineStr">
        <is>
          <t>P0</t>
        </is>
      </c>
      <c r="N164" s="2" t="n">
        <v>81.59999999999999</v>
      </c>
      <c r="O164" s="2" t="n">
        <v>90</v>
      </c>
      <c r="P164" s="2" t="n">
        <v>73.09999999999999</v>
      </c>
      <c r="Q164" s="2" t="n">
        <v>81</v>
      </c>
      <c r="R164" s="2" t="n">
        <v>40</v>
      </c>
      <c r="S164" s="2" t="inlineStr">
        <is>
          <t>C1-DIRECT-VERIFIED</t>
        </is>
      </c>
      <c r="T164" s="2" t="inlineStr">
        <is>
          <t>Personal 1:1 email from founder/team to published business email</t>
        </is>
      </c>
      <c r="U164" s="2" t="inlineStr">
        <is>
          <t>https://www.aroundalways.com/pages/contact</t>
        </is>
      </c>
      <c r="V164" s="2" t="inlineStr">
        <is>
          <t>2026-10 — newest product published on own Shopify store (Savera Clutch | Ivory Hand Embroidered Box Clutch) per products.json</t>
        </is>
      </c>
      <c r="W164" s="2" t="inlineStr">
        <is>
          <t>Own online store live with 250+ products listed; stocked by multi-designer retailer(s): Aza Fashions</t>
        </is>
      </c>
      <c r="X164" s="2" t="inlineStr">
        <is>
          <t>Aza Fashions (stocked designer (designer index))</t>
        </is>
      </c>
      <c r="Y164" s="2" t="inlineStr">
        <is>
          <t>Readiness 82 (top 11% in category) | Commercial: Own online store live with 250+ products listed; stocked by multi-designer retailer(s): A… | Active: 2026-10 — newest product published on own Shopify store (Savera Clutc… | Independent/emerging tier — fame not a factor</t>
        </is>
      </c>
      <c r="Z164" s="2" t="inlineStr">
        <is>
          <t>Lead with a specific collection. Position as an additional channel under the label's own name. No sales promises.</t>
        </is>
      </c>
      <c r="AA164" s="2" t="inlineStr">
        <is>
          <t>Already has own D2C store and established multi-designer stockists</t>
        </is>
      </c>
      <c r="AB164" s="2" t="inlineStr">
        <is>
          <t>Own D2C store/stockists already; "who else is on it?"; commission vs stockist margin</t>
        </is>
      </c>
      <c r="AC164" s="2" t="inlineStr">
        <is>
          <t>E05 channel/segment test (assign at wave start)</t>
        </is>
      </c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</row>
    <row r="165">
      <c r="A165" s="2" t="n">
        <v>164</v>
      </c>
      <c r="B165" s="2" t="inlineStr">
        <is>
          <t>Wave 2 — Category &amp; city expansion</t>
        </is>
      </c>
      <c r="C165" s="2" t="inlineStr">
        <is>
          <t>UPK2-FL-211</t>
        </is>
      </c>
      <c r="D165" s="2" t="inlineStr">
        <is>
          <t>Ekavira</t>
        </is>
      </c>
      <c r="E165" s="2" t="inlineStr">
        <is>
          <t>Fashion &amp; Lifestyle</t>
        </is>
      </c>
      <c r="F165" s="2" t="inlineStr">
        <is>
          <t>FL-CONTEMPORARY</t>
        </is>
      </c>
      <c r="G165" s="2" t="inlineStr">
        <is>
          <t>Brand &amp; Everyday Style</t>
        </is>
      </c>
      <c r="H165" s="2" t="inlineStr">
        <is>
          <t>Contemporary ready-to-wear / festive pret</t>
        </is>
      </c>
      <c r="I165" s="2" t="inlineStr">
        <is>
          <t>Delhi NCR</t>
        </is>
      </c>
      <c r="J165" s="2" t="inlineStr">
        <is>
          <t>B — Established Independent</t>
        </is>
      </c>
      <c r="K165" s="2" t="inlineStr">
        <is>
          <t>Label/brand (D2C store)</t>
        </is>
      </c>
      <c r="L165" s="2" t="inlineStr">
        <is>
          <t>P0</t>
        </is>
      </c>
      <c r="M165" s="2" t="inlineStr">
        <is>
          <t>P0</t>
        </is>
      </c>
      <c r="N165" s="2" t="n">
        <v>81.59999999999999</v>
      </c>
      <c r="O165" s="2" t="n">
        <v>90</v>
      </c>
      <c r="P165" s="2" t="n">
        <v>73.09999999999999</v>
      </c>
      <c r="Q165" s="2" t="n">
        <v>81</v>
      </c>
      <c r="R165" s="2" t="n">
        <v>40</v>
      </c>
      <c r="S165" s="2" t="inlineStr">
        <is>
          <t>C1-DIRECT-VERIFIED</t>
        </is>
      </c>
      <c r="T165" s="2" t="inlineStr">
        <is>
          <t>Personal 1:1 email from founder/team to published business email</t>
        </is>
      </c>
      <c r="U165" s="2" t="inlineStr">
        <is>
          <t>https://ekavira.com/pages/contact</t>
        </is>
      </c>
      <c r="V165" s="2" t="inlineStr">
        <is>
          <t>2026-09 — newest product published on own Shopify store (SAKURA PINK ANARKALI) per products.json</t>
        </is>
      </c>
      <c r="W165" s="2" t="inlineStr">
        <is>
          <t>Own online store live with 157 products listed; stocked by multi-designer retailer(s): Aza Fashions</t>
        </is>
      </c>
      <c r="X165" s="2" t="inlineStr">
        <is>
          <t>Aza Fashions (stocked designer (designer index))</t>
        </is>
      </c>
      <c r="Y165" s="2" t="inlineStr">
        <is>
          <t>Readiness 82 (top 11% in category) | Commercial: Own online store live with 157 products listed; stocked by multi-designer retailer(s): Az… | Active: 2026-09 — newest product published on own Shopify store (SAKURA PINK… | Independent/emerging tier — fame not a factor</t>
        </is>
      </c>
      <c r="Z165" s="2" t="inlineStr">
        <is>
          <t>Lead with the label's own range and identity. Position as an additional channel next to own store and stockists. No sales or reach promises.</t>
        </is>
      </c>
      <c r="AA165" s="2" t="inlineStr">
        <is>
          <t>Already has own D2C store and established multi-designer stockists</t>
        </is>
      </c>
      <c r="AB165" s="2" t="inlineStr">
        <is>
          <t>Own D2C store/stockists already; "who else is on it?"; commission vs stockist margin</t>
        </is>
      </c>
      <c r="AC165" s="2" t="inlineStr">
        <is>
          <t>E05 channel/segment test (assign at wave start)</t>
        </is>
      </c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</row>
    <row r="166">
      <c r="A166" s="2" t="n">
        <v>165</v>
      </c>
      <c r="B166" s="2" t="inlineStr">
        <is>
          <t>Wave 2 — Category &amp; city expansion</t>
        </is>
      </c>
      <c r="C166" s="2" t="inlineStr">
        <is>
          <t>UPK2-FL-206</t>
        </is>
      </c>
      <c r="D166" s="2" t="inlineStr">
        <is>
          <t>Asrumo</t>
        </is>
      </c>
      <c r="E166" s="2" t="inlineStr">
        <is>
          <t>Fashion &amp; Lifestyle</t>
        </is>
      </c>
      <c r="F166" s="2" t="inlineStr">
        <is>
          <t>FL-ACCESSORIES</t>
        </is>
      </c>
      <c r="G166" s="2" t="inlineStr">
        <is>
          <t>Brand &amp; Everyday Style</t>
        </is>
      </c>
      <c r="H166" s="2" t="inlineStr">
        <is>
          <t>Designer footwear &amp; accessories</t>
        </is>
      </c>
      <c r="I166" s="2" t="inlineStr">
        <is>
          <t>Jaipur</t>
        </is>
      </c>
      <c r="J166" s="2" t="inlineStr">
        <is>
          <t>B — Established Independent</t>
        </is>
      </c>
      <c r="K166" s="2" t="inlineStr">
        <is>
          <t>Label/brand (D2C store)</t>
        </is>
      </c>
      <c r="L166" s="2" t="inlineStr">
        <is>
          <t>P0</t>
        </is>
      </c>
      <c r="M166" s="2" t="inlineStr">
        <is>
          <t>P0</t>
        </is>
      </c>
      <c r="N166" s="2" t="n">
        <v>81.59999999999999</v>
      </c>
      <c r="O166" s="2" t="n">
        <v>90</v>
      </c>
      <c r="P166" s="2" t="n">
        <v>73.09999999999999</v>
      </c>
      <c r="Q166" s="2" t="n">
        <v>81</v>
      </c>
      <c r="R166" s="2" t="n">
        <v>40</v>
      </c>
      <c r="S166" s="2" t="inlineStr">
        <is>
          <t>C1-DIRECT-VERIFIED</t>
        </is>
      </c>
      <c r="T166" s="2" t="inlineStr">
        <is>
          <t>Personal 1:1 email from founder/team to published business email</t>
        </is>
      </c>
      <c r="U166" s="2" t="inlineStr">
        <is>
          <t>https://asrumo.com/pages/contact-us</t>
        </is>
      </c>
      <c r="V166" s="2" t="inlineStr">
        <is>
          <t>2026-10 — newest product published on own Shopify store (Gulnaar Chanderi Anarkali Set) per products.json</t>
        </is>
      </c>
      <c r="W166" s="2" t="inlineStr">
        <is>
          <t>Own online store live with 250+ products listed; stocked by multi-designer retailer(s): Aza Fashions</t>
        </is>
      </c>
      <c r="X166" s="2" t="inlineStr">
        <is>
          <t>Aza Fashions (stocked designer (designer index))</t>
        </is>
      </c>
      <c r="Y166" s="2" t="inlineStr">
        <is>
          <t>Readiness 82 (top 11% in category) | Commercial: Own online store live with 250+ products listed; stocked by multi-designer retailer(s): A… | Active: 2026-10 — newest product published on own Shopify store (Gulnaar Chan… | Independent/emerging tier — fame not a factor</t>
        </is>
      </c>
      <c r="Z166" s="2" t="inlineStr">
        <is>
          <t>Lead with a specific product line. Position as an additional channel under the label's own name.</t>
        </is>
      </c>
      <c r="AA166" s="2" t="inlineStr">
        <is>
          <t>Already has own D2C store and established multi-designer stockists</t>
        </is>
      </c>
      <c r="AB166" s="2" t="inlineStr">
        <is>
          <t>Own D2C store/stockists already; "who else is on it?"; commission vs stockist margin</t>
        </is>
      </c>
      <c r="AC166" s="2" t="inlineStr">
        <is>
          <t>E05 channel/segment test (assign at wave start)</t>
        </is>
      </c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</row>
    <row r="167">
      <c r="A167" s="2" t="n">
        <v>166</v>
      </c>
      <c r="B167" s="2" t="inlineStr">
        <is>
          <t>Wave 2 — Category &amp; city expansion</t>
        </is>
      </c>
      <c r="C167" s="2" t="inlineStr">
        <is>
          <t>UPK2-FL-212</t>
        </is>
      </c>
      <c r="D167" s="2" t="inlineStr">
        <is>
          <t>Enech</t>
        </is>
      </c>
      <c r="E167" s="2" t="inlineStr">
        <is>
          <t>Fashion &amp; Lifestyle</t>
        </is>
      </c>
      <c r="F167" s="2" t="inlineStr">
        <is>
          <t>FL-CONTEMPORARY</t>
        </is>
      </c>
      <c r="G167" s="2" t="inlineStr">
        <is>
          <t>Brand &amp; Everyday Style</t>
        </is>
      </c>
      <c r="H167" s="2" t="inlineStr">
        <is>
          <t>Contemporary ready-to-wear / festive pret</t>
        </is>
      </c>
      <c r="I167" s="2" t="inlineStr">
        <is>
          <t>Mumbai</t>
        </is>
      </c>
      <c r="J167" s="2" t="inlineStr">
        <is>
          <t>B — Established Independent</t>
        </is>
      </c>
      <c r="K167" s="2" t="inlineStr">
        <is>
          <t>Label/brand (D2C store)</t>
        </is>
      </c>
      <c r="L167" s="2" t="inlineStr">
        <is>
          <t>P0</t>
        </is>
      </c>
      <c r="M167" s="2" t="inlineStr">
        <is>
          <t>P0</t>
        </is>
      </c>
      <c r="N167" s="2" t="n">
        <v>81.59999999999999</v>
      </c>
      <c r="O167" s="2" t="n">
        <v>90</v>
      </c>
      <c r="P167" s="2" t="n">
        <v>73.09999999999999</v>
      </c>
      <c r="Q167" s="2" t="n">
        <v>81</v>
      </c>
      <c r="R167" s="2" t="n">
        <v>40</v>
      </c>
      <c r="S167" s="2" t="inlineStr">
        <is>
          <t>C1-DIRECT-VERIFIED</t>
        </is>
      </c>
      <c r="T167" s="2" t="inlineStr">
        <is>
          <t>Personal 1:1 email from founder/team to published business email</t>
        </is>
      </c>
      <c r="U167" s="2" t="inlineStr">
        <is>
          <t>https://enech.in/pages/contact-us</t>
        </is>
      </c>
      <c r="V167" s="2" t="inlineStr">
        <is>
          <t>2026-10 — newest product published on own Shopify store (test 2) per products.json</t>
        </is>
      </c>
      <c r="W167" s="2" t="inlineStr">
        <is>
          <t>Own online store live with 211 products listed; stocked by multi-designer retailer(s): Aza Fashions</t>
        </is>
      </c>
      <c r="X167" s="2" t="inlineStr">
        <is>
          <t>Aza Fashions (stocked designer (designer index))</t>
        </is>
      </c>
      <c r="Y167" s="2" t="inlineStr">
        <is>
          <t>Readiness 82 (top 11% in category) | Commercial: Own online store live with 211 products listed; stocked by multi-designer retailer(s): Az… | Active: 2026-10 — newest product published on own Shopify store (test 2) per… | Independent/emerging tier — fame not a factor</t>
        </is>
      </c>
      <c r="Z167" s="2" t="inlineStr">
        <is>
          <t>Lead with the label's own range and identity. Position as an additional channel next to own store and stockists. No sales or reach promises.</t>
        </is>
      </c>
      <c r="AA167" s="2" t="inlineStr">
        <is>
          <t>Already has own D2C store and established multi-designer stockists</t>
        </is>
      </c>
      <c r="AB167" s="2" t="inlineStr">
        <is>
          <t>Own D2C store/stockists already; "who else is on it?"; commission vs stockist margin</t>
        </is>
      </c>
      <c r="AC167" s="2" t="inlineStr">
        <is>
          <t>E05 channel/segment test (assign at wave start)</t>
        </is>
      </c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</row>
    <row r="168">
      <c r="A168" s="2" t="n">
        <v>167</v>
      </c>
      <c r="B168" s="2" t="inlineStr">
        <is>
          <t>Wave 2 — Category &amp; city expansion</t>
        </is>
      </c>
      <c r="C168" s="2" t="inlineStr">
        <is>
          <t>UPK2-FL-311</t>
        </is>
      </c>
      <c r="D168" s="2" t="inlineStr">
        <is>
          <t>3dm Lifestyle</t>
        </is>
      </c>
      <c r="E168" s="2" t="inlineStr">
        <is>
          <t>Fashion &amp; Lifestyle</t>
        </is>
      </c>
      <c r="F168" s="2" t="inlineStr">
        <is>
          <t>FL-ACCESSORIES</t>
        </is>
      </c>
      <c r="G168" s="2" t="inlineStr">
        <is>
          <t>Brand &amp; Everyday Style</t>
        </is>
      </c>
      <c r="H168" s="2" t="inlineStr">
        <is>
          <t>Designer footwear &amp; accessories</t>
        </is>
      </c>
      <c r="I168" s="2" t="inlineStr">
        <is>
          <t>Delhi NCR</t>
        </is>
      </c>
      <c r="J168" s="2" t="inlineStr">
        <is>
          <t>B — Established Independent</t>
        </is>
      </c>
      <c r="K168" s="2" t="inlineStr">
        <is>
          <t>Label/brand (D2C store)</t>
        </is>
      </c>
      <c r="L168" s="2" t="inlineStr">
        <is>
          <t>P0</t>
        </is>
      </c>
      <c r="M168" s="2" t="inlineStr">
        <is>
          <t>P0</t>
        </is>
      </c>
      <c r="N168" s="2" t="n">
        <v>80.59999999999999</v>
      </c>
      <c r="O168" s="2" t="n">
        <v>80</v>
      </c>
      <c r="P168" s="2" t="n">
        <v>72.59999999999999</v>
      </c>
      <c r="Q168" s="2" t="n">
        <v>81</v>
      </c>
      <c r="R168" s="2" t="n">
        <v>40</v>
      </c>
      <c r="S168" s="2" t="inlineStr">
        <is>
          <t>C1-DIRECT-VERIFIED</t>
        </is>
      </c>
      <c r="T168" s="2" t="inlineStr">
        <is>
          <t>Personal 1:1 email from founder/team to published business email</t>
        </is>
      </c>
      <c r="U168" s="2" t="inlineStr">
        <is>
          <t>https://3dmlifestyle.com/pages/contact-us</t>
        </is>
      </c>
      <c r="V168" s="2" t="inlineStr">
        <is>
          <t>2026-09 — newest product published on own Shopify store (Venetian Loafers - Oxblood and Black Patina Finish) per products.json</t>
        </is>
      </c>
      <c r="W168" s="2" t="inlineStr">
        <is>
          <t>Own online store live with 123 products listed; stocked by multi-designer retailer(s): Aza Fashions</t>
        </is>
      </c>
      <c r="X168" s="2" t="inlineStr">
        <is>
          <t>Aza Fashions (stocked designer (designer index))</t>
        </is>
      </c>
      <c r="Y168" s="2" t="inlineStr">
        <is>
          <t>Readiness 81 (top 21% in category) | Commercial: Own online store live with 123 products listed; stocked by multi-designer retailer(s): Az… | Active: 2026-09 — newest product published on own Shopify store (Venetian Loa… | Independent/emerging tier — fame not a factor</t>
        </is>
      </c>
      <c r="Z168" s="2" t="inlineStr">
        <is>
          <t>Lead with a specific product line. Position as an additional channel under the label's own name.</t>
        </is>
      </c>
      <c r="AA168" s="2" t="inlineStr">
        <is>
          <t>Already has own D2C store and established multi-designer stockists</t>
        </is>
      </c>
      <c r="AB168" s="2" t="inlineStr">
        <is>
          <t>Own D2C store/stockists already; "who else is on it?"; commission vs stockist margin</t>
        </is>
      </c>
      <c r="AC168" s="2" t="inlineStr">
        <is>
          <t>E05 channel/segment test (assign at wave start)</t>
        </is>
      </c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</row>
    <row r="169">
      <c r="A169" s="2" t="n">
        <v>168</v>
      </c>
      <c r="B169" s="2" t="inlineStr">
        <is>
          <t>Wave 2 — Category &amp; city expansion</t>
        </is>
      </c>
      <c r="C169" s="2" t="inlineStr">
        <is>
          <t>UPK2-FL-288</t>
        </is>
      </c>
      <c r="D169" s="2" t="inlineStr">
        <is>
          <t>Chillosophy</t>
        </is>
      </c>
      <c r="E169" s="2" t="inlineStr">
        <is>
          <t>Fashion &amp; Lifestyle</t>
        </is>
      </c>
      <c r="F169" s="2" t="inlineStr">
        <is>
          <t>FL-ACCESSORIES</t>
        </is>
      </c>
      <c r="G169" s="2" t="inlineStr">
        <is>
          <t>Brand &amp; Everyday Style</t>
        </is>
      </c>
      <c r="H169" s="2" t="inlineStr">
        <is>
          <t>Designer footwear &amp; accessories</t>
        </is>
      </c>
      <c r="I169" s="2" t="inlineStr">
        <is>
          <t>Delhi NCR</t>
        </is>
      </c>
      <c r="J169" s="2" t="inlineStr">
        <is>
          <t>B — Established Independent</t>
        </is>
      </c>
      <c r="K169" s="2" t="inlineStr">
        <is>
          <t>Label/brand (D2C store)</t>
        </is>
      </c>
      <c r="L169" s="2" t="inlineStr">
        <is>
          <t>P0</t>
        </is>
      </c>
      <c r="M169" s="2" t="inlineStr">
        <is>
          <t>P0</t>
        </is>
      </c>
      <c r="N169" s="2" t="n">
        <v>80.59999999999999</v>
      </c>
      <c r="O169" s="2" t="n">
        <v>80</v>
      </c>
      <c r="P169" s="2" t="n">
        <v>72.59999999999999</v>
      </c>
      <c r="Q169" s="2" t="n">
        <v>81</v>
      </c>
      <c r="R169" s="2" t="n">
        <v>40</v>
      </c>
      <c r="S169" s="2" t="inlineStr">
        <is>
          <t>C1-DIRECT-VERIFIED</t>
        </is>
      </c>
      <c r="T169" s="2" t="inlineStr">
        <is>
          <t>Personal 1:1 email from founder/team to published business email</t>
        </is>
      </c>
      <c r="U169" s="2" t="inlineStr">
        <is>
          <t>https://chillosophy.in/pages/c09-confetti-lookbook</t>
        </is>
      </c>
      <c r="V169" s="2" t="inlineStr">
        <is>
          <t>2026-07 — newest product published on own Shopify store (JIN) per products.json</t>
        </is>
      </c>
      <c r="W169" s="2" t="inlineStr">
        <is>
          <t>Own online store live with 250+ products listed; stocked by multi-designer retailer(s): Aza Fashions</t>
        </is>
      </c>
      <c r="X169" s="2" t="inlineStr">
        <is>
          <t>Aza Fashions (stocked designer (designer index))</t>
        </is>
      </c>
      <c r="Y169" s="2" t="inlineStr">
        <is>
          <t>Readiness 81 (top 21% in category) | Commercial: Own online store live with 250+ products listed; stocked by multi-designer retailer(s): A… | Active: 2026-07 — newest product published on own Shopify store (JIN) per pro… | Independent/emerging tier — fame not a factor</t>
        </is>
      </c>
      <c r="Z169" s="2" t="inlineStr">
        <is>
          <t>Lead with a specific product line. Position as an additional channel under the label's own name.</t>
        </is>
      </c>
      <c r="AA169" s="2" t="inlineStr">
        <is>
          <t>Already has own D2C store and established multi-designer stockists</t>
        </is>
      </c>
      <c r="AB169" s="2" t="inlineStr">
        <is>
          <t>Own D2C store/stockists already; "who else is on it?"; commission vs stockist margin</t>
        </is>
      </c>
      <c r="AC169" s="2" t="inlineStr">
        <is>
          <t>E05 channel/segment test (assign at wave start)</t>
        </is>
      </c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</row>
    <row r="170">
      <c r="A170" s="2" t="n">
        <v>169</v>
      </c>
      <c r="B170" s="2" t="inlineStr">
        <is>
          <t>Wave 2 — Category &amp; city expansion</t>
        </is>
      </c>
      <c r="C170" s="2" t="inlineStr">
        <is>
          <t>UPK2-FL-289</t>
        </is>
      </c>
      <c r="D170" s="2" t="inlineStr">
        <is>
          <t>Dmodot</t>
        </is>
      </c>
      <c r="E170" s="2" t="inlineStr">
        <is>
          <t>Fashion &amp; Lifestyle</t>
        </is>
      </c>
      <c r="F170" s="2" t="inlineStr">
        <is>
          <t>FL-ACCESSORIES</t>
        </is>
      </c>
      <c r="G170" s="2" t="inlineStr">
        <is>
          <t>Brand &amp; Everyday Style</t>
        </is>
      </c>
      <c r="H170" s="2" t="inlineStr">
        <is>
          <t>Designer footwear &amp; accessories</t>
        </is>
      </c>
      <c r="I170" s="2" t="inlineStr">
        <is>
          <t>Delhi NCR</t>
        </is>
      </c>
      <c r="J170" s="2" t="inlineStr">
        <is>
          <t>B — Established Independent</t>
        </is>
      </c>
      <c r="K170" s="2" t="inlineStr">
        <is>
          <t>Label/brand (D2C store)</t>
        </is>
      </c>
      <c r="L170" s="2" t="inlineStr">
        <is>
          <t>P0</t>
        </is>
      </c>
      <c r="M170" s="2" t="inlineStr">
        <is>
          <t>P0</t>
        </is>
      </c>
      <c r="N170" s="2" t="n">
        <v>80.59999999999999</v>
      </c>
      <c r="O170" s="2" t="n">
        <v>80</v>
      </c>
      <c r="P170" s="2" t="n">
        <v>72.59999999999999</v>
      </c>
      <c r="Q170" s="2" t="n">
        <v>81</v>
      </c>
      <c r="R170" s="2" t="n">
        <v>40</v>
      </c>
      <c r="S170" s="2" t="inlineStr">
        <is>
          <t>C1-DIRECT-VERIFIED</t>
        </is>
      </c>
      <c r="T170" s="2" t="inlineStr">
        <is>
          <t>Personal 1:1 email from founder/team to published business email</t>
        </is>
      </c>
      <c r="U170" s="2" t="inlineStr">
        <is>
          <t>https://www.dmodot.com/pages/contact-us</t>
        </is>
      </c>
      <c r="V170" s="2" t="inlineStr">
        <is>
          <t>2026-09 — newest product published on own Shopify store (Scarpo Marrone | Tan full-grain leather sneakers) per products.json</t>
        </is>
      </c>
      <c r="W170" s="2" t="inlineStr">
        <is>
          <t>Own online store live with 250+ products listed; stocked by multi-designer retailer(s): Aza Fashions</t>
        </is>
      </c>
      <c r="X170" s="2" t="inlineStr">
        <is>
          <t>Aza Fashions (stocked designer (designer index))</t>
        </is>
      </c>
      <c r="Y170" s="2" t="inlineStr">
        <is>
          <t>Readiness 81 (top 21% in category) | Commercial: Own online store live with 250+ products listed; stocked by multi-designer retailer(s): A… | Active: 2026-09 — newest product published on own Shopify store (Scarpo Marro… | Independent/emerging tier — fame not a factor</t>
        </is>
      </c>
      <c r="Z170" s="2" t="inlineStr">
        <is>
          <t>Lead with a specific product line. Position as an additional channel under the label's own name.</t>
        </is>
      </c>
      <c r="AA170" s="2" t="inlineStr">
        <is>
          <t>Already has own D2C store and established multi-designer stockists</t>
        </is>
      </c>
      <c r="AB170" s="2" t="inlineStr">
        <is>
          <t>Own D2C store/stockists already; "who else is on it?"; commission vs stockist margin</t>
        </is>
      </c>
      <c r="AC170" s="2" t="inlineStr">
        <is>
          <t>E05 channel/segment test (assign at wave start)</t>
        </is>
      </c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</row>
    <row r="171">
      <c r="A171" s="2" t="n">
        <v>170</v>
      </c>
      <c r="B171" s="2" t="inlineStr">
        <is>
          <t>Wave 2 — Category &amp; city expansion</t>
        </is>
      </c>
      <c r="C171" s="2" t="inlineStr">
        <is>
          <t>UPK2-FL-357</t>
        </is>
      </c>
      <c r="D171" s="2" t="inlineStr">
        <is>
          <t>Quirky Tales</t>
        </is>
      </c>
      <c r="E171" s="2" t="inlineStr">
        <is>
          <t>Fashion &amp; Lifestyle</t>
        </is>
      </c>
      <c r="F171" s="2" t="inlineStr">
        <is>
          <t>FL-ACCESSORIES</t>
        </is>
      </c>
      <c r="G171" s="2" t="inlineStr">
        <is>
          <t>Brand &amp; Everyday Style</t>
        </is>
      </c>
      <c r="H171" s="2" t="inlineStr">
        <is>
          <t>Designer bags &amp; accessories</t>
        </is>
      </c>
      <c r="I171" s="2" t="inlineStr">
        <is>
          <t>Mumbai</t>
        </is>
      </c>
      <c r="J171" s="2" t="inlineStr">
        <is>
          <t>B — Established Independent</t>
        </is>
      </c>
      <c r="K171" s="2" t="inlineStr">
        <is>
          <t>Label/brand (D2C store)</t>
        </is>
      </c>
      <c r="L171" s="2" t="inlineStr">
        <is>
          <t>P0</t>
        </is>
      </c>
      <c r="M171" s="2" t="inlineStr">
        <is>
          <t>P0</t>
        </is>
      </c>
      <c r="N171" s="2" t="n">
        <v>79.59999999999999</v>
      </c>
      <c r="O171" s="2" t="n">
        <v>72</v>
      </c>
      <c r="P171" s="2" t="n">
        <v>72.09999999999999</v>
      </c>
      <c r="Q171" s="2" t="n">
        <v>81</v>
      </c>
      <c r="R171" s="2" t="n">
        <v>40</v>
      </c>
      <c r="S171" s="2" t="inlineStr">
        <is>
          <t>C1-DIRECT-VERIFIED</t>
        </is>
      </c>
      <c r="T171" s="2" t="inlineStr">
        <is>
          <t>Personal 1:1 email from founder/team to published business email</t>
        </is>
      </c>
      <c r="U171" s="2" t="inlineStr">
        <is>
          <t>https://quirkytales.in/pages/contact-us</t>
        </is>
      </c>
      <c r="V171" s="2" t="inlineStr">
        <is>
          <t>2026-09 — newest product published on own Shopify store (Offwhite Lotus Pita work handbag) per products.json</t>
        </is>
      </c>
      <c r="W171" s="2" t="inlineStr">
        <is>
          <t>Own online store live with 102 products listed; stocked by multi-designer retailer(s): Aza Fashions</t>
        </is>
      </c>
      <c r="X171" s="2" t="inlineStr">
        <is>
          <t>Aza Fashions (stocked designer (designer index))</t>
        </is>
      </c>
      <c r="Y171" s="2" t="inlineStr">
        <is>
          <t>Readiness 80 (top 29% in category) | Commercial: Own online store live with 102 products listed; stocked by multi-designer retailer(s): Az… | Active: 2026-09 — newest product published on own Shopify store (Offwhite Lot… | Independent/emerging tier — fame not a factor</t>
        </is>
      </c>
      <c r="Z171" s="2" t="inlineStr">
        <is>
          <t>Lead with a specific product line. Position as an additional channel under the label's own name.</t>
        </is>
      </c>
      <c r="AA171" s="2" t="inlineStr">
        <is>
          <t>Already has own D2C store and established multi-designer stockists</t>
        </is>
      </c>
      <c r="AB171" s="2" t="inlineStr">
        <is>
          <t>Own D2C store/stockists already; "who else is on it?"; commission vs stockist margin</t>
        </is>
      </c>
      <c r="AC171" s="2" t="inlineStr">
        <is>
          <t>E05 channel/segment test (assign at wave start)</t>
        </is>
      </c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</row>
    <row r="172">
      <c r="A172" s="2" t="n">
        <v>171</v>
      </c>
      <c r="B172" s="2" t="inlineStr">
        <is>
          <t>Wave 2 — Category &amp; city expansion</t>
        </is>
      </c>
      <c r="C172" s="2" t="inlineStr">
        <is>
          <t>UPK2-FL-407</t>
        </is>
      </c>
      <c r="D172" s="2" t="inlineStr">
        <is>
          <t>Hilo Design</t>
        </is>
      </c>
      <c r="E172" s="2" t="inlineStr">
        <is>
          <t>Fashion &amp; Lifestyle</t>
        </is>
      </c>
      <c r="F172" s="2" t="inlineStr">
        <is>
          <t>FL-MENSWEAR</t>
        </is>
      </c>
      <c r="G172" s="2" t="inlineStr">
        <is>
          <t>Wedding &amp; Occasion</t>
        </is>
      </c>
      <c r="H172" s="2" t="inlineStr">
        <is>
          <t>Menswear / groomswear</t>
        </is>
      </c>
      <c r="I172" s="2" t="inlineStr">
        <is>
          <t>Hyderabad</t>
        </is>
      </c>
      <c r="J172" s="2" t="inlineStr">
        <is>
          <t>B — Established Independent</t>
        </is>
      </c>
      <c r="K172" s="2" t="inlineStr">
        <is>
          <t>Label/brand (D2C store)</t>
        </is>
      </c>
      <c r="L172" s="2" t="inlineStr">
        <is>
          <t>P0</t>
        </is>
      </c>
      <c r="M172" s="2" t="inlineStr">
        <is>
          <t>P0</t>
        </is>
      </c>
      <c r="N172" s="2" t="n">
        <v>79.59999999999999</v>
      </c>
      <c r="O172" s="2" t="n">
        <v>72</v>
      </c>
      <c r="P172" s="2" t="n">
        <v>72.09999999999999</v>
      </c>
      <c r="Q172" s="2" t="n">
        <v>81</v>
      </c>
      <c r="R172" s="2" t="n">
        <v>40</v>
      </c>
      <c r="S172" s="2" t="inlineStr">
        <is>
          <t>C1-DIRECT-VERIFIED</t>
        </is>
      </c>
      <c r="T172" s="2" t="inlineStr">
        <is>
          <t>Personal 1:1 email from founder/team to published business email</t>
        </is>
      </c>
      <c r="U172" s="2" t="inlineStr">
        <is>
          <t>https://hilodesign.co/pages/contact-us</t>
        </is>
      </c>
      <c r="V172" s="2" t="inlineStr">
        <is>
          <t>2026-09 — newest product published on own Shopify store (Rubens — Burgundy Full Belt 4-Way Stretch Trouser) per products.json</t>
        </is>
      </c>
      <c r="W172" s="2" t="inlineStr">
        <is>
          <t>Own online store live with 250+ products listed; stocked by multi-designer retailer(s): Aza Fashions</t>
        </is>
      </c>
      <c r="X172" s="2" t="inlineStr">
        <is>
          <t>Aza Fashions (stocked designer (designer index))</t>
        </is>
      </c>
      <c r="Y172" s="2" t="inlineStr">
        <is>
          <t>Readiness 80 (top 29% in category) | Commercial: Own online store live with 250+ products listed; stocked by multi-designer retailer(s): A… | Active: 2026-09 — newest product published on own Shopify store (Rubens — Bur… | Independent/emerging tier — fame not a factor</t>
        </is>
      </c>
      <c r="Z172" s="2" t="inlineStr">
        <is>
          <t>Lead with groomswear/menswear craft; link to the Wedding &amp; Occasion founding pod in their city.</t>
        </is>
      </c>
      <c r="AA172" s="2" t="inlineStr">
        <is>
          <t>Already has own D2C store and established multi-designer stockists</t>
        </is>
      </c>
      <c r="AB172" s="2" t="inlineStr">
        <is>
          <t>Own D2C store/stockists already; "who else is on it?"; commission vs stockist margin</t>
        </is>
      </c>
      <c r="AC172" s="2" t="inlineStr">
        <is>
          <t>E05 channel/segment test (assign at wave start)</t>
        </is>
      </c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</row>
    <row r="173">
      <c r="A173" s="2" t="n">
        <v>172</v>
      </c>
      <c r="B173" s="2" t="inlineStr">
        <is>
          <t>Wave 2 — Category &amp; city expansion</t>
        </is>
      </c>
      <c r="C173" s="2" t="inlineStr">
        <is>
          <t>UPK2-FL-464</t>
        </is>
      </c>
      <c r="D173" s="2" t="inlineStr">
        <is>
          <t>Mishru</t>
        </is>
      </c>
      <c r="E173" s="2" t="inlineStr">
        <is>
          <t>Fashion &amp; Lifestyle</t>
        </is>
      </c>
      <c r="F173" s="2" t="inlineStr">
        <is>
          <t>FL-MENSWEAR</t>
        </is>
      </c>
      <c r="G173" s="2" t="inlineStr">
        <is>
          <t>Wedding &amp; Occasion</t>
        </is>
      </c>
      <c r="H173" s="2" t="inlineStr">
        <is>
          <t>Bridal &amp; womenswear designer label</t>
        </is>
      </c>
      <c r="I173" s="2" t="inlineStr">
        <is>
          <t>Hyderabad</t>
        </is>
      </c>
      <c r="J173" s="2" t="inlineStr">
        <is>
          <t>C — Strong Mid-tier</t>
        </is>
      </c>
      <c r="K173" s="2" t="inlineStr">
        <is>
          <t>Established label</t>
        </is>
      </c>
      <c r="L173" s="2" t="inlineStr">
        <is>
          <t>P0</t>
        </is>
      </c>
      <c r="M173" s="2" t="inlineStr">
        <is>
          <t>P1</t>
        </is>
      </c>
      <c r="N173" s="2" t="n">
        <v>78.7</v>
      </c>
      <c r="O173" s="2" t="n">
        <v>58</v>
      </c>
      <c r="P173" s="2" t="n">
        <v>73.40000000000001</v>
      </c>
      <c r="Q173" s="2" t="n">
        <v>80</v>
      </c>
      <c r="R173" s="2" t="n">
        <v>50</v>
      </c>
      <c r="S173" s="2" t="inlineStr">
        <is>
          <t>C1-DIRECT-VERIFIED</t>
        </is>
      </c>
      <c r="T173" s="2" t="inlineStr">
        <is>
          <t>Personal 1:1 email from founder/team to published business email</t>
        </is>
      </c>
      <c r="U173" s="2" t="inlineStr">
        <is>
          <t>https://www.mishru.com/</t>
        </is>
      </c>
      <c r="V173" s="2" t="inlineStr">
        <is>
          <t>2026-05 — latest WedMeGood review update (https://www.wedmegood.com/profile/Mishru-Clothing-21648)</t>
        </is>
      </c>
      <c r="W173" s="2" t="inlineStr">
        <is>
          <t>WedMeGood vendor listing with 10 reviews (rating 5); listed as: Couture Brand</t>
        </is>
      </c>
      <c r="X173" s="2" t="inlineStr">
        <is>
          <t>WedMeGood (vendor listing)</t>
        </is>
      </c>
      <c r="Y173" s="2" t="inlineStr">
        <is>
          <t>Readiness 79 (top 43% in category) | Commercial: WedMeGood vendor listing with 10 reviews (rating 5); listed as: Couture Brand | Active: 2026-05 — latest WedMeGood review update (https://www.wedmegood.com/p…</t>
        </is>
      </c>
      <c r="Z173" s="2" t="inlineStr">
        <is>
          <t>Lead with groomswear/menswear craft; link to the Wedding &amp; Occasion founding pod in their city.</t>
        </is>
      </c>
      <c r="AA173" s="2" t="inlineStr">
        <is>
          <t>Already gets enquiries via own site/Instagram and wedding marketplaces.</t>
        </is>
      </c>
      <c r="AB173" s="2" t="inlineStr">
        <is>
          <t>Own D2C store/stockists already; "who else is on it?"; commission vs stockist margin</t>
        </is>
      </c>
      <c r="AC173" s="2" t="inlineStr">
        <is>
          <t>E05 channel/segment test (assign at wave start)</t>
        </is>
      </c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</row>
    <row r="174">
      <c r="A174" s="2" t="n">
        <v>173</v>
      </c>
      <c r="B174" s="2" t="inlineStr">
        <is>
          <t>Wave 2 — Category &amp; city expansion</t>
        </is>
      </c>
      <c r="C174" s="2" t="inlineStr">
        <is>
          <t>UPK2-FL-387</t>
        </is>
      </c>
      <c r="D174" s="2" t="inlineStr">
        <is>
          <t>Sulakshana Monga</t>
        </is>
      </c>
      <c r="E174" s="2" t="inlineStr">
        <is>
          <t>Fashion &amp; Lifestyle</t>
        </is>
      </c>
      <c r="F174" s="2" t="inlineStr">
        <is>
          <t>FL-MENSWEAR</t>
        </is>
      </c>
      <c r="G174" s="2" t="inlineStr">
        <is>
          <t>Wedding &amp; Occasion</t>
        </is>
      </c>
      <c r="H174" s="2" t="inlineStr">
        <is>
          <t>Bridal &amp; groom wear designer</t>
        </is>
      </c>
      <c r="I174" s="2" t="inlineStr">
        <is>
          <t>Delhi NCR</t>
        </is>
      </c>
      <c r="J174" s="2" t="inlineStr">
        <is>
          <t>C — Strong Mid-tier</t>
        </is>
      </c>
      <c r="K174" s="2" t="inlineStr">
        <is>
          <t>Established label</t>
        </is>
      </c>
      <c r="L174" s="2" t="inlineStr">
        <is>
          <t>P0</t>
        </is>
      </c>
      <c r="M174" s="2" t="inlineStr">
        <is>
          <t>P1</t>
        </is>
      </c>
      <c r="N174" s="2" t="n">
        <v>78.7</v>
      </c>
      <c r="O174" s="2" t="n">
        <v>58</v>
      </c>
      <c r="P174" s="2" t="n">
        <v>73.40000000000001</v>
      </c>
      <c r="Q174" s="2" t="n">
        <v>80</v>
      </c>
      <c r="R174" s="2" t="n">
        <v>50</v>
      </c>
      <c r="S174" s="2" t="inlineStr">
        <is>
          <t>C1-DIRECT-VERIFIED</t>
        </is>
      </c>
      <c r="T174" s="2" t="inlineStr">
        <is>
          <t>Personal 1:1 email from founder/team to published business email</t>
        </is>
      </c>
      <c r="U174" s="2" t="inlineStr">
        <is>
          <t>https://sulakshanamonga.com/pages/book-appointment</t>
        </is>
      </c>
      <c r="V174" s="2" t="inlineStr">
        <is>
          <t>2026-05 — latest WedMeGood review update (https://www.wedmegood.com/profile/Sulakshana-Monga-21642)</t>
        </is>
      </c>
      <c r="W174" s="2" t="inlineStr">
        <is>
          <t>WedMeGood vendor listing with 43 reviews (rating 4.8); listed as: Couture Brand</t>
        </is>
      </c>
      <c r="X174" s="2" t="inlineStr">
        <is>
          <t>WedMeGood (vendor listing)</t>
        </is>
      </c>
      <c r="Y174" s="2" t="inlineStr">
        <is>
          <t>Readiness 79 (top 43% in category) | Commercial: WedMeGood vendor listing with 43 reviews (rating 4.8); listed as: Couture Brand | Active: 2026-05 — latest WedMeGood review update (https://www.wedmegood.com/p…</t>
        </is>
      </c>
      <c r="Z174" s="2" t="inlineStr">
        <is>
          <t>Lead with groomswear/menswear craft; link to the Wedding &amp; Occasion founding pod in their city.</t>
        </is>
      </c>
      <c r="AA174" s="2" t="inlineStr">
        <is>
          <t>Already gets enquiries via own site/Instagram and wedding marketplaces.</t>
        </is>
      </c>
      <c r="AB174" s="2" t="inlineStr">
        <is>
          <t>Own D2C store/stockists already; "who else is on it?"; commission vs stockist margin</t>
        </is>
      </c>
      <c r="AC174" s="2" t="inlineStr">
        <is>
          <t>E05 channel/segment test (assign at wave start)</t>
        </is>
      </c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</row>
    <row r="175">
      <c r="A175" s="2" t="n">
        <v>174</v>
      </c>
      <c r="B175" s="2" t="inlineStr">
        <is>
          <t>Wave 2 — Category &amp; city expansion</t>
        </is>
      </c>
      <c r="C175" s="2" t="inlineStr">
        <is>
          <t>UPK2-FL-242</t>
        </is>
      </c>
      <c r="D175" s="2" t="inlineStr">
        <is>
          <t>Sarab Khanijou</t>
        </is>
      </c>
      <c r="E175" s="2" t="inlineStr">
        <is>
          <t>Fashion &amp; Lifestyle</t>
        </is>
      </c>
      <c r="F175" s="2" t="inlineStr">
        <is>
          <t>FL-MENSWEAR</t>
        </is>
      </c>
      <c r="G175" s="2" t="inlineStr">
        <is>
          <t>Wedding &amp; Occasion</t>
        </is>
      </c>
      <c r="H175" s="2" t="inlineStr">
        <is>
          <t>Menswear / groomswear</t>
        </is>
      </c>
      <c r="I175" s="2" t="inlineStr">
        <is>
          <t>Delhi NCR</t>
        </is>
      </c>
      <c r="J175" s="2" t="inlineStr">
        <is>
          <t>B — Established Independent</t>
        </is>
      </c>
      <c r="K175" s="2" t="inlineStr">
        <is>
          <t>Label/brand (D2C store)</t>
        </is>
      </c>
      <c r="L175" s="2" t="inlineStr">
        <is>
          <t>P0</t>
        </is>
      </c>
      <c r="M175" s="2" t="inlineStr">
        <is>
          <t>P0</t>
        </is>
      </c>
      <c r="N175" s="2" t="n">
        <v>81.59999999999999</v>
      </c>
      <c r="O175" s="2" t="n">
        <v>90</v>
      </c>
      <c r="P175" s="2" t="n">
        <v>73.09999999999999</v>
      </c>
      <c r="Q175" s="2" t="n">
        <v>81</v>
      </c>
      <c r="R175" s="2" t="n">
        <v>40</v>
      </c>
      <c r="S175" s="2" t="inlineStr">
        <is>
          <t>C1-DIRECT-VERIFIED</t>
        </is>
      </c>
      <c r="T175" s="2" t="inlineStr">
        <is>
          <t>Personal 1:1 email from founder/team to published business email</t>
        </is>
      </c>
      <c r="U175" s="2" t="inlineStr">
        <is>
          <t>https://sarabkhanijou.com/pages/contact</t>
        </is>
      </c>
      <c r="V175" s="2" t="inlineStr">
        <is>
          <t>2026-05 — newest product published on own Shopify store (Ivory Gulmohar Bloom Waistcoat Set) per products.json</t>
        </is>
      </c>
      <c r="W175" s="2" t="inlineStr">
        <is>
          <t>Own online store live with 250+ products listed; stocked by multi-designer retailer(s): Aza Fashions</t>
        </is>
      </c>
      <c r="X175" s="2" t="inlineStr">
        <is>
          <t>Aza Fashions (stocked designer (designer index))</t>
        </is>
      </c>
      <c r="Y175" s="2" t="inlineStr">
        <is>
          <t>Readiness 82 (top 11% in category) | Commercial: Own online store live with 250+ products listed; stocked by multi-designer retailer(s): A… | Active: 2026-05 — newest product published on own Shopify store (Ivory Gulmoh… | Independent/emerging tier — fame not a factor</t>
        </is>
      </c>
      <c r="Z175" s="2" t="inlineStr">
        <is>
          <t>Lead with groomswear/menswear craft; link to the Wedding &amp; Occasion founding pod in their city.</t>
        </is>
      </c>
      <c r="AA175" s="2" t="inlineStr">
        <is>
          <t>Already has own D2C store and established multi-designer stockists</t>
        </is>
      </c>
      <c r="AB175" s="2" t="inlineStr">
        <is>
          <t>Own D2C store/stockists already; "who else is on it?"; commission vs stockist margin</t>
        </is>
      </c>
      <c r="AC175" s="2" t="inlineStr">
        <is>
          <t>E05 channel/segment test (assign at wave start)</t>
        </is>
      </c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</row>
    <row r="176">
      <c r="A176" s="2" t="n">
        <v>175</v>
      </c>
      <c r="B176" s="2" t="inlineStr">
        <is>
          <t>Wave 2 — Category &amp; city expansion</t>
        </is>
      </c>
      <c r="C176" s="2" t="inlineStr">
        <is>
          <t>UPK2-FL-521</t>
        </is>
      </c>
      <c r="D176" s="2" t="inlineStr">
        <is>
          <t>Contrast By Parth</t>
        </is>
      </c>
      <c r="E176" s="2" t="inlineStr">
        <is>
          <t>Fashion &amp; Lifestyle</t>
        </is>
      </c>
      <c r="F176" s="2" t="inlineStr">
        <is>
          <t>FL-MENSWEAR</t>
        </is>
      </c>
      <c r="G176" s="2" t="inlineStr">
        <is>
          <t>Wedding &amp; Occasion</t>
        </is>
      </c>
      <c r="H176" s="2" t="inlineStr">
        <is>
          <t>Menswear / groomswear</t>
        </is>
      </c>
      <c r="I176" s="2" t="inlineStr">
        <is>
          <t>Delhi NCR</t>
        </is>
      </c>
      <c r="J176" s="2" t="inlineStr">
        <is>
          <t>B — Established Independent</t>
        </is>
      </c>
      <c r="K176" s="2" t="inlineStr">
        <is>
          <t>Label/brand (D2C store)</t>
        </is>
      </c>
      <c r="L176" s="2" t="inlineStr">
        <is>
          <t>P0</t>
        </is>
      </c>
      <c r="M176" s="2" t="inlineStr">
        <is>
          <t>P0</t>
        </is>
      </c>
      <c r="N176" s="2" t="n">
        <v>81.59999999999999</v>
      </c>
      <c r="O176" s="2" t="n">
        <v>90</v>
      </c>
      <c r="P176" s="2" t="n">
        <v>70.7</v>
      </c>
      <c r="Q176" s="2" t="n">
        <v>73</v>
      </c>
      <c r="R176" s="2" t="n">
        <v>40</v>
      </c>
      <c r="S176" s="2" t="inlineStr">
        <is>
          <t>C1-DIRECT-VERIFIED</t>
        </is>
      </c>
      <c r="T176" s="2" t="inlineStr">
        <is>
          <t>1:1 message via own-website contact form</t>
        </is>
      </c>
      <c r="U176" s="2" t="inlineStr">
        <is>
          <t>https://www.contrastbyparth.com/pages/book-an-appointment</t>
        </is>
      </c>
      <c r="V176" s="2" t="inlineStr">
        <is>
          <t>2026-08 — newest product published on own Shopify store (Suraiya Kurta Set) per products.json</t>
        </is>
      </c>
      <c r="W176" s="2" t="inlineStr">
        <is>
          <t>Own online store live with 250+ products listed; stocked by multi-designer retailer(s): Aza Fashions</t>
        </is>
      </c>
      <c r="X176" s="2" t="inlineStr">
        <is>
          <t>Aza Fashions (stocked designer (designer index))</t>
        </is>
      </c>
      <c r="Y176" s="2" t="inlineStr">
        <is>
          <t>Readiness 82 (top 11% in category) | Commercial: Own online store live with 250+ products listed; stocked by multi-designer retailer(s): A… | Active: 2026-08 — newest product published on own Shopify store (Suraiya Kurt… | Independent/emerging tier — fame not a factor</t>
        </is>
      </c>
      <c r="Z176" s="2" t="inlineStr">
        <is>
          <t>Lead with groomswear/menswear craft; link to the Wedding &amp; Occasion founding pod in their city.</t>
        </is>
      </c>
      <c r="AA176" s="2" t="inlineStr">
        <is>
          <t>Already has own D2C store and established multi-designer stockists</t>
        </is>
      </c>
      <c r="AB176" s="2" t="inlineStr">
        <is>
          <t>Own D2C store/stockists already; "who else is on it?"; commission vs stockist margin</t>
        </is>
      </c>
      <c r="AC176" s="2" t="inlineStr">
        <is>
          <t>E05 channel/segment test (assign at wave start)</t>
        </is>
      </c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</row>
    <row r="177">
      <c r="A177" s="2" t="n">
        <v>176</v>
      </c>
      <c r="B177" s="2" t="inlineStr">
        <is>
          <t>Wave 2 — Category &amp; city expansion</t>
        </is>
      </c>
      <c r="C177" s="2" t="inlineStr">
        <is>
          <t>UPK2-SD-023</t>
        </is>
      </c>
      <c r="D177" s="2" t="inlineStr">
        <is>
          <t>Loop Design Studio</t>
        </is>
      </c>
      <c r="E177" s="2" t="inlineStr">
        <is>
          <t>Space &amp; Design</t>
        </is>
      </c>
      <c r="F177" s="2" t="inlineStr">
        <is>
          <t>SD-ARCHITECTURE</t>
        </is>
      </c>
      <c r="G177" s="2" t="inlineStr">
        <is>
          <t>Home &amp; Space</t>
        </is>
      </c>
      <c r="H177" s="2" t="inlineStr">
        <is>
          <t>Architecture &amp; interiors</t>
        </is>
      </c>
      <c r="I177" s="2" t="inlineStr">
        <is>
          <t>Chandigarh</t>
        </is>
      </c>
      <c r="J177" s="2" t="inlineStr">
        <is>
          <t>C — Strong Mid-tier</t>
        </is>
      </c>
      <c r="K177" s="2" t="inlineStr">
        <is>
          <t>Design studio/practice</t>
        </is>
      </c>
      <c r="L177" s="2" t="inlineStr">
        <is>
          <t>P0</t>
        </is>
      </c>
      <c r="M177" s="2" t="inlineStr">
        <is>
          <t>P1</t>
        </is>
      </c>
      <c r="N177" s="2" t="n">
        <v>75.5</v>
      </c>
      <c r="O177" s="2" t="n">
        <v>99</v>
      </c>
      <c r="P177" s="2" t="n">
        <v>70.40000000000001</v>
      </c>
      <c r="Q177" s="2" t="n">
        <v>79</v>
      </c>
      <c r="R177" s="2" t="n">
        <v>45</v>
      </c>
      <c r="S177" s="2" t="inlineStr">
        <is>
          <t>C1-DIRECT-VERIFIED</t>
        </is>
      </c>
      <c r="T177" s="2" t="inlineStr">
        <is>
          <t>Personal 1:1 email from founder/team to published business email</t>
        </is>
      </c>
      <c r="U177" s="2" t="inlineStr">
        <is>
          <t>https://www.loopdesignstudio.in/contact</t>
        </is>
      </c>
      <c r="V177" s="2" t="inlineStr">
        <is>
          <t>2026-09 — TAD50 Edition 2</t>
        </is>
      </c>
      <c r="W177" s="2" t="inlineStr">
        <is>
          <t>Founded 2017; TAD50 2025 &amp; 2026; Malleshwaram courtyard restaurant</t>
        </is>
      </c>
      <c r="X177" s="2" t="inlineStr">
        <is>
          <t>The Architects Diary (Editorial feature/list); The Architects Diary (Editorial feature/list)</t>
        </is>
      </c>
      <c r="Y177" s="2" t="inlineStr">
        <is>
          <t>Readiness 76 (top 2% in category) | Commercial: Founded 2017; TAD50 2025 &amp; 2026; Malleshwaram courtyard restaurant | Active: 2026-09 — TAD50 Edition 2</t>
        </is>
      </c>
      <c r="Z177" s="2" t="inlineStr">
        <is>
          <t>Lead with a specific built project. Present Uepaki as a professional home for the practice's services and project work under its own name. No lead promises.</t>
        </is>
      </c>
      <c r="AA177" s="2" t="inlineStr">
        <is>
          <t>Established practice with steady referral/press pipeline; may see limited need for another channel</t>
        </is>
      </c>
      <c r="AB177" s="2" t="inlineStr">
        <is>
          <t>Work comes via referrals; project-based work fit; profile upkeep effort</t>
        </is>
      </c>
      <c r="AC177" s="2" t="inlineStr">
        <is>
          <t>E05 channel/segment test (assign at wave start)</t>
        </is>
      </c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</row>
    <row r="178">
      <c r="A178" s="2" t="n">
        <v>177</v>
      </c>
      <c r="B178" s="2" t="inlineStr">
        <is>
          <t>Wave 2 — Category &amp; city expansion</t>
        </is>
      </c>
      <c r="C178" s="2" t="inlineStr">
        <is>
          <t>UPK2-SD-277</t>
        </is>
      </c>
      <c r="D178" s="2" t="inlineStr">
        <is>
          <t>Milaaya Interiors</t>
        </is>
      </c>
      <c r="E178" s="2" t="inlineStr">
        <is>
          <t>Space &amp; Design</t>
        </is>
      </c>
      <c r="F178" s="2" t="inlineStr">
        <is>
          <t>SD-PRODUCT-MAKER</t>
        </is>
      </c>
      <c r="G178" s="2" t="inlineStr">
        <is>
          <t>Home &amp; Space</t>
        </is>
      </c>
      <c r="H178" s="2" t="inlineStr">
        <is>
          <t>Embroidered wallcoverings &amp; textile surfaces for interiors</t>
        </is>
      </c>
      <c r="I178" s="2" t="inlineStr">
        <is>
          <t>Mumbai</t>
        </is>
      </c>
      <c r="J178" s="2" t="inlineStr">
        <is>
          <t>B — Established Independent</t>
        </is>
      </c>
      <c r="K178" s="2" t="inlineStr">
        <is>
          <t>Interior textile studio</t>
        </is>
      </c>
      <c r="L178" s="2" t="inlineStr">
        <is>
          <t>P0</t>
        </is>
      </c>
      <c r="M178" s="2" t="inlineStr">
        <is>
          <t>P1</t>
        </is>
      </c>
      <c r="N178" s="2" t="n">
        <v>75.2</v>
      </c>
      <c r="O178" s="2" t="n">
        <v>97</v>
      </c>
      <c r="P178" s="2" t="n">
        <v>70.3</v>
      </c>
      <c r="Q178" s="2" t="n">
        <v>79</v>
      </c>
      <c r="R178" s="2" t="n">
        <v>45</v>
      </c>
      <c r="S178" s="2" t="inlineStr">
        <is>
          <t>C1-DIRECT-VERIFIED</t>
        </is>
      </c>
      <c r="T178" s="2" t="inlineStr">
        <is>
          <t>Personal 1:1 email from founder/team to published business email</t>
        </is>
      </c>
      <c r="U178" s="2" t="inlineStr">
        <is>
          <t>https://milaayainteriors.com/contact/form/</t>
        </is>
      </c>
      <c r="V178" s="2" t="inlineStr">
        <is>
          <t>2026-10 — listed as exhibitor at India Design ID Mumbai 2026 (indiadesignid.com)</t>
        </is>
      </c>
      <c r="W178" s="2" t="inlineStr">
        <is>
          <t>Exhibitor at India Design ID (2025, 2026)</t>
        </is>
      </c>
      <c r="X178" s="2" t="inlineStr">
        <is>
          <t>India Design ID (exhibitor)</t>
        </is>
      </c>
      <c r="Y178" s="2" t="inlineStr">
        <is>
          <t>Readiness 75 (top 4% in category) | Commercial: Exhibitor at India Design ID (2025, 2026) | Active: 2026-10 — listed as exhibitor at India Design ID Mumbai 2026 (indiade… | Independent/emerging tier — fame not a factor</t>
        </is>
      </c>
      <c r="Z178" s="2" t="inlineStr">
        <is>
          <t>Lead with a specific piece. Products and commissions under the maker's own name; link to studios in the Home &amp; Space pod.</t>
        </is>
      </c>
      <c r="AA178" s="2" t="inlineStr">
        <is>
          <t>Already sells via own site/showroom and trade fairs.</t>
        </is>
      </c>
      <c r="AB178" s="2" t="inlineStr">
        <is>
          <t>Work comes via referrals; project-based work fit; profile upkeep effort</t>
        </is>
      </c>
      <c r="AC178" s="2" t="inlineStr">
        <is>
          <t>E05 channel/segment test (assign at wave start)</t>
        </is>
      </c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</row>
    <row r="179">
      <c r="A179" s="2" t="n">
        <v>178</v>
      </c>
      <c r="B179" s="2" t="inlineStr">
        <is>
          <t>Wave 2 — Category &amp; city expansion</t>
        </is>
      </c>
      <c r="C179" s="2" t="inlineStr">
        <is>
          <t>UPK2-SD-281</t>
        </is>
      </c>
      <c r="D179" s="2" t="inlineStr">
        <is>
          <t>Mohh</t>
        </is>
      </c>
      <c r="E179" s="2" t="inlineStr">
        <is>
          <t>Space &amp; Design</t>
        </is>
      </c>
      <c r="F179" s="2" t="inlineStr">
        <is>
          <t>SD-PRODUCT-MAKER</t>
        </is>
      </c>
      <c r="G179" s="2" t="inlineStr">
        <is>
          <t>Home &amp; Space</t>
        </is>
      </c>
      <c r="H179" s="2" t="inlineStr">
        <is>
          <t>Designer furniture (residential, hospitality, aviation)</t>
        </is>
      </c>
      <c r="I179" s="2" t="inlineStr">
        <is>
          <t>Delhi NCR</t>
        </is>
      </c>
      <c r="J179" s="2" t="inlineStr">
        <is>
          <t>B — Established Independent</t>
        </is>
      </c>
      <c r="K179" s="2" t="inlineStr">
        <is>
          <t>Furniture brand</t>
        </is>
      </c>
      <c r="L179" s="2" t="inlineStr">
        <is>
          <t>P0</t>
        </is>
      </c>
      <c r="M179" s="2" t="inlineStr">
        <is>
          <t>P1</t>
        </is>
      </c>
      <c r="N179" s="2" t="n">
        <v>75.2</v>
      </c>
      <c r="O179" s="2" t="n">
        <v>97</v>
      </c>
      <c r="P179" s="2" t="n">
        <v>70.3</v>
      </c>
      <c r="Q179" s="2" t="n">
        <v>79</v>
      </c>
      <c r="R179" s="2" t="n">
        <v>45</v>
      </c>
      <c r="S179" s="2" t="inlineStr">
        <is>
          <t>C1-DIRECT-VERIFIED</t>
        </is>
      </c>
      <c r="T179" s="2" t="inlineStr">
        <is>
          <t>Personal 1:1 email from founder/team to published business email</t>
        </is>
      </c>
      <c r="U179" s="2" t="inlineStr">
        <is>
          <t>https://mohh.com/pages/contact</t>
        </is>
      </c>
      <c r="V179" s="2" t="inlineStr">
        <is>
          <t>2026-10 — listed as exhibitor at India Design ID Mumbai 2026 (indiadesignid.com)</t>
        </is>
      </c>
      <c r="W179" s="2" t="inlineStr">
        <is>
          <t>Exhibitor at India Design ID (2023, 2024, 2026)</t>
        </is>
      </c>
      <c r="X179" s="2" t="inlineStr">
        <is>
          <t>India Design ID (exhibitor)</t>
        </is>
      </c>
      <c r="Y179" s="2" t="inlineStr">
        <is>
          <t>Readiness 75 (top 4% in category) | Commercial: Exhibitor at India Design ID (2023, 2024, 2026) | Active: 2026-10 — listed as exhibitor at India Design ID Mumbai 2026 (indiade… | Independent/emerging tier — fame not a factor</t>
        </is>
      </c>
      <c r="Z179" s="2" t="inlineStr">
        <is>
          <t>Lead with a specific piece. Products and commissions under the maker's own name; link to studios in the Home &amp; Space pod.</t>
        </is>
      </c>
      <c r="AA179" s="2" t="inlineStr">
        <is>
          <t>Already sells via own site/showroom and trade fairs.</t>
        </is>
      </c>
      <c r="AB179" s="2" t="inlineStr">
        <is>
          <t>Work comes via referrals; project-based work fit; profile upkeep effort</t>
        </is>
      </c>
      <c r="AC179" s="2" t="inlineStr">
        <is>
          <t>E05 channel/segment test (assign at wave start)</t>
        </is>
      </c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</row>
    <row r="180">
      <c r="A180" s="2" t="n">
        <v>179</v>
      </c>
      <c r="B180" s="2" t="inlineStr">
        <is>
          <t>Wave 2 — Category &amp; city expansion</t>
        </is>
      </c>
      <c r="C180" s="2" t="inlineStr">
        <is>
          <t>UPK2-SD-283</t>
        </is>
      </c>
      <c r="D180" s="2" t="inlineStr">
        <is>
          <t>Interblocco</t>
        </is>
      </c>
      <c r="E180" s="2" t="inlineStr">
        <is>
          <t>Space &amp; Design</t>
        </is>
      </c>
      <c r="F180" s="2" t="inlineStr">
        <is>
          <t>SD-PRODUCT-MAKER</t>
        </is>
      </c>
      <c r="G180" s="2" t="inlineStr">
        <is>
          <t>Home &amp; Space</t>
        </is>
      </c>
      <c r="H180" s="2" t="inlineStr">
        <is>
          <t>Outdoor furniture (cast aluminium)</t>
        </is>
      </c>
      <c r="I180" s="2" t="inlineStr">
        <is>
          <t>Delhi NCR</t>
        </is>
      </c>
      <c r="J180" s="2" t="inlineStr">
        <is>
          <t>B — Established Independent</t>
        </is>
      </c>
      <c r="K180" s="2" t="inlineStr">
        <is>
          <t>Outdoor furniture brand</t>
        </is>
      </c>
      <c r="L180" s="2" t="inlineStr">
        <is>
          <t>P0</t>
        </is>
      </c>
      <c r="M180" s="2" t="inlineStr">
        <is>
          <t>P1</t>
        </is>
      </c>
      <c r="N180" s="2" t="n">
        <v>75.2</v>
      </c>
      <c r="O180" s="2" t="n">
        <v>97</v>
      </c>
      <c r="P180" s="2" t="n">
        <v>70.3</v>
      </c>
      <c r="Q180" s="2" t="n">
        <v>79</v>
      </c>
      <c r="R180" s="2" t="n">
        <v>45</v>
      </c>
      <c r="S180" s="2" t="inlineStr">
        <is>
          <t>C1-DIRECT-VERIFIED</t>
        </is>
      </c>
      <c r="T180" s="2" t="inlineStr">
        <is>
          <t>Personal 1:1 email from founder/team to published business email</t>
        </is>
      </c>
      <c r="U180" s="2" t="inlineStr">
        <is>
          <t>https://interblocco.com/</t>
        </is>
      </c>
      <c r="V180" s="2" t="inlineStr">
        <is>
          <t>2026-10 — listed as exhibitor at India Design ID Mumbai 2026 (indiadesignid.com)</t>
        </is>
      </c>
      <c r="W180" s="2" t="inlineStr">
        <is>
          <t>Exhibitor at India Design ID (2026)</t>
        </is>
      </c>
      <c r="X180" s="2" t="inlineStr">
        <is>
          <t>India Design ID (exhibitor)</t>
        </is>
      </c>
      <c r="Y180" s="2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  <c r="Z180" s="2" t="inlineStr">
        <is>
          <t>Lead with a specific piece. Products and commissions under the maker's own name; link to studios in the Home &amp; Space pod.</t>
        </is>
      </c>
      <c r="AA180" s="2" t="inlineStr">
        <is>
          <t>Already sells via own site/showroom and trade fairs.</t>
        </is>
      </c>
      <c r="AB180" s="2" t="inlineStr">
        <is>
          <t>Work comes via referrals; project-based work fit; profile upkeep effort</t>
        </is>
      </c>
      <c r="AC180" s="2" t="inlineStr">
        <is>
          <t>E05 channel/segment test (assign at wave start)</t>
        </is>
      </c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</row>
    <row r="181">
      <c r="A181" s="2" t="n">
        <v>180</v>
      </c>
      <c r="B181" s="2" t="inlineStr">
        <is>
          <t>Wave 2 — Category &amp; city expansion</t>
        </is>
      </c>
      <c r="C181" s="2" t="inlineStr">
        <is>
          <t>UPK2-SD-280</t>
        </is>
      </c>
      <c r="D181" s="2" t="inlineStr">
        <is>
          <t>Jade Design Q</t>
        </is>
      </c>
      <c r="E181" s="2" t="inlineStr">
        <is>
          <t>Space &amp; Design</t>
        </is>
      </c>
      <c r="F181" s="2" t="inlineStr">
        <is>
          <t>SD-PRODUCT-MAKER</t>
        </is>
      </c>
      <c r="G181" s="2" t="inlineStr">
        <is>
          <t>Home &amp; Space</t>
        </is>
      </c>
      <c r="H181" s="2" t="inlineStr">
        <is>
          <t>Bespoke decorative lighting &amp; installations</t>
        </is>
      </c>
      <c r="I181" s="2" t="inlineStr">
        <is>
          <t>Mumbai</t>
        </is>
      </c>
      <c r="J181" s="2" t="inlineStr">
        <is>
          <t>B — Established Independent</t>
        </is>
      </c>
      <c r="K181" s="2" t="inlineStr">
        <is>
          <t>Lighting design studio</t>
        </is>
      </c>
      <c r="L181" s="2" t="inlineStr">
        <is>
          <t>P0</t>
        </is>
      </c>
      <c r="M181" s="2" t="inlineStr">
        <is>
          <t>P1</t>
        </is>
      </c>
      <c r="N181" s="2" t="n">
        <v>75.2</v>
      </c>
      <c r="O181" s="2" t="n">
        <v>97</v>
      </c>
      <c r="P181" s="2" t="n">
        <v>70.3</v>
      </c>
      <c r="Q181" s="2" t="n">
        <v>79</v>
      </c>
      <c r="R181" s="2" t="n">
        <v>45</v>
      </c>
      <c r="S181" s="2" t="inlineStr">
        <is>
          <t>C1-DIRECT-VERIFIED</t>
        </is>
      </c>
      <c r="T181" s="2" t="inlineStr">
        <is>
          <t>Personal 1:1 email from founder/team to published business email</t>
        </is>
      </c>
      <c r="U181" s="2" t="inlineStr">
        <is>
          <t>https://jadedesignq.com/contact-us/</t>
        </is>
      </c>
      <c r="V181" s="2" t="inlineStr">
        <is>
          <t>2026-10 — listed as exhibitor at India Design ID Mumbai 2026 (indiadesignid.com)</t>
        </is>
      </c>
      <c r="W181" s="2" t="inlineStr">
        <is>
          <t>Exhibitor at India Design ID (2026)</t>
        </is>
      </c>
      <c r="X181" s="2" t="inlineStr">
        <is>
          <t>India Design ID (exhibitor)</t>
        </is>
      </c>
      <c r="Y181" s="2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  <c r="Z181" s="2" t="inlineStr">
        <is>
          <t>Lead with a specific piece. Products and commissions under the maker's own name; link to studios in the Home &amp; Space pod.</t>
        </is>
      </c>
      <c r="AA181" s="2" t="inlineStr">
        <is>
          <t>Already sells via own site/showroom and trade fairs.</t>
        </is>
      </c>
      <c r="AB181" s="2" t="inlineStr">
        <is>
          <t>Work comes via referrals; project-based work fit; profile upkeep effort</t>
        </is>
      </c>
      <c r="AC181" s="2" t="inlineStr">
        <is>
          <t>E05 channel/segment test (assign at wave start)</t>
        </is>
      </c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</row>
    <row r="182">
      <c r="A182" s="2" t="n">
        <v>181</v>
      </c>
      <c r="B182" s="2" t="inlineStr">
        <is>
          <t>Wave 2 — Category &amp; city expansion</t>
        </is>
      </c>
      <c r="C182" s="2" t="inlineStr">
        <is>
          <t>UPK2-SD-287</t>
        </is>
      </c>
      <c r="D182" s="2" t="inlineStr">
        <is>
          <t>stem design</t>
        </is>
      </c>
      <c r="E182" s="2" t="inlineStr">
        <is>
          <t>Space &amp; Design</t>
        </is>
      </c>
      <c r="F182" s="2" t="inlineStr">
        <is>
          <t>SD-PRODUCT-MAKER</t>
        </is>
      </c>
      <c r="G182" s="2" t="inlineStr">
        <is>
          <t>Home &amp; Space</t>
        </is>
      </c>
      <c r="H182" s="2" t="inlineStr">
        <is>
          <t>Contemporary objects &amp; furniture for the home</t>
        </is>
      </c>
      <c r="I182" s="2" t="inlineStr">
        <is>
          <t>Delhi NCR</t>
        </is>
      </c>
      <c r="J182" s="2" t="inlineStr">
        <is>
          <t>B — Established Independent</t>
        </is>
      </c>
      <c r="K182" s="2" t="inlineStr">
        <is>
          <t>Product design studio</t>
        </is>
      </c>
      <c r="L182" s="2" t="inlineStr">
        <is>
          <t>P0</t>
        </is>
      </c>
      <c r="M182" s="2" t="inlineStr">
        <is>
          <t>P1</t>
        </is>
      </c>
      <c r="N182" s="2" t="n">
        <v>75.2</v>
      </c>
      <c r="O182" s="2" t="n">
        <v>97</v>
      </c>
      <c r="P182" s="2" t="n">
        <v>70</v>
      </c>
      <c r="Q182" s="2" t="n">
        <v>78</v>
      </c>
      <c r="R182" s="2" t="n">
        <v>45</v>
      </c>
      <c r="S182" s="2" t="inlineStr">
        <is>
          <t>C1-DIRECT-VERIFIED</t>
        </is>
      </c>
      <c r="T182" s="2" t="inlineStr">
        <is>
          <t>Personal 1:1 email from founder/team to published business email</t>
        </is>
      </c>
      <c r="U182" s="2" t="inlineStr">
        <is>
          <t>https://stemdesign.co/</t>
        </is>
      </c>
      <c r="V182" s="2" t="inlineStr">
        <is>
          <t>2026-10 — listed as exhibitor at India Design ID Mumbai 2026 (indiadesignid.com)</t>
        </is>
      </c>
      <c r="W182" s="2" t="inlineStr">
        <is>
          <t>Exhibitor at India Design ID (2023, 2024, 2025, 2026)</t>
        </is>
      </c>
      <c r="X182" s="2" t="inlineStr">
        <is>
          <t>India Design ID (exhibitor)</t>
        </is>
      </c>
      <c r="Y182" s="2" t="inlineStr">
        <is>
          <t>Readiness 75 (top 4% in category) | Commercial: Exhibitor at India Design ID (2023, 2024, 2025, 2026) | Active: 2026-10 — listed as exhibitor at India Design ID Mumbai 2026 (indiade… | Independent/emerging tier — fame not a factor</t>
        </is>
      </c>
      <c r="Z182" s="2" t="inlineStr">
        <is>
          <t>Lead with a specific piece. Products and commissions under the maker's own name; link to studios in the Home &amp; Space pod.</t>
        </is>
      </c>
      <c r="AA182" s="2" t="inlineStr">
        <is>
          <t>Already sells via own site/showroom and trade fairs.</t>
        </is>
      </c>
      <c r="AB182" s="2" t="inlineStr">
        <is>
          <t>Work comes via referrals; project-based work fit; profile upkeep effort</t>
        </is>
      </c>
      <c r="AC182" s="2" t="inlineStr">
        <is>
          <t>E05 channel/segment test (assign at wave start)</t>
        </is>
      </c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</row>
    <row r="183">
      <c r="A183" s="2" t="n">
        <v>182</v>
      </c>
      <c r="B183" s="2" t="inlineStr">
        <is>
          <t>Wave 2 — Category &amp; city expansion</t>
        </is>
      </c>
      <c r="C183" s="2" t="inlineStr">
        <is>
          <t>UPK2-SD-288</t>
        </is>
      </c>
      <c r="D183" s="2" t="inlineStr">
        <is>
          <t>Baby Select</t>
        </is>
      </c>
      <c r="E183" s="2" t="inlineStr">
        <is>
          <t>Space &amp; Design</t>
        </is>
      </c>
      <c r="F183" s="2" t="inlineStr">
        <is>
          <t>SD-PRODUCT-MAKER</t>
        </is>
      </c>
      <c r="G183" s="2" t="inlineStr">
        <is>
          <t>Home &amp; Space</t>
        </is>
      </c>
      <c r="H183" s="2" t="inlineStr">
        <is>
          <t>Children's furniture &amp; interiors</t>
        </is>
      </c>
      <c r="I183" s="2" t="inlineStr">
        <is>
          <t>Delhi NCR</t>
        </is>
      </c>
      <c r="J183" s="2" t="inlineStr">
        <is>
          <t>B — Established Independent</t>
        </is>
      </c>
      <c r="K183" s="2" t="inlineStr">
        <is>
          <t>Kids furniture brand</t>
        </is>
      </c>
      <c r="L183" s="2" t="inlineStr">
        <is>
          <t>P0</t>
        </is>
      </c>
      <c r="M183" s="2" t="inlineStr">
        <is>
          <t>P1</t>
        </is>
      </c>
      <c r="N183" s="2" t="n">
        <v>75.2</v>
      </c>
      <c r="O183" s="2" t="n">
        <v>97</v>
      </c>
      <c r="P183" s="2" t="n">
        <v>70</v>
      </c>
      <c r="Q183" s="2" t="n">
        <v>78</v>
      </c>
      <c r="R183" s="2" t="n">
        <v>45</v>
      </c>
      <c r="S183" s="2" t="inlineStr">
        <is>
          <t>C1-DIRECT-VERIFIED</t>
        </is>
      </c>
      <c r="T183" s="2" t="inlineStr">
        <is>
          <t>Personal 1:1 email from founder/team to published business email</t>
        </is>
      </c>
      <c r="U183" s="2" t="inlineStr">
        <is>
          <t>https://www.babyselect.in/</t>
        </is>
      </c>
      <c r="V183" s="2" t="inlineStr">
        <is>
          <t>2026-10 — listed as exhibitor at India Design ID Mumbai 2026 (indiadesignid.com)</t>
        </is>
      </c>
      <c r="W183" s="2" t="inlineStr">
        <is>
          <t>Exhibitor at India Design ID (2026)</t>
        </is>
      </c>
      <c r="X183" s="2" t="inlineStr">
        <is>
          <t>India Design ID (exhibitor)</t>
        </is>
      </c>
      <c r="Y183" s="2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  <c r="Z183" s="2" t="inlineStr">
        <is>
          <t>Lead with a specific piece. Products and commissions under the maker's own name; link to studios in the Home &amp; Space pod.</t>
        </is>
      </c>
      <c r="AA183" s="2" t="inlineStr">
        <is>
          <t>Already sells via own site/showroom and trade fairs.</t>
        </is>
      </c>
      <c r="AB183" s="2" t="inlineStr">
        <is>
          <t>Work comes via referrals; project-based work fit; profile upkeep effort</t>
        </is>
      </c>
      <c r="AC183" s="2" t="inlineStr">
        <is>
          <t>E05 channel/segment test (assign at wave start)</t>
        </is>
      </c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</row>
    <row r="184">
      <c r="A184" s="2" t="n">
        <v>183</v>
      </c>
      <c r="B184" s="2" t="inlineStr">
        <is>
          <t>Wave 2 — Category &amp; city expansion</t>
        </is>
      </c>
      <c r="C184" s="2" t="inlineStr">
        <is>
          <t>UPK2-SD-006</t>
        </is>
      </c>
      <c r="D184" s="2" t="inlineStr">
        <is>
          <t>House of Lalittya</t>
        </is>
      </c>
      <c r="E184" s="2" t="inlineStr">
        <is>
          <t>Space &amp; Design</t>
        </is>
      </c>
      <c r="F184" s="2" t="inlineStr">
        <is>
          <t>SD-PRODUCT-MAKER</t>
        </is>
      </c>
      <c r="G184" s="2" t="inlineStr">
        <is>
          <t>Home &amp; Space</t>
        </is>
      </c>
      <c r="H184" s="2" t="inlineStr">
        <is>
          <t>Interior design + furniture/decor flagship</t>
        </is>
      </c>
      <c r="I184" s="2" t="inlineStr">
        <is>
          <t>Delhi NCR</t>
        </is>
      </c>
      <c r="J184" s="2" t="inlineStr">
        <is>
          <t>C — Strong Mid-tier</t>
        </is>
      </c>
      <c r="K184" s="2" t="inlineStr">
        <is>
          <t>Design studio/practice</t>
        </is>
      </c>
      <c r="L184" s="2" t="inlineStr">
        <is>
          <t>P0</t>
        </is>
      </c>
      <c r="M184" s="2" t="inlineStr">
        <is>
          <t>P1</t>
        </is>
      </c>
      <c r="N184" s="2" t="n">
        <v>74.2</v>
      </c>
      <c r="O184" s="2" t="n">
        <v>92</v>
      </c>
      <c r="P184" s="2" t="n">
        <v>69.8</v>
      </c>
      <c r="Q184" s="2" t="n">
        <v>79</v>
      </c>
      <c r="R184" s="2" t="n">
        <v>45</v>
      </c>
      <c r="S184" s="2" t="inlineStr">
        <is>
          <t>C1-DIRECT-VERIFIED</t>
        </is>
      </c>
      <c r="T184" s="2" t="inlineStr">
        <is>
          <t>Personal 1:1 email from founder/team to published business email</t>
        </is>
      </c>
      <c r="U184" s="2" t="inlineStr">
        <is>
          <t>https://www.lalittya.com/</t>
        </is>
      </c>
      <c r="V184" s="2" t="inlineStr">
        <is>
          <t>2026-07 — TAD feature: Japandi Gurugram home</t>
        </is>
      </c>
      <c r="W184" s="2" t="inlineStr">
        <is>
          <t>Studio on Golf Course Road + flagship store; 4,500 sq ft Gurugram home</t>
        </is>
      </c>
      <c r="X184" s="2" t="inlineStr">
        <is>
          <t>The Architects Diary (Editorial feature/list)</t>
        </is>
      </c>
      <c r="Y184" s="2" t="inlineStr">
        <is>
          <t>Readiness 74 (top 9% in category) | Commercial: Studio on Golf Course Road + flagship store; 4,500 sq ft Gurugram home | Active: 2026-07 — TAD feature: Japandi Gurugram home</t>
        </is>
      </c>
      <c r="Z184" s="2" t="inlineStr">
        <is>
          <t>Lead with a specific piece. Products and commissions under the maker's own name; link to studios in the Home &amp; Space pod.</t>
        </is>
      </c>
      <c r="AA184" s="2" t="inlineStr">
        <is>
          <t>Established practice with steady referral/press pipeline; may see limited need for another channel</t>
        </is>
      </c>
      <c r="AB184" s="2" t="inlineStr">
        <is>
          <t>Work comes via referrals; project-based work fit; profile upkeep effort</t>
        </is>
      </c>
      <c r="AC184" s="2" t="inlineStr">
        <is>
          <t>E05 channel/segment test (assign at wave start)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</row>
    <row r="185">
      <c r="A185" s="2" t="n">
        <v>184</v>
      </c>
      <c r="B185" s="2" t="inlineStr">
        <is>
          <t>Wave 2 — Category &amp; city expansion</t>
        </is>
      </c>
      <c r="C185" s="2" t="inlineStr">
        <is>
          <t>UPK2-SD-007</t>
        </is>
      </c>
      <c r="D185" s="2" t="inlineStr">
        <is>
          <t>HōmAnAn</t>
        </is>
      </c>
      <c r="E185" s="2" t="inlineStr">
        <is>
          <t>Space &amp; Design</t>
        </is>
      </c>
      <c r="F185" s="2" t="inlineStr">
        <is>
          <t>SD-PRODUCT-MAKER</t>
        </is>
      </c>
      <c r="G185" s="2" t="inlineStr">
        <is>
          <t>Home &amp; Space</t>
        </is>
      </c>
      <c r="H185" s="2" t="inlineStr">
        <is>
          <t>Contemporary Indian design showhouse / interiors &amp; products</t>
        </is>
      </c>
      <c r="I185" s="2" t="inlineStr">
        <is>
          <t>Delhi NCR</t>
        </is>
      </c>
      <c r="J185" s="2" t="inlineStr">
        <is>
          <t>C — Strong Mid-tier</t>
        </is>
      </c>
      <c r="K185" s="2" t="inlineStr">
        <is>
          <t>Design studio/practice</t>
        </is>
      </c>
      <c r="L185" s="2" t="inlineStr">
        <is>
          <t>P0</t>
        </is>
      </c>
      <c r="M185" s="2" t="inlineStr">
        <is>
          <t>P1</t>
        </is>
      </c>
      <c r="N185" s="2" t="n">
        <v>74.2</v>
      </c>
      <c r="O185" s="2" t="n">
        <v>92</v>
      </c>
      <c r="P185" s="2" t="n">
        <v>69.8</v>
      </c>
      <c r="Q185" s="2" t="n">
        <v>79</v>
      </c>
      <c r="R185" s="2" t="n">
        <v>45</v>
      </c>
      <c r="S185" s="2" t="inlineStr">
        <is>
          <t>C1-DIRECT-VERIFIED</t>
        </is>
      </c>
      <c r="T185" s="2" t="inlineStr">
        <is>
          <t>Personal 1:1 email from founder/team to published business email</t>
        </is>
      </c>
      <c r="U185" s="2" t="inlineStr">
        <is>
          <t>https://homanan.com/</t>
        </is>
      </c>
      <c r="V185" s="2" t="inlineStr">
        <is>
          <t>2026-09 — TAD feature: HōmAnAn showhouse</t>
        </is>
      </c>
      <c r="W185" s="2" t="inlineStr">
        <is>
          <t>Showhouse in South Delhi for contemporary Indian design; collaborations page</t>
        </is>
      </c>
      <c r="X185" s="2" t="inlineStr">
        <is>
          <t>The Architects Diary (Editorial feature/list)</t>
        </is>
      </c>
      <c r="Y185" s="2" t="inlineStr">
        <is>
          <t>Readiness 74 (top 9% in category) | Commercial: Showhouse in South Delhi for contemporary Indian design; collaborations page | Active: 2026-09 — TAD feature: HōmAnAn showhouse</t>
        </is>
      </c>
      <c r="Z185" s="2" t="inlineStr">
        <is>
          <t>Lead with a specific piece. Products and commissions under the maker's own name; link to studios in the Home &amp; Space pod.</t>
        </is>
      </c>
      <c r="AA185" s="2" t="inlineStr">
        <is>
          <t>Established practice with steady referral/press pipeline; may see limited need for another channel</t>
        </is>
      </c>
      <c r="AB185" s="2" t="inlineStr">
        <is>
          <t>Work comes via referrals; project-based work fit; profile upkeep effort</t>
        </is>
      </c>
      <c r="AC185" s="2" t="inlineStr">
        <is>
          <t>E05 channel/segment test (assign at wave start)</t>
        </is>
      </c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</row>
    <row r="186">
      <c r="A186" s="2" t="n">
        <v>185</v>
      </c>
      <c r="B186" s="2" t="inlineStr">
        <is>
          <t>Wave 2 — Category &amp; city expansion</t>
        </is>
      </c>
      <c r="C186" s="2" t="inlineStr">
        <is>
          <t>UPK2-SD-295</t>
        </is>
      </c>
      <c r="D186" s="2" t="inlineStr">
        <is>
          <t>apartment9</t>
        </is>
      </c>
      <c r="E186" s="2" t="inlineStr">
        <is>
          <t>Space &amp; Design</t>
        </is>
      </c>
      <c r="F186" s="2" t="inlineStr">
        <is>
          <t>SD-PRODUCT-MAKER</t>
        </is>
      </c>
      <c r="G186" s="2" t="inlineStr">
        <is>
          <t>Home &amp; Space</t>
        </is>
      </c>
      <c r="H186" s="2" t="inlineStr">
        <is>
          <t>Interior design &amp; furniture studio</t>
        </is>
      </c>
      <c r="I186" s="2" t="inlineStr">
        <is>
          <t>Delhi NCR</t>
        </is>
      </c>
      <c r="J186" s="2" t="inlineStr">
        <is>
          <t>B — Established Independent</t>
        </is>
      </c>
      <c r="K186" s="2" t="inlineStr">
        <is>
          <t>Interior &amp; furniture studio</t>
        </is>
      </c>
      <c r="L186" s="2" t="inlineStr">
        <is>
          <t>P0</t>
        </is>
      </c>
      <c r="M186" s="2" t="inlineStr">
        <is>
          <t>P1</t>
        </is>
      </c>
      <c r="N186" s="2" t="n">
        <v>75.2</v>
      </c>
      <c r="O186" s="2" t="n">
        <v>97</v>
      </c>
      <c r="P186" s="2" t="n">
        <v>69.7</v>
      </c>
      <c r="Q186" s="2" t="n">
        <v>77</v>
      </c>
      <c r="R186" s="2" t="n">
        <v>45</v>
      </c>
      <c r="S186" s="2" t="inlineStr">
        <is>
          <t>C1-DIRECT-VERIFIED</t>
        </is>
      </c>
      <c r="T186" s="2" t="inlineStr">
        <is>
          <t>Personal 1:1 email from founder/team to published business email</t>
        </is>
      </c>
      <c r="U186" s="2" t="inlineStr">
        <is>
          <t>https://apartment9.in/</t>
        </is>
      </c>
      <c r="V186" s="2" t="inlineStr">
        <is>
          <t>2026-10 — listed as exhibitor at India Design ID Mumbai 2026 (indiadesignid.com)</t>
        </is>
      </c>
      <c r="W186" s="2" t="inlineStr">
        <is>
          <t>Exhibitor at India Design ID (2022, 2023, 2024, 2025, 2026)</t>
        </is>
      </c>
      <c r="X186" s="2" t="inlineStr">
        <is>
          <t>India Design ID (exhibitor)</t>
        </is>
      </c>
      <c r="Y186" s="2" t="inlineStr">
        <is>
          <t>Readiness 75 (top 4% in category) | Commercial: Exhibitor at India Design ID (2022, 2023, 2024, 2025, 2026) | Active: 2026-10 — listed as exhibitor at India Design ID Mumbai 2026 (indiade… | Independent/emerging tier — fame not a factor</t>
        </is>
      </c>
      <c r="Z186" s="2" t="inlineStr">
        <is>
          <t>Lead with a specific piece. Products and commissions under the maker's own name; link to studios in the Home &amp; Space pod.</t>
        </is>
      </c>
      <c r="AA186" s="2" t="inlineStr">
        <is>
          <t>Already sells via own site/showroom and trade fairs.</t>
        </is>
      </c>
      <c r="AB186" s="2" t="inlineStr">
        <is>
          <t>Work comes via referrals; project-based work fit; profile upkeep effort</t>
        </is>
      </c>
      <c r="AC186" s="2" t="inlineStr">
        <is>
          <t>E05 channel/segment test (assign at wave start)</t>
        </is>
      </c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</row>
    <row r="187">
      <c r="A187" s="2" t="n">
        <v>186</v>
      </c>
      <c r="B187" s="2" t="inlineStr">
        <is>
          <t>Wave 2 — Category &amp; city expansion</t>
        </is>
      </c>
      <c r="C187" s="2" t="inlineStr">
        <is>
          <t>UPK2-SD-328</t>
        </is>
      </c>
      <c r="D187" s="2" t="inlineStr">
        <is>
          <t>Fab Studio</t>
        </is>
      </c>
      <c r="E187" s="2" t="inlineStr">
        <is>
          <t>Space &amp; Design</t>
        </is>
      </c>
      <c r="F187" s="2" t="inlineStr">
        <is>
          <t>SD-ARCHITECTURE</t>
        </is>
      </c>
      <c r="G187" s="2" t="inlineStr">
        <is>
          <t>Home &amp; Space</t>
        </is>
      </c>
      <c r="H187" s="2" t="inlineStr">
        <is>
          <t>Luxury architecture &amp; interior design studio</t>
        </is>
      </c>
      <c r="I187" s="2" t="inlineStr">
        <is>
          <t>Delhi NCR</t>
        </is>
      </c>
      <c r="J187" s="2" t="inlineStr">
        <is>
          <t>C — Strong Mid-tier</t>
        </is>
      </c>
      <c r="K187" s="2" t="inlineStr">
        <is>
          <t>Design studio / practice</t>
        </is>
      </c>
      <c r="L187" s="2" t="inlineStr">
        <is>
          <t>P0</t>
        </is>
      </c>
      <c r="M187" s="2" t="inlineStr">
        <is>
          <t>P1</t>
        </is>
      </c>
      <c r="N187" s="2" t="n">
        <v>71.09999999999999</v>
      </c>
      <c r="O187" s="2" t="n">
        <v>75</v>
      </c>
      <c r="P187" s="2" t="n">
        <v>67.8</v>
      </c>
      <c r="Q187" s="2" t="n">
        <v>74</v>
      </c>
      <c r="R187" s="2" t="n">
        <v>50</v>
      </c>
      <c r="S187" s="2" t="inlineStr">
        <is>
          <t>C1-DIRECT-VERIFIED</t>
        </is>
      </c>
      <c r="T187" s="2" t="inlineStr">
        <is>
          <t>Personal 1:1 email from founder/team to published business email</t>
        </is>
      </c>
      <c r="U187" s="2" t="inlineStr">
        <is>
          <t>https://fab.studio/</t>
        </is>
      </c>
      <c r="V187" s="2" t="inlineStr">
        <is>
          <t>2026-09 — own-site sitemap lastmod</t>
        </is>
      </c>
      <c r="W187" s="2" t="inlineStr">
        <is>
          <t>Residential Architecture Design, Chattarpur, New Delhi (The Architects Diary 2024-11)</t>
        </is>
      </c>
      <c r="X187" s="2" t="inlineStr">
        <is>
          <t>The Architects Diary (Editorial project feature)</t>
        </is>
      </c>
      <c r="Y187" s="2" t="inlineStr">
        <is>
          <t>Readiness 71 (top 26% in category) | Commercial: Residential Architecture Design, Chattarpur, New Delhi (The Architects Diary 2024-11) | Active: 2026-09 — own-site sitemap lastmod</t>
        </is>
      </c>
      <c r="Z187" s="2" t="inlineStr">
        <is>
          <t>Lead with a specific built project. Present Uepaki as a professional home for the practice's services and project work under its own name. No lead promises.</t>
        </is>
      </c>
      <c r="AA187" s="2" t="inlineStr">
        <is>
          <t>Established pipeline via referrals and trade media</t>
        </is>
      </c>
      <c r="AB187" s="2" t="inlineStr">
        <is>
          <t>Work comes via referrals; project-based work fit; profile upkeep effort</t>
        </is>
      </c>
      <c r="AC187" s="2" t="inlineStr">
        <is>
          <t>E05 channel/segment test (assign at wave start)</t>
        </is>
      </c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</row>
    <row r="188">
      <c r="A188" s="2" t="n">
        <v>187</v>
      </c>
      <c r="B188" s="2" t="inlineStr">
        <is>
          <t>Wave 2 — Category &amp; city expansion</t>
        </is>
      </c>
      <c r="C188" s="2" t="inlineStr">
        <is>
          <t>UPK2-SD-005</t>
        </is>
      </c>
      <c r="D188" s="2" t="inlineStr">
        <is>
          <t>The Concreate Story</t>
        </is>
      </c>
      <c r="E188" s="2" t="inlineStr">
        <is>
          <t>Space &amp; Design</t>
        </is>
      </c>
      <c r="F188" s="2" t="inlineStr">
        <is>
          <t>SD-ARCHITECTURE</t>
        </is>
      </c>
      <c r="G188" s="2" t="inlineStr">
        <is>
          <t>Home &amp; Space</t>
        </is>
      </c>
      <c r="H188" s="2" t="inlineStr">
        <is>
          <t>Architecture &amp; interiors</t>
        </is>
      </c>
      <c r="I188" s="2" t="inlineStr">
        <is>
          <t>Delhi NCR</t>
        </is>
      </c>
      <c r="J188" s="2" t="inlineStr">
        <is>
          <t>B — Established Independent</t>
        </is>
      </c>
      <c r="K188" s="2" t="inlineStr">
        <is>
          <t>Design studio/practice</t>
        </is>
      </c>
      <c r="L188" s="2" t="inlineStr">
        <is>
          <t>P0</t>
        </is>
      </c>
      <c r="M188" s="2" t="inlineStr">
        <is>
          <t>P0</t>
        </is>
      </c>
      <c r="N188" s="2" t="n">
        <v>76.09999999999999</v>
      </c>
      <c r="O188" s="2" t="n">
        <v>99</v>
      </c>
      <c r="P188" s="2" t="n">
        <v>67.8</v>
      </c>
      <c r="Q188" s="2" t="n">
        <v>76</v>
      </c>
      <c r="R188" s="2" t="n">
        <v>35</v>
      </c>
      <c r="S188" s="2" t="inlineStr">
        <is>
          <t>C1-DIRECT-VERIFIED</t>
        </is>
      </c>
      <c r="T188" s="2" t="inlineStr">
        <is>
          <t>Personal 1:1 email from founder/team to published business email</t>
        </is>
      </c>
      <c r="U188" s="2" t="inlineStr">
        <is>
          <t>https://theconcreatestory.in/contact</t>
        </is>
      </c>
      <c r="V188" s="2" t="inlineStr">
        <is>
          <t>2026-09 — TAD50 Edition 2</t>
        </is>
      </c>
      <c r="W188" s="2" t="inlineStr">
        <is>
          <t>Luxury residential; TAD50 2026; Delhi home features</t>
        </is>
      </c>
      <c r="X188" s="2" t="inlineStr">
        <is>
          <t>The Architects Diary (Editorial feature/list); The Architects Diary (Editorial feature/list)</t>
        </is>
      </c>
      <c r="Y188" s="2" t="inlineStr">
        <is>
          <t>Readiness 76 (top 2% in category) | Commercial: Luxury residential; TAD50 2026; Delhi home features | Active: 2026-09 — TAD50 Edition 2 | Independent/emerging tier — fame not a factor</t>
        </is>
      </c>
      <c r="Z188" s="2" t="inlineStr">
        <is>
          <t>Lead with a specific built project. Present Uepaki as a professional home for the practice's services and project work under its own name. No lead promises.</t>
        </is>
      </c>
      <c r="AA188" s="2" t="inlineStr">
        <is>
          <t>Small team; may prioritise direct client work and Instagram over new platforms</t>
        </is>
      </c>
      <c r="AB188" s="2" t="inlineStr">
        <is>
          <t>Work comes via referrals; project-based work fit; profile upkeep effort</t>
        </is>
      </c>
      <c r="AC188" s="2" t="inlineStr">
        <is>
          <t>E05 channel/segment test (assign at wave start)</t>
        </is>
      </c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</row>
    <row r="189">
      <c r="A189" s="2" t="n">
        <v>188</v>
      </c>
      <c r="B189" s="2" t="inlineStr">
        <is>
          <t>Wave 2 — Category &amp; city expansion</t>
        </is>
      </c>
      <c r="C189" s="2" t="inlineStr">
        <is>
          <t>UPK2-SD-014</t>
        </is>
      </c>
      <c r="D189" s="2" t="inlineStr">
        <is>
          <t>IIDC Architects</t>
        </is>
      </c>
      <c r="E189" s="2" t="inlineStr">
        <is>
          <t>Space &amp; Design</t>
        </is>
      </c>
      <c r="F189" s="2" t="inlineStr">
        <is>
          <t>SD-ARCHITECTURE</t>
        </is>
      </c>
      <c r="G189" s="2" t="inlineStr">
        <is>
          <t>Home &amp; Space</t>
        </is>
      </c>
      <c r="H189" s="2" t="inlineStr">
        <is>
          <t>Healthcare/institutional architecture</t>
        </is>
      </c>
      <c r="I189" s="2" t="inlineStr">
        <is>
          <t>Delhi NCR</t>
        </is>
      </c>
      <c r="J189" s="2" t="inlineStr">
        <is>
          <t>C — Strong Mid-tier</t>
        </is>
      </c>
      <c r="K189" s="2" t="inlineStr">
        <is>
          <t>Design studio/practice</t>
        </is>
      </c>
      <c r="L189" s="2" t="inlineStr">
        <is>
          <t>P0</t>
        </is>
      </c>
      <c r="M189" s="2" t="inlineStr">
        <is>
          <t>P1</t>
        </is>
      </c>
      <c r="N189" s="2" t="n">
        <v>74.2</v>
      </c>
      <c r="O189" s="2" t="n">
        <v>92</v>
      </c>
      <c r="P189" s="2" t="n">
        <v>69.8</v>
      </c>
      <c r="Q189" s="2" t="n">
        <v>79</v>
      </c>
      <c r="R189" s="2" t="n">
        <v>45</v>
      </c>
      <c r="S189" s="2" t="inlineStr">
        <is>
          <t>C1-DIRECT-VERIFIED</t>
        </is>
      </c>
      <c r="T189" s="2" t="inlineStr">
        <is>
          <t>Personal 1:1 email from founder/team to published business email</t>
        </is>
      </c>
      <c r="U189" s="2" t="inlineStr">
        <is>
          <t>https://iidcarchitects.com/</t>
        </is>
      </c>
      <c r="V189" s="2" t="inlineStr">
        <is>
          <t>2026 — site lists 2026 items</t>
        </is>
      </c>
      <c r="W189" s="2" t="inlineStr">
        <is>
          <t>Healthcare architecture; Ghitorni office</t>
        </is>
      </c>
      <c r="X189" s="2" t="inlineStr">
        <is>
          <t>Archidiaries (Practice profile)</t>
        </is>
      </c>
      <c r="Y189" s="2" t="inlineStr">
        <is>
          <t>Readiness 74 (top 9% in category) | Commercial: Healthcare architecture; Ghitorni office | Active: 2026 — site lists 2026 items</t>
        </is>
      </c>
      <c r="Z189" s="2" t="inlineStr">
        <is>
          <t>Lead with a specific built project. Present Uepaki as a professional home for the practice's services and project work under its own name. No lead promises.</t>
        </is>
      </c>
      <c r="AA189" s="2" t="inlineStr">
        <is>
          <t>Established practice with steady referral/press pipeline; may see limited need for another channel</t>
        </is>
      </c>
      <c r="AB189" s="2" t="inlineStr">
        <is>
          <t>Work comes via referrals; project-based work fit; profile upkeep effort</t>
        </is>
      </c>
      <c r="AC189" s="2" t="inlineStr">
        <is>
          <t>E05 channel/segment test (assign at wave start)</t>
        </is>
      </c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</row>
    <row r="190">
      <c r="A190" s="2" t="n">
        <v>189</v>
      </c>
      <c r="B190" s="2" t="inlineStr">
        <is>
          <t>Wave 2 — Category &amp; city expansion</t>
        </is>
      </c>
      <c r="C190" s="2" t="inlineStr">
        <is>
          <t>UPK2-SD-011</t>
        </is>
      </c>
      <c r="D190" s="2" t="inlineStr">
        <is>
          <t>Shefali Design Studio</t>
        </is>
      </c>
      <c r="E190" s="2" t="inlineStr">
        <is>
          <t>Space &amp; Design</t>
        </is>
      </c>
      <c r="F190" s="2" t="inlineStr">
        <is>
          <t>SD-ARCHITECTURE</t>
        </is>
      </c>
      <c r="G190" s="2" t="inlineStr">
        <is>
          <t>Home &amp; Space</t>
        </is>
      </c>
      <c r="H190" s="2" t="inlineStr">
        <is>
          <t>Architecture &amp; interior design</t>
        </is>
      </c>
      <c r="I190" s="2" t="inlineStr">
        <is>
          <t>Delhi NCR</t>
        </is>
      </c>
      <c r="J190" s="2" t="inlineStr">
        <is>
          <t>B — Established Independent</t>
        </is>
      </c>
      <c r="K190" s="2" t="inlineStr">
        <is>
          <t>Design studio/practice</t>
        </is>
      </c>
      <c r="L190" s="2" t="inlineStr">
        <is>
          <t>P0</t>
        </is>
      </c>
      <c r="M190" s="2" t="inlineStr">
        <is>
          <t>P0</t>
        </is>
      </c>
      <c r="N190" s="2" t="n">
        <v>74.8</v>
      </c>
      <c r="O190" s="2" t="n">
        <v>94</v>
      </c>
      <c r="P190" s="2" t="n">
        <v>67.5</v>
      </c>
      <c r="Q190" s="2" t="n">
        <v>77</v>
      </c>
      <c r="R190" s="2" t="n">
        <v>35</v>
      </c>
      <c r="S190" s="2" t="inlineStr">
        <is>
          <t>C1-DIRECT-VERIFIED</t>
        </is>
      </c>
      <c r="T190" s="2" t="inlineStr">
        <is>
          <t>Personal 1:1 email from founder/team to published business email</t>
        </is>
      </c>
      <c r="U190" s="2" t="inlineStr">
        <is>
          <t>https://shefalidesignstudio.com/</t>
        </is>
      </c>
      <c r="V190" s="2" t="inlineStr">
        <is>
          <t>2026-09 — TAD Discovery Delhi NCR 20</t>
        </is>
      </c>
      <c r="W190" s="2" t="inlineStr">
        <is>
          <t>Residential, commercial, hospitality across NCR</t>
        </is>
      </c>
      <c r="X190" s="2" t="inlineStr">
        <is>
          <t>The Architects Diary (Editorial feature/list)</t>
        </is>
      </c>
      <c r="Y190" s="2" t="inlineStr">
        <is>
          <t>Readiness 75 (top 7% in category) | Commercial: Residential, commercial, hospitality across NCR | Active: 2026-09 — TAD Discovery Delhi NCR 20 | Independent/emerging tier — fame not a factor</t>
        </is>
      </c>
      <c r="Z190" s="2" t="inlineStr">
        <is>
          <t>Lead with a specific built project. Present Uepaki as a professional home for the practice's services and project work under its own name. No lead promises.</t>
        </is>
      </c>
      <c r="AA190" s="2" t="inlineStr">
        <is>
          <t>Small team; may prioritise direct client work and Instagram over new platforms</t>
        </is>
      </c>
      <c r="AB190" s="2" t="inlineStr">
        <is>
          <t>Work comes via referrals; project-based work fit; profile upkeep effort</t>
        </is>
      </c>
      <c r="AC190" s="2" t="inlineStr">
        <is>
          <t>E05 channel/segment test (assign at wave start)</t>
        </is>
      </c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</row>
    <row r="191">
      <c r="A191" s="2" t="n">
        <v>190</v>
      </c>
      <c r="B191" s="2" t="inlineStr">
        <is>
          <t>Wave 2 — Category &amp; city expansion</t>
        </is>
      </c>
      <c r="C191" s="2" t="inlineStr">
        <is>
          <t>UPK2-SD-088</t>
        </is>
      </c>
      <c r="D191" s="2" t="inlineStr">
        <is>
          <t>andblack design studio</t>
        </is>
      </c>
      <c r="E191" s="2" t="inlineStr">
        <is>
          <t>Space &amp; Design</t>
        </is>
      </c>
      <c r="F191" s="2" t="inlineStr">
        <is>
          <t>SD-ARCHITECTURE</t>
        </is>
      </c>
      <c r="G191" s="2" t="inlineStr">
        <is>
          <t>Home &amp; Space</t>
        </is>
      </c>
      <c r="H191" s="2" t="inlineStr">
        <is>
          <t>Architecture &amp; interior design studio</t>
        </is>
      </c>
      <c r="I191" s="2" t="inlineStr">
        <is>
          <t>Ahmedabad</t>
        </is>
      </c>
      <c r="J191" s="2" t="inlineStr">
        <is>
          <t>C — Strong Mid-tier</t>
        </is>
      </c>
      <c r="K191" s="2" t="inlineStr">
        <is>
          <t>Design studio / practice</t>
        </is>
      </c>
      <c r="L191" s="2" t="inlineStr">
        <is>
          <t>P0</t>
        </is>
      </c>
      <c r="M191" s="2" t="inlineStr">
        <is>
          <t>P1</t>
        </is>
      </c>
      <c r="N191" s="2" t="n">
        <v>71.09999999999999</v>
      </c>
      <c r="O191" s="2" t="n">
        <v>75</v>
      </c>
      <c r="P191" s="2" t="n">
        <v>67.40000000000001</v>
      </c>
      <c r="Q191" s="2" t="n">
        <v>73</v>
      </c>
      <c r="R191" s="2" t="n">
        <v>50</v>
      </c>
      <c r="S191" s="2" t="inlineStr">
        <is>
          <t>C1-DIRECT-VERIFIED</t>
        </is>
      </c>
      <c r="T191" s="2" t="inlineStr">
        <is>
          <t>Personal 1:1 email from founder/team to published business email</t>
        </is>
      </c>
      <c r="U191" s="2" t="inlineStr">
        <is>
          <t>https://www.andblackstudio.com/</t>
        </is>
      </c>
      <c r="V191" s="2" t="inlineStr">
        <is>
          <t>2026-08 — TAD feature: Green Court Explores a New Approach to Courtyard Living in Ahmedabad | andblack design studio</t>
        </is>
      </c>
      <c r="W191" s="2" t="inlineStr">
        <is>
          <t>Residential Architecture Design — The House of Green Court, Ahmedabad (TAD 2026-08)</t>
        </is>
      </c>
      <c r="X191" s="2" t="inlineStr">
        <is>
          <t>The Architects Diary (Editorial project feature (3 in 2025–26))</t>
        </is>
      </c>
      <c r="Y191" s="2" t="inlineStr">
        <is>
          <t>Readiness 71 (top 26% in category) | Commercial: Residential Architecture Design — The House of Green Court, Ahmedabad (TAD 2026-08) | Active: 2026-08 — TAD feature: Green Court Explores a New Approach to Courtya…</t>
        </is>
      </c>
      <c r="Z191" s="2" t="inlineStr">
        <is>
          <t>Lead with a specific built project. Present Uepaki as a professional home for the practice's services and project work under its own name. No lead promises.</t>
        </is>
      </c>
      <c r="AA191" s="2" t="inlineStr">
        <is>
          <t>Leads largely via referrals/own site and trade-media features</t>
        </is>
      </c>
      <c r="AB191" s="2" t="inlineStr">
        <is>
          <t>Work comes via referrals; project-based work fit; profile upkeep effort</t>
        </is>
      </c>
      <c r="AC191" s="2" t="inlineStr">
        <is>
          <t>E05 channel/segment test (assign at wave start)</t>
        </is>
      </c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</row>
    <row r="192">
      <c r="A192" s="2" t="n">
        <v>191</v>
      </c>
      <c r="B192" s="2" t="inlineStr">
        <is>
          <t>Wave 2 — Category &amp; city expansion</t>
        </is>
      </c>
      <c r="C192" s="2" t="inlineStr">
        <is>
          <t>UPK2-SD-022</t>
        </is>
      </c>
      <c r="D192" s="2" t="inlineStr">
        <is>
          <t>Delhi Collective</t>
        </is>
      </c>
      <c r="E192" s="2" t="inlineStr">
        <is>
          <t>Space &amp; Design</t>
        </is>
      </c>
      <c r="F192" s="2" t="inlineStr">
        <is>
          <t>SD-ARCHITECTURE</t>
        </is>
      </c>
      <c r="G192" s="2" t="inlineStr">
        <is>
          <t>Home &amp; Space</t>
        </is>
      </c>
      <c r="H192" s="2" t="inlineStr">
        <is>
          <t>Architecture, interiors, product; restoration</t>
        </is>
      </c>
      <c r="I192" s="2" t="inlineStr">
        <is>
          <t>Delhi NCR</t>
        </is>
      </c>
      <c r="J192" s="2" t="inlineStr">
        <is>
          <t>B — Established Independent</t>
        </is>
      </c>
      <c r="K192" s="2" t="inlineStr">
        <is>
          <t>Design studio/practice</t>
        </is>
      </c>
      <c r="L192" s="2" t="inlineStr">
        <is>
          <t>P0</t>
        </is>
      </c>
      <c r="M192" s="2" t="inlineStr">
        <is>
          <t>P0</t>
        </is>
      </c>
      <c r="N192" s="2" t="n">
        <v>74.8</v>
      </c>
      <c r="O192" s="2" t="n">
        <v>94</v>
      </c>
      <c r="P192" s="2" t="n">
        <v>67.2</v>
      </c>
      <c r="Q192" s="2" t="n">
        <v>76</v>
      </c>
      <c r="R192" s="2" t="n">
        <v>35</v>
      </c>
      <c r="S192" s="2" t="inlineStr">
        <is>
          <t>C1-DIRECT-VERIFIED</t>
        </is>
      </c>
      <c r="T192" s="2" t="inlineStr">
        <is>
          <t>Personal 1:1 email from founder/team to published business email</t>
        </is>
      </c>
      <c r="U192" s="2" t="inlineStr">
        <is>
          <t>https://www.delhicollective.com/contact</t>
        </is>
      </c>
      <c r="V192" s="2" t="inlineStr">
        <is>
          <t>2026-09 — TAD Discovery Delhi NCR 20</t>
        </is>
      </c>
      <c r="W192" s="2" t="inlineStr">
        <is>
          <t>Adaptive reuse/restoration (White House, Dehradun)</t>
        </is>
      </c>
      <c r="X192" s="2" t="inlineStr">
        <is>
          <t>The Architects Diary (Editorial feature/list)</t>
        </is>
      </c>
      <c r="Y192" s="2" t="inlineStr">
        <is>
          <t>Readiness 75 (top 7% in category) | Commercial: Adaptive reuse/restoration (White House, Dehradun) | Active: 2026-09 — TAD Discovery Delhi NCR 20 | Independent/emerging tier — fame not a factor</t>
        </is>
      </c>
      <c r="Z192" s="2" t="inlineStr">
        <is>
          <t>Lead with a specific built project. Present Uepaki as a professional home for the practice's services and project work under its own name. No lead promises.</t>
        </is>
      </c>
      <c r="AA192" s="2" t="inlineStr">
        <is>
          <t>Small team; may prioritise direct client work and Instagram over new platforms</t>
        </is>
      </c>
      <c r="AB192" s="2" t="inlineStr">
        <is>
          <t>Work comes via referrals; project-based work fit; profile upkeep effort</t>
        </is>
      </c>
      <c r="AC192" s="2" t="inlineStr">
        <is>
          <t>E05 channel/segment test (assign at wave start)</t>
        </is>
      </c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</row>
    <row r="193">
      <c r="A193" s="2" t="n">
        <v>192</v>
      </c>
      <c r="B193" s="2" t="inlineStr">
        <is>
          <t>Wave 2 — Category &amp; city expansion</t>
        </is>
      </c>
      <c r="C193" s="2" t="inlineStr">
        <is>
          <t>UPK2-SD-026</t>
        </is>
      </c>
      <c r="D193" s="2" t="inlineStr">
        <is>
          <t>DADA Partners</t>
        </is>
      </c>
      <c r="E193" s="2" t="inlineStr">
        <is>
          <t>Space &amp; Design</t>
        </is>
      </c>
      <c r="F193" s="2" t="inlineStr">
        <is>
          <t>SD-ARCHITECTURE</t>
        </is>
      </c>
      <c r="G193" s="2" t="inlineStr">
        <is>
          <t>Home &amp; Space</t>
        </is>
      </c>
      <c r="H193" s="2" t="inlineStr">
        <is>
          <t>Architecture practice</t>
        </is>
      </c>
      <c r="I193" s="2" t="inlineStr">
        <is>
          <t>Delhi NCR</t>
        </is>
      </c>
      <c r="J193" s="2" t="inlineStr">
        <is>
          <t>C — Strong Mid-tier</t>
        </is>
      </c>
      <c r="K193" s="2" t="inlineStr">
        <is>
          <t>Design studio/practice</t>
        </is>
      </c>
      <c r="L193" s="2" t="inlineStr">
        <is>
          <t>P0</t>
        </is>
      </c>
      <c r="M193" s="2" t="inlineStr">
        <is>
          <t>P1</t>
        </is>
      </c>
      <c r="N193" s="2" t="n">
        <v>74.2</v>
      </c>
      <c r="O193" s="2" t="n">
        <v>92</v>
      </c>
      <c r="P193" s="2" t="n">
        <v>69.2</v>
      </c>
      <c r="Q193" s="2" t="n">
        <v>77</v>
      </c>
      <c r="R193" s="2" t="n">
        <v>45</v>
      </c>
      <c r="S193" s="2" t="inlineStr">
        <is>
          <t>C1-DIRECT-VERIFIED</t>
        </is>
      </c>
      <c r="T193" s="2" t="inlineStr">
        <is>
          <t>Personal 1:1 email from founder/team to published business email</t>
        </is>
      </c>
      <c r="U193" s="2" t="inlineStr">
        <is>
          <t>https://dadapartners.com/</t>
        </is>
      </c>
      <c r="V193" s="2" t="inlineStr">
        <is>
          <t>2026-04 — TAD feature: Prairie-inspired patio house</t>
        </is>
      </c>
      <c r="W193" s="2" t="inlineStr">
        <is>
          <t>Courtyard patio house feature (Apr 2026)</t>
        </is>
      </c>
      <c r="X193" s="2" t="inlineStr">
        <is>
          <t>The Architects Diary (Editorial feature/list)</t>
        </is>
      </c>
      <c r="Y193" s="2" t="inlineStr">
        <is>
          <t>Readiness 74 (top 9% in category) | Commercial: Courtyard patio house feature (Apr 2026) | Active: 2026-04 — TAD feature: Prairie-inspired patio house</t>
        </is>
      </c>
      <c r="Z193" s="2" t="inlineStr">
        <is>
          <t>Lead with a specific built project. Present Uepaki as a professional home for the practice's services and project work under its own name. No lead promises.</t>
        </is>
      </c>
      <c r="AA193" s="2" t="inlineStr">
        <is>
          <t>Established practice with steady referral/press pipeline; may see limited need for another channel</t>
        </is>
      </c>
      <c r="AB193" s="2" t="inlineStr">
        <is>
          <t>Work comes via referrals; project-based work fit; profile upkeep effort</t>
        </is>
      </c>
      <c r="AC193" s="2" t="inlineStr">
        <is>
          <t>E05 channel/segment test (assign at wave start)</t>
        </is>
      </c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</row>
    <row r="194">
      <c r="A194" s="2" t="n">
        <v>193</v>
      </c>
      <c r="B194" s="2" t="inlineStr">
        <is>
          <t>Wave 2 — Category &amp; city expansion</t>
        </is>
      </c>
      <c r="C194" s="2" t="inlineStr">
        <is>
          <t>UPK2-SD-020</t>
        </is>
      </c>
      <c r="D194" s="2" t="inlineStr">
        <is>
          <t>Studio Juggernaut</t>
        </is>
      </c>
      <c r="E194" s="2" t="inlineStr">
        <is>
          <t>Space &amp; Design</t>
        </is>
      </c>
      <c r="F194" s="2" t="inlineStr">
        <is>
          <t>SD-ARCHITECTURE</t>
        </is>
      </c>
      <c r="G194" s="2" t="inlineStr">
        <is>
          <t>Home &amp; Space</t>
        </is>
      </c>
      <c r="H194" s="2" t="inlineStr">
        <is>
          <t>Architecture studio</t>
        </is>
      </c>
      <c r="I194" s="2" t="inlineStr">
        <is>
          <t>Delhi NCR</t>
        </is>
      </c>
      <c r="J194" s="2" t="inlineStr">
        <is>
          <t>B — Established Independent</t>
        </is>
      </c>
      <c r="K194" s="2" t="inlineStr">
        <is>
          <t>Design studio/practice</t>
        </is>
      </c>
      <c r="L194" s="2" t="inlineStr">
        <is>
          <t>P0</t>
        </is>
      </c>
      <c r="M194" s="2" t="inlineStr">
        <is>
          <t>P0</t>
        </is>
      </c>
      <c r="N194" s="2" t="n">
        <v>74.8</v>
      </c>
      <c r="O194" s="2" t="n">
        <v>94</v>
      </c>
      <c r="P194" s="2" t="n">
        <v>67.2</v>
      </c>
      <c r="Q194" s="2" t="n">
        <v>76</v>
      </c>
      <c r="R194" s="2" t="n">
        <v>35</v>
      </c>
      <c r="S194" s="2" t="inlineStr">
        <is>
          <t>C1-DIRECT-VERIFIED</t>
        </is>
      </c>
      <c r="T194" s="2" t="inlineStr">
        <is>
          <t>Personal 1:1 email from founder/team to published business email</t>
        </is>
      </c>
      <c r="U194" s="2" t="inlineStr">
        <is>
          <t>https://studiojuggernaut.com/contact</t>
        </is>
      </c>
      <c r="V194" s="2" t="inlineStr">
        <is>
          <t>2026-10 — TAD feature: Transformation House, Gurugram</t>
        </is>
      </c>
      <c r="W194" s="2" t="inlineStr">
        <is>
          <t>Transformation House Gurugram (Oct 2026)</t>
        </is>
      </c>
      <c r="X194" s="2" t="inlineStr">
        <is>
          <t>The Architects Diary (Editorial feature/list)</t>
        </is>
      </c>
      <c r="Y194" s="2" t="inlineStr">
        <is>
          <t>Readiness 75 (top 7% in category) | Commercial: Transformation House Gurugram (Oct 2026) | Active: 2026-10 — TAD feature: Transformation House, Gurugram | Independent/emerging tier — fame not a factor</t>
        </is>
      </c>
      <c r="Z194" s="2" t="inlineStr">
        <is>
          <t>Lead with a specific built project. Present Uepaki as a professional home for the practice's services and project work under its own name. No lead promises.</t>
        </is>
      </c>
      <c r="AA194" s="2" t="inlineStr">
        <is>
          <t>Small team; may prioritise direct client work and Instagram over new platforms</t>
        </is>
      </c>
      <c r="AB194" s="2" t="inlineStr">
        <is>
          <t>Work comes via referrals; project-based work fit; profile upkeep effort</t>
        </is>
      </c>
      <c r="AC194" s="2" t="inlineStr">
        <is>
          <t>E05 channel/segment test (assign at wave start)</t>
        </is>
      </c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</row>
    <row r="195">
      <c r="A195" s="2" t="n">
        <v>194</v>
      </c>
      <c r="B195" s="2" t="inlineStr">
        <is>
          <t>Wave 2 — Category &amp; city expansion</t>
        </is>
      </c>
      <c r="C195" s="2" t="inlineStr">
        <is>
          <t>UPK2-SD-094</t>
        </is>
      </c>
      <c r="D195" s="2" t="inlineStr">
        <is>
          <t>Redwall Design Studio</t>
        </is>
      </c>
      <c r="E195" s="2" t="inlineStr">
        <is>
          <t>Space &amp; Design</t>
        </is>
      </c>
      <c r="F195" s="2" t="inlineStr">
        <is>
          <t>SD-ARCHITECTURE</t>
        </is>
      </c>
      <c r="G195" s="2" t="inlineStr">
        <is>
          <t>Home &amp; Space</t>
        </is>
      </c>
      <c r="H195" s="2" t="inlineStr">
        <is>
          <t>Architecture &amp; interior design studio</t>
        </is>
      </c>
      <c r="I195" s="2" t="inlineStr">
        <is>
          <t>Bengaluru</t>
        </is>
      </c>
      <c r="J195" s="2" t="inlineStr">
        <is>
          <t>C — Strong Mid-tier</t>
        </is>
      </c>
      <c r="K195" s="2" t="inlineStr">
        <is>
          <t>Design studio / practice</t>
        </is>
      </c>
      <c r="L195" s="2" t="inlineStr">
        <is>
          <t>P0</t>
        </is>
      </c>
      <c r="M195" s="2" t="inlineStr">
        <is>
          <t>P1</t>
        </is>
      </c>
      <c r="N195" s="2" t="n">
        <v>70.09999999999999</v>
      </c>
      <c r="O195" s="2" t="n">
        <v>64</v>
      </c>
      <c r="P195" s="2" t="n">
        <v>67.2</v>
      </c>
      <c r="Q195" s="2" t="n">
        <v>74</v>
      </c>
      <c r="R195" s="2" t="n">
        <v>50</v>
      </c>
      <c r="S195" s="2" t="inlineStr">
        <is>
          <t>C1-DIRECT-VERIFIED</t>
        </is>
      </c>
      <c r="T195" s="2" t="inlineStr">
        <is>
          <t>Personal 1:1 email from founder/team to published business email</t>
        </is>
      </c>
      <c r="U195" s="2" t="inlineStr">
        <is>
          <t>https://redwall.in/</t>
        </is>
      </c>
      <c r="V195" s="2" t="inlineStr">
        <is>
          <t>2026-10 — TAD feature: House Of The Framed Atrium Gives Vertical Living A Nature Filled Heart | Redwall Design Studio</t>
        </is>
      </c>
      <c r="W195" s="2" t="inlineStr">
        <is>
          <t>Residential Architecture Design — House of the Framed Atrium, Bangalore, Karnataka (TAD 2026-10)</t>
        </is>
      </c>
      <c r="X195" s="2" t="inlineStr">
        <is>
          <t>The Architects Diary (Editorial project feature (1 in 2025–26))</t>
        </is>
      </c>
      <c r="Y195" s="2" t="inlineStr">
        <is>
          <t>Readiness 70 (top 37% in category) | Commercial: Residential Architecture Design — House of the Framed Atrium, Bangalore, Karnataka (TAD 2… | Active: 2026-10 — TAD feature: House Of The Framed Atrium Gives Vertical Livi…</t>
        </is>
      </c>
      <c r="Z195" s="2" t="inlineStr">
        <is>
          <t>Lead with a specific built project. Present Uepaki as a professional home for the practice's services and project work under its own name. No lead promises.</t>
        </is>
      </c>
      <c r="AA195" s="2" t="inlineStr">
        <is>
          <t>Leads largely via referrals/own site and trade-media features</t>
        </is>
      </c>
      <c r="AB195" s="2" t="inlineStr">
        <is>
          <t>Work comes via referrals; project-based work fit; profile upkeep effort</t>
        </is>
      </c>
      <c r="AC195" s="2" t="inlineStr">
        <is>
          <t>E05 channel/segment test (assign at wave start)</t>
        </is>
      </c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</row>
    <row r="196">
      <c r="A196" s="2" t="n">
        <v>195</v>
      </c>
      <c r="B196" s="2" t="inlineStr">
        <is>
          <t>Wave 2 — Category &amp; city expansion</t>
        </is>
      </c>
      <c r="C196" s="2" t="inlineStr">
        <is>
          <t>UPK2-SD-030</t>
        </is>
      </c>
      <c r="D196" s="2" t="inlineStr">
        <is>
          <t>Studio Windows To Vernacular</t>
        </is>
      </c>
      <c r="E196" s="2" t="inlineStr">
        <is>
          <t>Space &amp; Design</t>
        </is>
      </c>
      <c r="F196" s="2" t="inlineStr">
        <is>
          <t>SD-ARCHITECTURE</t>
        </is>
      </c>
      <c r="G196" s="2" t="inlineStr">
        <is>
          <t>Home &amp; Space</t>
        </is>
      </c>
      <c r="H196" s="2" t="inlineStr">
        <is>
          <t>Vernacular architecture practice</t>
        </is>
      </c>
      <c r="I196" s="2" t="inlineStr">
        <is>
          <t>Delhi NCR</t>
        </is>
      </c>
      <c r="J196" s="2" t="inlineStr">
        <is>
          <t>B — Established Independent</t>
        </is>
      </c>
      <c r="K196" s="2" t="inlineStr">
        <is>
          <t>Design studio/practice</t>
        </is>
      </c>
      <c r="L196" s="2" t="inlineStr">
        <is>
          <t>P0</t>
        </is>
      </c>
      <c r="M196" s="2" t="inlineStr">
        <is>
          <t>P0</t>
        </is>
      </c>
      <c r="N196" s="2" t="n">
        <v>76.09999999999999</v>
      </c>
      <c r="O196" s="2" t="n">
        <v>99</v>
      </c>
      <c r="P196" s="2" t="n">
        <v>66.90000000000001</v>
      </c>
      <c r="Q196" s="2" t="n">
        <v>73</v>
      </c>
      <c r="R196" s="2" t="n">
        <v>35</v>
      </c>
      <c r="S196" s="2" t="inlineStr">
        <is>
          <t>C1-DIRECT-VERIFIED</t>
        </is>
      </c>
      <c r="T196" s="2" t="inlineStr">
        <is>
          <t>Personal 1:1 email from founder/team to published business email</t>
        </is>
      </c>
      <c r="U196" s="2" t="inlineStr">
        <is>
          <t>https://www.windowstovernacular.com/</t>
        </is>
      </c>
      <c r="V196" s="2" t="inlineStr">
        <is>
          <t>2026-09 — TAD50 Edition 2</t>
        </is>
      </c>
      <c r="W196" s="2" t="inlineStr">
        <is>
          <t>Workshop campus in natural materials; TAD50 2026</t>
        </is>
      </c>
      <c r="X196" s="2" t="inlineStr">
        <is>
          <t>The Architects Diary (Editorial feature/list); The Architects Diary (Editorial feature/list)</t>
        </is>
      </c>
      <c r="Y196" s="2" t="inlineStr">
        <is>
          <t>Readiness 76 (top 2% in category) | Commercial: Workshop campus in natural materials; TAD50 2026 | Active: 2026-09 — TAD50 Edition 2 | Independent/emerging tier — fame not a factor</t>
        </is>
      </c>
      <c r="Z196" s="2" t="inlineStr">
        <is>
          <t>Lead with a specific built project. Present Uepaki as a professional home for the practice's services and project work under its own name. No lead promises.</t>
        </is>
      </c>
      <c r="AA196" s="2" t="inlineStr">
        <is>
          <t>Small team; may prioritise direct client work and Instagram over new platforms</t>
        </is>
      </c>
      <c r="AB196" s="2" t="inlineStr">
        <is>
          <t>Work comes via referrals; project-based work fit; profile upkeep effort</t>
        </is>
      </c>
      <c r="AC196" s="2" t="inlineStr">
        <is>
          <t>E05 channel/segment test (assign at wave start)</t>
        </is>
      </c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</row>
    <row r="197">
      <c r="A197" s="2" t="n">
        <v>196</v>
      </c>
      <c r="B197" s="2" t="inlineStr">
        <is>
          <t>Wave 2 — Category &amp; city expansion</t>
        </is>
      </c>
      <c r="C197" s="2" t="inlineStr">
        <is>
          <t>UPK2-SD-144</t>
        </is>
      </c>
      <c r="D197" s="2" t="inlineStr">
        <is>
          <t>Source Architecture</t>
        </is>
      </c>
      <c r="E197" s="2" t="inlineStr">
        <is>
          <t>Space &amp; Design</t>
        </is>
      </c>
      <c r="F197" s="2" t="inlineStr">
        <is>
          <t>SD-ARCHITECTURE</t>
        </is>
      </c>
      <c r="G197" s="2" t="inlineStr">
        <is>
          <t>Home &amp; Space</t>
        </is>
      </c>
      <c r="H197" s="2" t="inlineStr">
        <is>
          <t>Architecture &amp; interior design studio</t>
        </is>
      </c>
      <c r="I197" s="2" t="inlineStr">
        <is>
          <t>Bengaluru</t>
        </is>
      </c>
      <c r="J197" s="2" t="inlineStr">
        <is>
          <t>C — Strong Mid-tier</t>
        </is>
      </c>
      <c r="K197" s="2" t="inlineStr">
        <is>
          <t>Design studio / practice</t>
        </is>
      </c>
      <c r="L197" s="2" t="inlineStr">
        <is>
          <t>P0</t>
        </is>
      </c>
      <c r="M197" s="2" t="inlineStr">
        <is>
          <t>P1</t>
        </is>
      </c>
      <c r="N197" s="2" t="n">
        <v>69.09999999999999</v>
      </c>
      <c r="O197" s="2" t="n">
        <v>61</v>
      </c>
      <c r="P197" s="2" t="n">
        <v>66.40000000000001</v>
      </c>
      <c r="Q197" s="2" t="n">
        <v>73</v>
      </c>
      <c r="R197" s="2" t="n">
        <v>50</v>
      </c>
      <c r="S197" s="2" t="inlineStr">
        <is>
          <t>C1-DIRECT-VERIFIED</t>
        </is>
      </c>
      <c r="T197" s="2" t="inlineStr">
        <is>
          <t>Personal 1:1 email from founder/team to published business email</t>
        </is>
      </c>
      <c r="U197" s="2" t="inlineStr">
        <is>
          <t>https://www.source.archi/</t>
        </is>
      </c>
      <c r="V197" s="2" t="inlineStr">
        <is>
          <t>2026-08 — TAD feature: Ananta Home Blends Heritage and Modern Living in North Bangalore | Source Architecture</t>
        </is>
      </c>
      <c r="W197" s="2" t="inlineStr">
        <is>
          <t>Residential Interior Design — Ananta Home, Bangalore, India (TAD 2026-08)</t>
        </is>
      </c>
      <c r="X197" s="2" t="inlineStr">
        <is>
          <t>The Architects Diary (Editorial project feature (2 in 2025–26))</t>
        </is>
      </c>
      <c r="Y197" s="2" t="inlineStr">
        <is>
          <t>Readiness 69 (top 40% in category) | Commercial: Residential Interior Design — Ananta Home, Bangalore, India (TAD 2026-08) | Active: 2026-08 — TAD feature: Ananta Home Blends Heritage and Modern Living…</t>
        </is>
      </c>
      <c r="Z197" s="2" t="inlineStr">
        <is>
          <t>Lead with a specific built project. Present Uepaki as a professional home for the practice's services and project work under its own name. No lead promises.</t>
        </is>
      </c>
      <c r="AA197" s="2" t="inlineStr">
        <is>
          <t>Leads largely via referrals/own site and trade-media features</t>
        </is>
      </c>
      <c r="AB197" s="2" t="inlineStr">
        <is>
          <t>Work comes via referrals; project-based work fit; profile upkeep effort</t>
        </is>
      </c>
      <c r="AC197" s="2" t="inlineStr">
        <is>
          <t>E05 channel/segment test (assign at wave start)</t>
        </is>
      </c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</row>
    <row r="198">
      <c r="A198" s="2" t="n">
        <v>197</v>
      </c>
      <c r="B198" s="2" t="inlineStr">
        <is>
          <t>Wave 2 — Category &amp; city expansion</t>
        </is>
      </c>
      <c r="C198" s="2" t="inlineStr">
        <is>
          <t>UPK2-SD-060</t>
        </is>
      </c>
      <c r="D198" s="2" t="inlineStr">
        <is>
          <t>The Grid Architects</t>
        </is>
      </c>
      <c r="E198" s="2" t="inlineStr">
        <is>
          <t>Space &amp; Design</t>
        </is>
      </c>
      <c r="F198" s="2" t="inlineStr">
        <is>
          <t>SD-ARCHITECTURE</t>
        </is>
      </c>
      <c r="G198" s="2" t="inlineStr">
        <is>
          <t>Home &amp; Space</t>
        </is>
      </c>
      <c r="H198" s="2" t="inlineStr">
        <is>
          <t>Architecture &amp; interior design studio</t>
        </is>
      </c>
      <c r="I198" s="2" t="inlineStr">
        <is>
          <t>Ahmedabad</t>
        </is>
      </c>
      <c r="J198" s="2" t="inlineStr">
        <is>
          <t>C — Strong Mid-tier</t>
        </is>
      </c>
      <c r="K198" s="2" t="inlineStr">
        <is>
          <t>Design studio / practice</t>
        </is>
      </c>
      <c r="L198" s="2" t="inlineStr">
        <is>
          <t>P0</t>
        </is>
      </c>
      <c r="M198" s="2" t="inlineStr">
        <is>
          <t>P1</t>
        </is>
      </c>
      <c r="N198" s="2" t="n">
        <v>72.09999999999999</v>
      </c>
      <c r="O198" s="2" t="n">
        <v>83</v>
      </c>
      <c r="P198" s="2" t="n">
        <v>68.2</v>
      </c>
      <c r="Q198" s="2" t="n">
        <v>74</v>
      </c>
      <c r="R198" s="2" t="n">
        <v>50</v>
      </c>
      <c r="S198" s="2" t="inlineStr">
        <is>
          <t>C1-DIRECT-VERIFIED</t>
        </is>
      </c>
      <c r="T198" s="2" t="inlineStr">
        <is>
          <t>Personal 1:1 email from founder/team to published business email</t>
        </is>
      </c>
      <c r="U198" s="2" t="inlineStr">
        <is>
          <t>https://www.thegrid-arch.com/contact</t>
        </is>
      </c>
      <c r="V198" s="2" t="inlineStr">
        <is>
          <t>2026-06 — TAD feature: This Home With A Responsive Design Responds To The Climate Of Ahmedabad | The Grid Architects</t>
        </is>
      </c>
      <c r="W198" s="2" t="inlineStr">
        <is>
          <t>Residential Architecture Design — Valaya Villa, Ahmedabad (TAD 2026-06)</t>
        </is>
      </c>
      <c r="X198" s="2" t="inlineStr">
        <is>
          <t>The Architects Diary (Editorial project feature (2 in 2025–26))</t>
        </is>
      </c>
      <c r="Y198" s="2" t="inlineStr">
        <is>
          <t>Readiness 72 (top 18% in category) | Commercial: Residential Architecture Design — Valaya Villa, Ahmedabad (TAD 2026-06) | Active: 2026-06 — TAD feature: This Home With A Responsive Design Responds To…</t>
        </is>
      </c>
      <c r="Z198" s="2" t="inlineStr">
        <is>
          <t>Lead with a specific built project. Present Uepaki as a professional home for the practice's services and project work under its own name. No lead promises.</t>
        </is>
      </c>
      <c r="AA198" s="2" t="inlineStr">
        <is>
          <t>Leads largely via referrals/own site and trade-media features</t>
        </is>
      </c>
      <c r="AB198" s="2" t="inlineStr">
        <is>
          <t>Work comes via referrals; project-based work fit; profile upkeep effort</t>
        </is>
      </c>
      <c r="AC198" s="2" t="inlineStr">
        <is>
          <t>E05 channel/segment test (assign at wave start)</t>
        </is>
      </c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</row>
    <row r="199">
      <c r="A199" s="2" t="n">
        <v>198</v>
      </c>
      <c r="B199" s="2" t="inlineStr">
        <is>
          <t>Wave 2 — Category &amp; city expansion</t>
        </is>
      </c>
      <c r="C199" s="2" t="inlineStr">
        <is>
          <t>UPK2-SD-073</t>
        </is>
      </c>
      <c r="D199" s="2" t="inlineStr">
        <is>
          <t>Nebulous Design Workshop P Ltd</t>
        </is>
      </c>
      <c r="E199" s="2" t="inlineStr">
        <is>
          <t>Space &amp; Design</t>
        </is>
      </c>
      <c r="F199" s="2" t="inlineStr">
        <is>
          <t>SD-INTERIOR</t>
        </is>
      </c>
      <c r="G199" s="2" t="inlineStr">
        <is>
          <t>Home &amp; Space</t>
        </is>
      </c>
      <c r="H199" s="2" t="inlineStr">
        <is>
          <t>Interior design studio</t>
        </is>
      </c>
      <c r="I199" s="2" t="inlineStr">
        <is>
          <t>Bengaluru</t>
        </is>
      </c>
      <c r="J199" s="2" t="inlineStr">
        <is>
          <t>C — Strong Mid-tier</t>
        </is>
      </c>
      <c r="K199" s="2" t="inlineStr">
        <is>
          <t>Design studio / practice</t>
        </is>
      </c>
      <c r="L199" s="2" t="inlineStr">
        <is>
          <t>P0</t>
        </is>
      </c>
      <c r="M199" s="2" t="inlineStr">
        <is>
          <t>P1</t>
        </is>
      </c>
      <c r="N199" s="2" t="n">
        <v>71.09999999999999</v>
      </c>
      <c r="O199" s="2" t="n">
        <v>75</v>
      </c>
      <c r="P199" s="2" t="n">
        <v>67.8</v>
      </c>
      <c r="Q199" s="2" t="n">
        <v>74</v>
      </c>
      <c r="R199" s="2" t="n">
        <v>50</v>
      </c>
      <c r="S199" s="2" t="inlineStr">
        <is>
          <t>C1-DIRECT-VERIFIED</t>
        </is>
      </c>
      <c r="T199" s="2" t="inlineStr">
        <is>
          <t>Personal 1:1 email from founder/team to published business email</t>
        </is>
      </c>
      <c r="U199" s="2" t="inlineStr">
        <is>
          <t>https://www.nebulousdesign.com/contact-us/</t>
        </is>
      </c>
      <c r="V199" s="2" t="inlineStr">
        <is>
          <t>2026-04 — TAD feature: A 50-year-old Home Is Revived Into A Vibrant Abode With Light &amp; Life | Nebulous Design Workshop P Ltd</t>
        </is>
      </c>
      <c r="W199" s="2" t="inlineStr">
        <is>
          <t>Apartment Interior Design — Saundh, Bangalore (TAD 2026-04)</t>
        </is>
      </c>
      <c r="X199" s="2" t="inlineStr">
        <is>
          <t>The Architects Diary (Editorial project feature (2 in 2025–26))</t>
        </is>
      </c>
      <c r="Y199" s="2" t="inlineStr">
        <is>
          <t>Readiness 71 (top 26% in category) | Commercial: Apartment Interior Design — Saundh, Bangalore (TAD 2026-04) | Active: 2026-04 — TAD feature: A 50-year-old Home Is Revived Into A Vibrant A…</t>
        </is>
      </c>
      <c r="Z199" s="2" t="inlineStr">
        <is>
          <t>Lead with a specific interior project. Services and project work under the studio's own name. No enquiry promises.</t>
        </is>
      </c>
      <c r="AA199" s="2" t="inlineStr">
        <is>
          <t>Leads largely via referrals/own site and trade-media features</t>
        </is>
      </c>
      <c r="AB199" s="2" t="inlineStr">
        <is>
          <t>Work comes via referrals; project-based work fit; profile upkeep effort</t>
        </is>
      </c>
      <c r="AC199" s="2" t="inlineStr">
        <is>
          <t>E05 channel/segment test (assign at wave start)</t>
        </is>
      </c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</row>
    <row r="200">
      <c r="A200" s="2" t="n">
        <v>199</v>
      </c>
      <c r="B200" s="2" t="inlineStr">
        <is>
          <t>Wave 2 — Category &amp; city expansion</t>
        </is>
      </c>
      <c r="C200" s="2" t="inlineStr">
        <is>
          <t>UPK2-SD-059</t>
        </is>
      </c>
      <c r="D200" s="2" t="inlineStr">
        <is>
          <t>Vikas Bhujbal Design</t>
        </is>
      </c>
      <c r="E200" s="2" t="inlineStr">
        <is>
          <t>Space &amp; Design</t>
        </is>
      </c>
      <c r="F200" s="2" t="inlineStr">
        <is>
          <t>SD-INTERIOR</t>
        </is>
      </c>
      <c r="G200" s="2" t="inlineStr">
        <is>
          <t>Home &amp; Space</t>
        </is>
      </c>
      <c r="H200" s="2" t="inlineStr">
        <is>
          <t>Interior design studio</t>
        </is>
      </c>
      <c r="I200" s="2" t="inlineStr">
        <is>
          <t>Mumbai</t>
        </is>
      </c>
      <c r="J200" s="2" t="inlineStr">
        <is>
          <t>C — Strong Mid-tier</t>
        </is>
      </c>
      <c r="K200" s="2" t="inlineStr">
        <is>
          <t>Design studio / practice</t>
        </is>
      </c>
      <c r="L200" s="2" t="inlineStr">
        <is>
          <t>P0</t>
        </is>
      </c>
      <c r="M200" s="2" t="inlineStr">
        <is>
          <t>P1</t>
        </is>
      </c>
      <c r="N200" s="2" t="n">
        <v>71.09999999999999</v>
      </c>
      <c r="O200" s="2" t="n">
        <v>75</v>
      </c>
      <c r="P200" s="2" t="n">
        <v>67.8</v>
      </c>
      <c r="Q200" s="2" t="n">
        <v>74</v>
      </c>
      <c r="R200" s="2" t="n">
        <v>50</v>
      </c>
      <c r="S200" s="2" t="inlineStr">
        <is>
          <t>C1-DIRECT-VERIFIED</t>
        </is>
      </c>
      <c r="T200" s="2" t="inlineStr">
        <is>
          <t>Personal 1:1 email from founder/team to published business email</t>
        </is>
      </c>
      <c r="U200" s="2" t="inlineStr">
        <is>
          <t>https://www.vikasbhujbal.com/contact.html</t>
        </is>
      </c>
      <c r="V200" s="2" t="inlineStr">
        <is>
          <t>2026-03 — TAD feature: This Sales Office In Mumbai Is A Spatial Reflection Of A Modern Vision | Vikas Bhujbal Design</t>
        </is>
      </c>
      <c r="W200" s="2" t="inlineStr">
        <is>
          <t>Office Interior Design — MOHAN Sales Office, Mumbai (TAD 2026-03)</t>
        </is>
      </c>
      <c r="X200" s="2" t="inlineStr">
        <is>
          <t>The Architects Diary (Editorial project feature (2 in 2025–26))</t>
        </is>
      </c>
      <c r="Y200" s="2" t="inlineStr">
        <is>
          <t>Readiness 71 (top 26% in category) | Commercial: Office Interior Design — MOHAN Sales Office, Mumbai (TAD 2026-03) | Active: 2026-03 — TAD feature: This Sales Office In Mumbai Is A Spatial Refle…</t>
        </is>
      </c>
      <c r="Z200" s="2" t="inlineStr">
        <is>
          <t>Lead with a specific interior project. Services and project work under the studio's own name. No enquiry promises.</t>
        </is>
      </c>
      <c r="AA200" s="2" t="inlineStr">
        <is>
          <t>Leads largely via referrals/own site and trade-media features</t>
        </is>
      </c>
      <c r="AB200" s="2" t="inlineStr">
        <is>
          <t>Work comes via referrals; project-based work fit; profile upkeep effort</t>
        </is>
      </c>
      <c r="AC200" s="2" t="inlineStr">
        <is>
          <t>E05 channel/segment test (assign at wave start)</t>
        </is>
      </c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</row>
    <row r="201">
      <c r="A201" s="2" t="n">
        <v>200</v>
      </c>
      <c r="B201" s="2" t="inlineStr">
        <is>
          <t>Wave 2 — Category &amp; city expansion</t>
        </is>
      </c>
      <c r="C201" s="2" t="inlineStr">
        <is>
          <t>UPK2-SD-168</t>
        </is>
      </c>
      <c r="D201" s="2" t="inlineStr">
        <is>
          <t>Aashni Kumar</t>
        </is>
      </c>
      <c r="E201" s="2" t="inlineStr">
        <is>
          <t>Space &amp; Design</t>
        </is>
      </c>
      <c r="F201" s="2" t="inlineStr">
        <is>
          <t>SD-INTERIOR</t>
        </is>
      </c>
      <c r="G201" s="2" t="inlineStr">
        <is>
          <t>Home &amp; Space</t>
        </is>
      </c>
      <c r="H201" s="2" t="inlineStr">
        <is>
          <t>Interior design studio</t>
        </is>
      </c>
      <c r="I201" s="2" t="inlineStr">
        <is>
          <t>Mumbai</t>
        </is>
      </c>
      <c r="J201" s="2" t="inlineStr">
        <is>
          <t>C — Strong Mid-tier</t>
        </is>
      </c>
      <c r="K201" s="2" t="inlineStr">
        <is>
          <t>Design studio / practice</t>
        </is>
      </c>
      <c r="L201" s="2" t="inlineStr">
        <is>
          <t>P0</t>
        </is>
      </c>
      <c r="M201" s="2" t="inlineStr">
        <is>
          <t>P1</t>
        </is>
      </c>
      <c r="N201" s="2" t="n">
        <v>69.09999999999999</v>
      </c>
      <c r="O201" s="2" t="n">
        <v>61</v>
      </c>
      <c r="P201" s="2" t="n">
        <v>65.59999999999999</v>
      </c>
      <c r="Q201" s="2" t="n">
        <v>70</v>
      </c>
      <c r="R201" s="2" t="n">
        <v>50</v>
      </c>
      <c r="S201" s="2" t="inlineStr">
        <is>
          <t>C1-DIRECT-VERIFIED</t>
        </is>
      </c>
      <c r="T201" s="2" t="inlineStr">
        <is>
          <t>Personal 1:1 email from founder/team to published business email</t>
        </is>
      </c>
      <c r="U201" s="2" t="inlineStr">
        <is>
          <t>https://www.aashnikumar.com/</t>
        </is>
      </c>
      <c r="V201" s="2" t="inlineStr">
        <is>
          <t>2026-08 — TAD feature: Japandi Interiors Bring Calm to This Skyscraper Home in Mumbai | Aashni Kumar</t>
        </is>
      </c>
      <c r="W201" s="2" t="inlineStr">
        <is>
          <t>Residential Interior Design — Urban Tranquility, Lower Parel, Mumbai (TAD 2026-08)</t>
        </is>
      </c>
      <c r="X201" s="2" t="inlineStr">
        <is>
          <t>The Architects Diary (Editorial project feature (1 in 2025–26))</t>
        </is>
      </c>
      <c r="Y201" s="2" t="inlineStr">
        <is>
          <t>Readiness 69 (top 40% in category) | Commercial: Residential Interior Design — Urban Tranquility, Lower Parel, Mumbai (TAD 2026-08) | Active: 2026-08 — TAD feature: Japandi Interiors Bring Calm to This Skyscrape…</t>
        </is>
      </c>
      <c r="Z201" s="2" t="inlineStr">
        <is>
          <t>Lead with a specific interior project. Services and project work under the studio's own name. No enquiry promises.</t>
        </is>
      </c>
      <c r="AA201" s="2" t="inlineStr">
        <is>
          <t>Leads largely via referrals/own site and trade-media features</t>
        </is>
      </c>
      <c r="AB201" s="2" t="inlineStr">
        <is>
          <t>Work comes via referrals; project-based work fit; profile upkeep effort</t>
        </is>
      </c>
      <c r="AC201" s="2" t="inlineStr">
        <is>
          <t>E05 channel/segment test (assign at wave start)</t>
        </is>
      </c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</row>
    <row r="202">
      <c r="A202" s="2" t="n">
        <v>201</v>
      </c>
      <c r="B202" s="2" t="inlineStr">
        <is>
          <t>Wave 2 — Category &amp; city expansion</t>
        </is>
      </c>
      <c r="C202" s="2" t="inlineStr">
        <is>
          <t>UPK2-SD-008</t>
        </is>
      </c>
      <c r="D202" s="2" t="inlineStr">
        <is>
          <t>Qube Designs</t>
        </is>
      </c>
      <c r="E202" s="2" t="inlineStr">
        <is>
          <t>Space &amp; Design</t>
        </is>
      </c>
      <c r="F202" s="2" t="inlineStr">
        <is>
          <t>SD-INTERIOR</t>
        </is>
      </c>
      <c r="G202" s="2" t="inlineStr">
        <is>
          <t>Home &amp; Space</t>
        </is>
      </c>
      <c r="H202" s="2" t="inlineStr">
        <is>
          <t>Interior design studio</t>
        </is>
      </c>
      <c r="I202" s="2" t="inlineStr">
        <is>
          <t>Delhi NCR</t>
        </is>
      </c>
      <c r="J202" s="2" t="inlineStr">
        <is>
          <t>B — Established Independent</t>
        </is>
      </c>
      <c r="K202" s="2" t="inlineStr">
        <is>
          <t>Design studio/practice</t>
        </is>
      </c>
      <c r="L202" s="2" t="inlineStr">
        <is>
          <t>P0</t>
        </is>
      </c>
      <c r="M202" s="2" t="inlineStr">
        <is>
          <t>P0</t>
        </is>
      </c>
      <c r="N202" s="2" t="n">
        <v>74.8</v>
      </c>
      <c r="O202" s="2" t="n">
        <v>94</v>
      </c>
      <c r="P202" s="2" t="n">
        <v>67.5</v>
      </c>
      <c r="Q202" s="2" t="n">
        <v>77</v>
      </c>
      <c r="R202" s="2" t="n">
        <v>35</v>
      </c>
      <c r="S202" s="2" t="inlineStr">
        <is>
          <t>C1-DIRECT-VERIFIED</t>
        </is>
      </c>
      <c r="T202" s="2" t="inlineStr">
        <is>
          <t>Personal 1:1 email from founder/team to published business email</t>
        </is>
      </c>
      <c r="U202" s="2" t="inlineStr">
        <is>
          <t>https://qubedesigns.in/</t>
        </is>
      </c>
      <c r="V202" s="2" t="inlineStr">
        <is>
          <t>2026-06 — TAD feature: dark-tone maximalist residence</t>
        </is>
      </c>
      <c r="W202" s="2" t="inlineStr">
        <is>
          <t>Maximalist residences</t>
        </is>
      </c>
      <c r="X202" s="2" t="inlineStr">
        <is>
          <t>The Architects Diary (Editorial feature/list)</t>
        </is>
      </c>
      <c r="Y202" s="2" t="inlineStr">
        <is>
          <t>Readiness 75 (top 7% in category) | Commercial: Maximalist residences | Active: 2026-06 — TAD feature: dark-tone maximalist residence | Independent/emerging tier — fame not a factor</t>
        </is>
      </c>
      <c r="Z202" s="2" t="inlineStr">
        <is>
          <t>Lead with a specific interior project. Services and project work under the studio's own name. No enquiry promises.</t>
        </is>
      </c>
      <c r="AA202" s="2" t="inlineStr">
        <is>
          <t>Small team; may prioritise direct client work and Instagram over new platforms</t>
        </is>
      </c>
      <c r="AB202" s="2" t="inlineStr">
        <is>
          <t>Work comes via referrals; project-based work fit; profile upkeep effort</t>
        </is>
      </c>
      <c r="AC202" s="2" t="inlineStr">
        <is>
          <t>E05 channel/segment test (assign at wave start)</t>
        </is>
      </c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</row>
    <row r="203">
      <c r="A203" s="2" t="n">
        <v>202</v>
      </c>
      <c r="B203" s="2" t="inlineStr">
        <is>
          <t>Wave 2 — Category &amp; city expansion</t>
        </is>
      </c>
      <c r="C203" s="2" t="inlineStr">
        <is>
          <t>UPK2-SD-016</t>
        </is>
      </c>
      <c r="D203" s="2" t="inlineStr">
        <is>
          <t>Matrix Design Works</t>
        </is>
      </c>
      <c r="E203" s="2" t="inlineStr">
        <is>
          <t>Space &amp; Design</t>
        </is>
      </c>
      <c r="F203" s="2" t="inlineStr">
        <is>
          <t>SD-INTERIOR</t>
        </is>
      </c>
      <c r="G203" s="2" t="inlineStr">
        <is>
          <t>Home &amp; Space</t>
        </is>
      </c>
      <c r="H203" s="2" t="inlineStr">
        <is>
          <t>Interior design studio</t>
        </is>
      </c>
      <c r="I203" s="2" t="inlineStr">
        <is>
          <t>Delhi NCR</t>
        </is>
      </c>
      <c r="J203" s="2" t="inlineStr">
        <is>
          <t>B — Established Independent</t>
        </is>
      </c>
      <c r="K203" s="2" t="inlineStr">
        <is>
          <t>Design studio/practice</t>
        </is>
      </c>
      <c r="L203" s="2" t="inlineStr">
        <is>
          <t>P0</t>
        </is>
      </c>
      <c r="M203" s="2" t="inlineStr">
        <is>
          <t>P0</t>
        </is>
      </c>
      <c r="N203" s="2" t="n">
        <v>74.8</v>
      </c>
      <c r="O203" s="2" t="n">
        <v>94</v>
      </c>
      <c r="P203" s="2" t="n">
        <v>67.2</v>
      </c>
      <c r="Q203" s="2" t="n">
        <v>76</v>
      </c>
      <c r="R203" s="2" t="n">
        <v>35</v>
      </c>
      <c r="S203" s="2" t="inlineStr">
        <is>
          <t>C1-DIRECT-VERIFIED</t>
        </is>
      </c>
      <c r="T203" s="2" t="inlineStr">
        <is>
          <t>Personal 1:1 email from founder/team to published business email</t>
        </is>
      </c>
      <c r="U203" s="2" t="inlineStr">
        <is>
          <t>https://matrixdesignworks.in/index.php/contact/</t>
        </is>
      </c>
      <c r="V203" s="2" t="inlineStr">
        <is>
          <t>2026-01 — TAD feature: layered-texture home</t>
        </is>
      </c>
      <c r="W203" s="2" t="inlineStr">
        <is>
          <t>Residential interiors</t>
        </is>
      </c>
      <c r="X203" s="2" t="inlineStr">
        <is>
          <t>The Architects Diary (Editorial feature/list)</t>
        </is>
      </c>
      <c r="Y203" s="2" t="inlineStr">
        <is>
          <t>Readiness 75 (top 7% in category) | Commercial: Residential interiors | Active: 2026-01 — TAD feature: layered-texture home | Independent/emerging tier — fame not a factor</t>
        </is>
      </c>
      <c r="Z203" s="2" t="inlineStr">
        <is>
          <t>Lead with a specific interior project. Services and project work under the studio's own name. No enquiry promises.</t>
        </is>
      </c>
      <c r="AA203" s="2" t="inlineStr">
        <is>
          <t>Small team; may prioritise direct client work and Instagram over new platforms</t>
        </is>
      </c>
      <c r="AB203" s="2" t="inlineStr">
        <is>
          <t>Work comes via referrals; project-based work fit; profile upkeep effort</t>
        </is>
      </c>
      <c r="AC203" s="2" t="inlineStr">
        <is>
          <t>E05 channel/segment test (assign at wave start)</t>
        </is>
      </c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</row>
    <row r="204">
      <c r="A204" s="2" t="n">
        <v>203</v>
      </c>
      <c r="B204" s="2" t="inlineStr">
        <is>
          <t>Wave 2 — Category &amp; city expansion</t>
        </is>
      </c>
      <c r="C204" s="2" t="inlineStr">
        <is>
          <t>UPK2-SD-027</t>
        </is>
      </c>
      <c r="D204" s="2" t="inlineStr">
        <is>
          <t>Moi Den Interiors</t>
        </is>
      </c>
      <c r="E204" s="2" t="inlineStr">
        <is>
          <t>Space &amp; Design</t>
        </is>
      </c>
      <c r="F204" s="2" t="inlineStr">
        <is>
          <t>SD-INTERIOR</t>
        </is>
      </c>
      <c r="G204" s="2" t="inlineStr">
        <is>
          <t>Home &amp; Space</t>
        </is>
      </c>
      <c r="H204" s="2" t="inlineStr">
        <is>
          <t>Interior design studio (women-led)</t>
        </is>
      </c>
      <c r="I204" s="2" t="inlineStr">
        <is>
          <t>Delhi NCR</t>
        </is>
      </c>
      <c r="J204" s="2" t="inlineStr">
        <is>
          <t>B — Established Independent</t>
        </is>
      </c>
      <c r="K204" s="2" t="inlineStr">
        <is>
          <t>Design studio/practice</t>
        </is>
      </c>
      <c r="L204" s="2" t="inlineStr">
        <is>
          <t>P0</t>
        </is>
      </c>
      <c r="M204" s="2" t="inlineStr">
        <is>
          <t>P0</t>
        </is>
      </c>
      <c r="N204" s="2" t="n">
        <v>76.09999999999999</v>
      </c>
      <c r="O204" s="2" t="n">
        <v>99</v>
      </c>
      <c r="P204" s="2" t="n">
        <v>66.90000000000001</v>
      </c>
      <c r="Q204" s="2" t="n">
        <v>73</v>
      </c>
      <c r="R204" s="2" t="n">
        <v>35</v>
      </c>
      <c r="S204" s="2" t="inlineStr">
        <is>
          <t>C1-DIRECT-VERIFIED</t>
        </is>
      </c>
      <c r="T204" s="2" t="inlineStr">
        <is>
          <t>1:1 message via own-website contact form</t>
        </is>
      </c>
      <c r="U204" s="2" t="inlineStr">
        <is>
          <t>https://www.moiden.in/contact-us/</t>
        </is>
      </c>
      <c r="V204" s="2" t="inlineStr">
        <is>
          <t>2026-04 — TAD feature: 4-floor luxury home</t>
        </is>
      </c>
      <c r="W204" s="2" t="inlineStr">
        <is>
          <t>Luxury 4-floor home; Shakti 50 women-led practices</t>
        </is>
      </c>
      <c r="X204" s="2" t="inlineStr">
        <is>
          <t>The Architects Diary (Editorial feature/list); The Architects Diary (Editorial feature/list)</t>
        </is>
      </c>
      <c r="Y204" s="2" t="inlineStr">
        <is>
          <t>Readiness 76 (top 2% in category) | Commercial: Luxury 4-floor home; Shakti 50 women-led practices | Active: 2026-04 — TAD feature: 4-floor luxury home | Independent/emerging tier — fame not a factor</t>
        </is>
      </c>
      <c r="Z204" s="2" t="inlineStr">
        <is>
          <t>Lead with a specific interior project. Services and project work under the studio's own name. No enquiry promises.</t>
        </is>
      </c>
      <c r="AA204" s="2" t="inlineStr">
        <is>
          <t>Small team; may prioritise direct client work and Instagram over new platforms</t>
        </is>
      </c>
      <c r="AB204" s="2" t="inlineStr">
        <is>
          <t>Work comes via referrals; project-based work fit; profile upkeep effort</t>
        </is>
      </c>
      <c r="AC204" s="2" t="inlineStr">
        <is>
          <t>E05 channel/segment test (assign at wave start)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</row>
    <row r="205">
      <c r="A205" s="2" t="n">
        <v>204</v>
      </c>
      <c r="B205" s="2" t="inlineStr">
        <is>
          <t>Wave 2 — Category &amp; city expansion</t>
        </is>
      </c>
      <c r="C205" s="2" t="inlineStr">
        <is>
          <t>UPK2-SD-132</t>
        </is>
      </c>
      <c r="D205" s="2" t="inlineStr">
        <is>
          <t>The Arch Studio</t>
        </is>
      </c>
      <c r="E205" s="2" t="inlineStr">
        <is>
          <t>Space &amp; Design</t>
        </is>
      </c>
      <c r="F205" s="2" t="inlineStr">
        <is>
          <t>SD-INTERIOR</t>
        </is>
      </c>
      <c r="G205" s="2" t="inlineStr">
        <is>
          <t>Home &amp; Space</t>
        </is>
      </c>
      <c r="H205" s="2" t="inlineStr">
        <is>
          <t>Interior design studio</t>
        </is>
      </c>
      <c r="I205" s="2" t="inlineStr">
        <is>
          <t>Pune</t>
        </is>
      </c>
      <c r="J205" s="2" t="inlineStr">
        <is>
          <t>C — Strong Mid-tier</t>
        </is>
      </c>
      <c r="K205" s="2" t="inlineStr">
        <is>
          <t>Design studio / practice</t>
        </is>
      </c>
      <c r="L205" s="2" t="inlineStr">
        <is>
          <t>P0</t>
        </is>
      </c>
      <c r="M205" s="2" t="inlineStr">
        <is>
          <t>P1</t>
        </is>
      </c>
      <c r="N205" s="2" t="n">
        <v>69.09999999999999</v>
      </c>
      <c r="O205" s="2" t="n">
        <v>61</v>
      </c>
      <c r="P205" s="2" t="n">
        <v>66.8</v>
      </c>
      <c r="Q205" s="2" t="n">
        <v>74</v>
      </c>
      <c r="R205" s="2" t="n">
        <v>50</v>
      </c>
      <c r="S205" s="2" t="inlineStr">
        <is>
          <t>C1-DIRECT-VERIFIED</t>
        </is>
      </c>
      <c r="T205" s="2" t="inlineStr">
        <is>
          <t>Personal 1:1 email from founder/team to published business email</t>
        </is>
      </c>
      <c r="U205" s="2" t="inlineStr">
        <is>
          <t>https://www.thearchstudio.co.in/</t>
        </is>
      </c>
      <c r="V205" s="2" t="inlineStr">
        <is>
          <t>2026-04 — TAD feature: This Home In A High-Rise Apartment Is Where The View Is The Greatest Luxury | The Arch Studio</t>
        </is>
      </c>
      <c r="W205" s="2" t="inlineStr">
        <is>
          <t>Apartment Interiors Design — Cedar Cane, Pune (TAD 2026-04)</t>
        </is>
      </c>
      <c r="X205" s="2" t="inlineStr">
        <is>
          <t>The Architects Diary (Editorial project feature (1 in 2025–26))</t>
        </is>
      </c>
      <c r="Y205" s="2" t="inlineStr">
        <is>
          <t>Readiness 69 (top 40% in category) | Commercial: Apartment Interiors Design — Cedar Cane, Pune (TAD 2026-04) | Active: 2026-04 — TAD feature: This Home In A High-Rise Apartment Is Where Th…</t>
        </is>
      </c>
      <c r="Z205" s="2" t="inlineStr">
        <is>
          <t>Lead with a specific interior project. Services and project work under the studio's own name. No enquiry promises.</t>
        </is>
      </c>
      <c r="AA205" s="2" t="inlineStr">
        <is>
          <t>Leads largely via referrals/own site and trade-media features</t>
        </is>
      </c>
      <c r="AB205" s="2" t="inlineStr">
        <is>
          <t>Work comes via referrals; project-based work fit; profile upkeep effort</t>
        </is>
      </c>
      <c r="AC205" s="2" t="inlineStr">
        <is>
          <t>E05 channel/segment test (assign at wave start)</t>
        </is>
      </c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</row>
    <row r="206">
      <c r="A206" s="2" t="n">
        <v>205</v>
      </c>
      <c r="B206" s="2" t="inlineStr">
        <is>
          <t>Wave 2 — Category &amp; city expansion</t>
        </is>
      </c>
      <c r="C206" s="2" t="inlineStr">
        <is>
          <t>UPK2-SD-133</t>
        </is>
      </c>
      <c r="D206" s="2" t="inlineStr">
        <is>
          <t>Studio Dashline</t>
        </is>
      </c>
      <c r="E206" s="2" t="inlineStr">
        <is>
          <t>Space &amp; Design</t>
        </is>
      </c>
      <c r="F206" s="2" t="inlineStr">
        <is>
          <t>SD-INTERIOR</t>
        </is>
      </c>
      <c r="G206" s="2" t="inlineStr">
        <is>
          <t>Home &amp; Space</t>
        </is>
      </c>
      <c r="H206" s="2" t="inlineStr">
        <is>
          <t>Interior design studio</t>
        </is>
      </c>
      <c r="I206" s="2" t="inlineStr">
        <is>
          <t>Bengaluru</t>
        </is>
      </c>
      <c r="J206" s="2" t="inlineStr">
        <is>
          <t>C — Strong Mid-tier</t>
        </is>
      </c>
      <c r="K206" s="2" t="inlineStr">
        <is>
          <t>Design studio / practice</t>
        </is>
      </c>
      <c r="L206" s="2" t="inlineStr">
        <is>
          <t>P0</t>
        </is>
      </c>
      <c r="M206" s="2" t="inlineStr">
        <is>
          <t>P1</t>
        </is>
      </c>
      <c r="N206" s="2" t="n">
        <v>69.09999999999999</v>
      </c>
      <c r="O206" s="2" t="n">
        <v>61</v>
      </c>
      <c r="P206" s="2" t="n">
        <v>66.8</v>
      </c>
      <c r="Q206" s="2" t="n">
        <v>74</v>
      </c>
      <c r="R206" s="2" t="n">
        <v>50</v>
      </c>
      <c r="S206" s="2" t="inlineStr">
        <is>
          <t>C1-DIRECT-VERIFIED</t>
        </is>
      </c>
      <c r="T206" s="2" t="inlineStr">
        <is>
          <t>Personal 1:1 email from founder/team to published business email</t>
        </is>
      </c>
      <c r="U206" s="2" t="inlineStr">
        <is>
          <t>https://www.studiodashline.com/</t>
        </is>
      </c>
      <c r="V206" s="2" t="inlineStr">
        <is>
          <t>2026-04 — TAD feature: A Minimal Workspace Design Reflects In This Architects Office | Studio Dashline</t>
        </is>
      </c>
      <c r="W206" s="2" t="inlineStr">
        <is>
          <t>Office Interior Design — Studio Dashline HQ, Bangalore, Karnataka, India (TAD 2026-04)</t>
        </is>
      </c>
      <c r="X206" s="2" t="inlineStr">
        <is>
          <t>The Architects Diary (Editorial project feature (1 in 2025–26))</t>
        </is>
      </c>
      <c r="Y206" s="2" t="inlineStr">
        <is>
          <t>Readiness 69 (top 40% in category) | Commercial: Office Interior Design — Studio Dashline HQ, Bangalore, Karnataka, India (TAD 2026-04) | Active: 2026-04 — TAD feature: A Minimal Workspace Design Reflects In This Ar…</t>
        </is>
      </c>
      <c r="Z206" s="2" t="inlineStr">
        <is>
          <t>Lead with a specific interior project. Services and project work under the studio's own name. No enquiry promises.</t>
        </is>
      </c>
      <c r="AA206" s="2" t="inlineStr">
        <is>
          <t>Leads largely via referrals/own site and trade-media features</t>
        </is>
      </c>
      <c r="AB206" s="2" t="inlineStr">
        <is>
          <t>Work comes via referrals; project-based work fit; profile upkeep effort</t>
        </is>
      </c>
      <c r="AC206" s="2" t="inlineStr">
        <is>
          <t>E05 channel/segment test (assign at wave start)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</row>
    <row r="207">
      <c r="A207" s="2" t="n">
        <v>206</v>
      </c>
      <c r="B207" s="2" t="inlineStr">
        <is>
          <t>Wave 2 — Category &amp; city expansion</t>
        </is>
      </c>
      <c r="C207" s="2" t="inlineStr">
        <is>
          <t>UPK2-SD-092</t>
        </is>
      </c>
      <c r="D207" s="2" t="inlineStr">
        <is>
          <t>The KariGhars</t>
        </is>
      </c>
      <c r="E207" s="2" t="inlineStr">
        <is>
          <t>Space &amp; Design</t>
        </is>
      </c>
      <c r="F207" s="2" t="inlineStr">
        <is>
          <t>SD-INTERIOR</t>
        </is>
      </c>
      <c r="G207" s="2" t="inlineStr">
        <is>
          <t>Home &amp; Space</t>
        </is>
      </c>
      <c r="H207" s="2" t="inlineStr">
        <is>
          <t>Home interiors design-build firm</t>
        </is>
      </c>
      <c r="I207" s="2" t="inlineStr">
        <is>
          <t>Bengaluru</t>
        </is>
      </c>
      <c r="J207" s="2" t="inlineStr">
        <is>
          <t>C — Strong Mid-tier</t>
        </is>
      </c>
      <c r="K207" s="2" t="inlineStr">
        <is>
          <t>Design studio / practice</t>
        </is>
      </c>
      <c r="L207" s="2" t="inlineStr">
        <is>
          <t>P0</t>
        </is>
      </c>
      <c r="M207" s="2" t="inlineStr">
        <is>
          <t>P1</t>
        </is>
      </c>
      <c r="N207" s="2" t="n">
        <v>69.3</v>
      </c>
      <c r="O207" s="2" t="n">
        <v>62</v>
      </c>
      <c r="P207" s="2" t="n">
        <v>66.59999999999999</v>
      </c>
      <c r="Q207" s="2" t="n">
        <v>73</v>
      </c>
      <c r="R207" s="2" t="n">
        <v>50</v>
      </c>
      <c r="S207" s="2" t="inlineStr">
        <is>
          <t>C1-DIRECT-VERIFIED</t>
        </is>
      </c>
      <c r="T207" s="2" t="inlineStr">
        <is>
          <t>Personal 1:1 email from founder/team to published business email</t>
        </is>
      </c>
      <c r="U207" s="2" t="inlineStr">
        <is>
          <t>https://www.thekarighars.com/contact-us/</t>
        </is>
      </c>
      <c r="V207" s="2" t="inlineStr">
        <is>
          <t>2025-10 — TAD feature: A Curated Design And Clear Conviction Reflects The Client’s Vision In This Modern Home | The KariGhars</t>
        </is>
      </c>
      <c r="W207" s="2" t="inlineStr">
        <is>
          <t>Residential Interior Design — Vana, Lingadeeranahalli, Bangalore (TAD 2025-10)</t>
        </is>
      </c>
      <c r="X207" s="2" t="inlineStr">
        <is>
          <t>The Architects Diary (Editorial project feature (1 in 2025–26))</t>
        </is>
      </c>
      <c r="Y207" s="2" t="inlineStr">
        <is>
          <t>Readiness 69 (top 39% in category) | Commercial: Residential Interior Design — Vana, Lingadeeranahalli, Bangalore (TAD 2025-10) | Active: 2025-10 — TAD feature: A Curated Design And Clear Conviction Reflects…</t>
        </is>
      </c>
      <c r="Z207" s="2" t="inlineStr">
        <is>
          <t>Lead with a specific interior project. Services and project work under the studio's own name. No enquiry promises.</t>
        </is>
      </c>
      <c r="AA207" s="2" t="inlineStr">
        <is>
          <t>Leads largely via referrals/own site and trade-media features</t>
        </is>
      </c>
      <c r="AB207" s="2" t="inlineStr">
        <is>
          <t>Work comes via referrals; project-based work fit; profile upkeep effort</t>
        </is>
      </c>
      <c r="AC207" s="2" t="inlineStr">
        <is>
          <t>E05 channel/segment test (assign at wave start)</t>
        </is>
      </c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</row>
    <row r="208">
      <c r="A208" s="2" t="n">
        <v>207</v>
      </c>
      <c r="B208" s="2" t="inlineStr">
        <is>
          <t>Wave 2 — Category &amp; city expansion</t>
        </is>
      </c>
      <c r="C208" s="2" t="inlineStr">
        <is>
          <t>UPK2-SD-032</t>
        </is>
      </c>
      <c r="D208" s="2" t="inlineStr">
        <is>
          <t>The Workroom</t>
        </is>
      </c>
      <c r="E208" s="2" t="inlineStr">
        <is>
          <t>Space &amp; Design</t>
        </is>
      </c>
      <c r="F208" s="2" t="inlineStr">
        <is>
          <t>SD-INTERIOR</t>
        </is>
      </c>
      <c r="G208" s="2" t="inlineStr">
        <is>
          <t>Home &amp; Space</t>
        </is>
      </c>
      <c r="H208" s="2" t="inlineStr">
        <is>
          <t>Interior design studio</t>
        </is>
      </c>
      <c r="I208" s="2" t="inlineStr">
        <is>
          <t>Delhi NCR</t>
        </is>
      </c>
      <c r="J208" s="2" t="inlineStr">
        <is>
          <t>B — Established Independent</t>
        </is>
      </c>
      <c r="K208" s="2" t="inlineStr">
        <is>
          <t>Design studio/practice</t>
        </is>
      </c>
      <c r="L208" s="2" t="inlineStr">
        <is>
          <t>P0</t>
        </is>
      </c>
      <c r="M208" s="2" t="inlineStr">
        <is>
          <t>P0</t>
        </is>
      </c>
      <c r="N208" s="2" t="n">
        <v>72</v>
      </c>
      <c r="O208" s="2" t="n">
        <v>81</v>
      </c>
      <c r="P208" s="2" t="n">
        <v>65.8</v>
      </c>
      <c r="Q208" s="2" t="n">
        <v>76</v>
      </c>
      <c r="R208" s="2" t="n">
        <v>35</v>
      </c>
      <c r="S208" s="2" t="inlineStr">
        <is>
          <t>C1-DIRECT-VERIFIED</t>
        </is>
      </c>
      <c r="T208" s="2" t="inlineStr">
        <is>
          <t>Personal 1:1 email from founder/team to published business email</t>
        </is>
      </c>
      <c r="U208" s="2" t="inlineStr">
        <is>
          <t>https://www.theworkroom.in/contact/</t>
        </is>
      </c>
      <c r="V208" s="2" t="inlineStr">
        <is>
          <t>2025-12 — TAD feature: serene home</t>
        </is>
      </c>
      <c r="W208" s="2" t="inlineStr">
        <is>
          <t>Serene residential interiors</t>
        </is>
      </c>
      <c r="X208" s="2" t="inlineStr">
        <is>
          <t>The Architects Diary (Editorial feature/list)</t>
        </is>
      </c>
      <c r="Y208" s="2" t="inlineStr">
        <is>
          <t>Readiness 72 (top 20% in category) | Commercial: Serene residential interiors | Active: 2025-12 — TAD feature: serene home | Independent/emerging tier — fame not a factor</t>
        </is>
      </c>
      <c r="Z208" s="2" t="inlineStr">
        <is>
          <t>Lead with a specific interior project. Services and project work under the studio's own name. No enquiry promises.</t>
        </is>
      </c>
      <c r="AA208" s="2" t="inlineStr">
        <is>
          <t>Small team; may prioritise direct client work and Instagram over new platforms</t>
        </is>
      </c>
      <c r="AB208" s="2" t="inlineStr">
        <is>
          <t>Work comes via referrals; project-based work fit; profile upkeep effort</t>
        </is>
      </c>
      <c r="AC208" s="2" t="inlineStr">
        <is>
          <t>E05 channel/segment test (assign at wave start)</t>
        </is>
      </c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</row>
    <row r="209">
      <c r="A209" s="2" t="n">
        <v>208</v>
      </c>
      <c r="B209" s="2" t="inlineStr">
        <is>
          <t>Wave 2 — Category &amp; city expansion</t>
        </is>
      </c>
      <c r="C209" s="2" t="inlineStr">
        <is>
          <t>UPK2-SD-033</t>
        </is>
      </c>
      <c r="D209" s="2" t="inlineStr">
        <is>
          <t>The Space Tales</t>
        </is>
      </c>
      <c r="E209" s="2" t="inlineStr">
        <is>
          <t>Space &amp; Design</t>
        </is>
      </c>
      <c r="F209" s="2" t="inlineStr">
        <is>
          <t>SD-INTERIOR</t>
        </is>
      </c>
      <c r="G209" s="2" t="inlineStr">
        <is>
          <t>Home &amp; Space</t>
        </is>
      </c>
      <c r="H209" s="2" t="inlineStr">
        <is>
          <t>Interior design studio</t>
        </is>
      </c>
      <c r="I209" s="2" t="inlineStr">
        <is>
          <t>Delhi NCR</t>
        </is>
      </c>
      <c r="J209" s="2" t="inlineStr">
        <is>
          <t>B — Established Independent</t>
        </is>
      </c>
      <c r="K209" s="2" t="inlineStr">
        <is>
          <t>Design studio/practice</t>
        </is>
      </c>
      <c r="L209" s="2" t="inlineStr">
        <is>
          <t>P0</t>
        </is>
      </c>
      <c r="M209" s="2" t="inlineStr">
        <is>
          <t>P0</t>
        </is>
      </c>
      <c r="N209" s="2" t="n">
        <v>72</v>
      </c>
      <c r="O209" s="2" t="n">
        <v>81</v>
      </c>
      <c r="P209" s="2" t="n">
        <v>65.8</v>
      </c>
      <c r="Q209" s="2" t="n">
        <v>76</v>
      </c>
      <c r="R209" s="2" t="n">
        <v>35</v>
      </c>
      <c r="S209" s="2" t="inlineStr">
        <is>
          <t>C1-DIRECT-VERIFIED</t>
        </is>
      </c>
      <c r="T209" s="2" t="inlineStr">
        <is>
          <t>Personal 1:1 email from founder/team to published business email</t>
        </is>
      </c>
      <c r="U209" s="2" t="inlineStr">
        <is>
          <t>https://thespacetales.com/contact/</t>
        </is>
      </c>
      <c r="V209" s="2" t="inlineStr">
        <is>
          <t>2025-10 — TAD Top 60 Gurgaon/NCR</t>
        </is>
      </c>
      <c r="W209" s="2" t="inlineStr">
        <is>
          <t>Residential + hospitality (Rooh Restaurant); Dubai projects</t>
        </is>
      </c>
      <c r="X209" s="2" t="inlineStr">
        <is>
          <t>The Architects Diary (Editorial feature/list)</t>
        </is>
      </c>
      <c r="Y209" s="2" t="inlineStr">
        <is>
          <t>Readiness 72 (top 20% in category) | Commercial: Residential + hospitality (Rooh Restaurant); Dubai projects | Active: 2025-10 — TAD Top 60 Gurgaon/NCR | Independent/emerging tier — fame not a factor</t>
        </is>
      </c>
      <c r="Z209" s="2" t="inlineStr">
        <is>
          <t>Lead with a specific interior project. Services and project work under the studio's own name. No enquiry promises.</t>
        </is>
      </c>
      <c r="AA209" s="2" t="inlineStr">
        <is>
          <t>Small team; may prioritise direct client work and Instagram over new platforms</t>
        </is>
      </c>
      <c r="AB209" s="2" t="inlineStr">
        <is>
          <t>Work comes via referrals; project-based work fit; profile upkeep effort</t>
        </is>
      </c>
      <c r="AC209" s="2" t="inlineStr">
        <is>
          <t>E05 channel/segment test (assign at wave start)</t>
        </is>
      </c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</row>
    <row r="210">
      <c r="A210" s="2" t="n">
        <v>209</v>
      </c>
      <c r="B210" s="2" t="inlineStr">
        <is>
          <t>Wave 2 — Category &amp; city expansion</t>
        </is>
      </c>
      <c r="C210" s="2" t="inlineStr">
        <is>
          <t>UPK2-SD-074</t>
        </is>
      </c>
      <c r="D210" s="2" t="inlineStr">
        <is>
          <t>Alkove-Design</t>
        </is>
      </c>
      <c r="E210" s="2" t="inlineStr">
        <is>
          <t>Space &amp; Design</t>
        </is>
      </c>
      <c r="F210" s="2" t="inlineStr">
        <is>
          <t>SD-INTERIOR</t>
        </is>
      </c>
      <c r="G210" s="2" t="inlineStr">
        <is>
          <t>Home &amp; Space</t>
        </is>
      </c>
      <c r="H210" s="2" t="inlineStr">
        <is>
          <t>Interior design studio</t>
        </is>
      </c>
      <c r="I210" s="2" t="inlineStr">
        <is>
          <t>Pune</t>
        </is>
      </c>
      <c r="J210" s="2" t="inlineStr">
        <is>
          <t>B — Established Independent</t>
        </is>
      </c>
      <c r="K210" s="2" t="inlineStr">
        <is>
          <t>Design studio / practice</t>
        </is>
      </c>
      <c r="L210" s="2" t="inlineStr">
        <is>
          <t>P0</t>
        </is>
      </c>
      <c r="M210" s="2" t="inlineStr">
        <is>
          <t>P1</t>
        </is>
      </c>
      <c r="N210" s="2" t="n">
        <v>71.7</v>
      </c>
      <c r="O210" s="2" t="n">
        <v>79</v>
      </c>
      <c r="P210" s="2" t="n">
        <v>63.8</v>
      </c>
      <c r="Q210" s="2" t="n">
        <v>70</v>
      </c>
      <c r="R210" s="2" t="n">
        <v>35</v>
      </c>
      <c r="S210" s="2" t="inlineStr">
        <is>
          <t>C1-DIRECT-VERIFIED</t>
        </is>
      </c>
      <c r="T210" s="2" t="inlineStr">
        <is>
          <t>Personal 1:1 email from founder/team to published business email</t>
        </is>
      </c>
      <c r="U210" s="2" t="inlineStr">
        <is>
          <t>https://alkove-design.in/contact</t>
        </is>
      </c>
      <c r="V210" s="2" t="inlineStr">
        <is>
          <t>2026-08 — TAD feature: A Pune Apartment Where In-Between Spaces Create a Slower Way of Livingin-between | Alkove-Design</t>
        </is>
      </c>
      <c r="W210" s="2" t="inlineStr">
        <is>
          <t>Residential Interior Design — The House of In-Betweens, Pune (TAD 2026-08)</t>
        </is>
      </c>
      <c r="X210" s="2" t="inlineStr">
        <is>
          <t>The Architects Diary (Editorial project feature (2 in 2025–26))</t>
        </is>
      </c>
      <c r="Y210" s="2" t="inlineStr">
        <is>
          <t>Readiness 72 (top 22% in category) | Commercial: Residential Interior Design — The House of In-Betweens, Pune (TAD 2026-08) | Active: 2026-08 — TAD feature: A Pune Apartment Where In-Between Spaces Creat… | Independent/emerging tier — fame not a factor</t>
        </is>
      </c>
      <c r="Z210" s="2" t="inlineStr">
        <is>
          <t>Lead with a specific interior project. Services and project work under the studio's own name. No enquiry promises.</t>
        </is>
      </c>
      <c r="AA210" s="2" t="inlineStr">
        <is>
          <t>Small team; may prioritise direct referrals over platforms</t>
        </is>
      </c>
      <c r="AB210" s="2" t="inlineStr">
        <is>
          <t>Work comes via referrals; project-based work fit; profile upkeep effort</t>
        </is>
      </c>
      <c r="AC210" s="2" t="inlineStr">
        <is>
          <t>E05 channel/segment test (assign at wave start)</t>
        </is>
      </c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</row>
    <row r="211">
      <c r="A211" s="2" t="n">
        <v>210</v>
      </c>
      <c r="B211" s="2" t="inlineStr">
        <is>
          <t>Wave 2 — Category &amp; city expansion</t>
        </is>
      </c>
      <c r="C211" s="2" t="inlineStr">
        <is>
          <t>UPK2-SD-093</t>
        </is>
      </c>
      <c r="D211" s="2" t="inlineStr">
        <is>
          <t>Archworkx Design Casa</t>
        </is>
      </c>
      <c r="E211" s="2" t="inlineStr">
        <is>
          <t>Space &amp; Design</t>
        </is>
      </c>
      <c r="F211" s="2" t="inlineStr">
        <is>
          <t>SD-INTERIOR</t>
        </is>
      </c>
      <c r="G211" s="2" t="inlineStr">
        <is>
          <t>Home &amp; Space</t>
        </is>
      </c>
      <c r="H211" s="2" t="inlineStr">
        <is>
          <t>Interior design studio</t>
        </is>
      </c>
      <c r="I211" s="2" t="inlineStr">
        <is>
          <t>Chandigarh</t>
        </is>
      </c>
      <c r="J211" s="2" t="inlineStr">
        <is>
          <t>B — Established Independent</t>
        </is>
      </c>
      <c r="K211" s="2" t="inlineStr">
        <is>
          <t>Design studio/practice</t>
        </is>
      </c>
      <c r="L211" s="2" t="inlineStr">
        <is>
          <t>P0</t>
        </is>
      </c>
      <c r="M211" s="2" t="inlineStr">
        <is>
          <t>P0</t>
        </is>
      </c>
      <c r="N211" s="2" t="n">
        <v>74.8</v>
      </c>
      <c r="O211" s="2" t="n">
        <v>94</v>
      </c>
      <c r="P211" s="2" t="n">
        <v>65.7</v>
      </c>
      <c r="Q211" s="2" t="n">
        <v>71</v>
      </c>
      <c r="R211" s="2" t="n">
        <v>35</v>
      </c>
      <c r="S211" s="2" t="inlineStr">
        <is>
          <t>C1-DIRECT-VERIFIED</t>
        </is>
      </c>
      <c r="T211" s="2" t="inlineStr">
        <is>
          <t>1:1 message via own-website contact form</t>
        </is>
      </c>
      <c r="U211" s="2" t="inlineStr">
        <is>
          <t>https://dexigncasa.com/pages/contact</t>
        </is>
      </c>
      <c r="V211" s="2" t="inlineStr">
        <is>
          <t>2026-02 — TAD feature</t>
        </is>
      </c>
      <c r="W211" s="2" t="inlineStr">
        <is>
          <t>Theatrical luxury home/studio</t>
        </is>
      </c>
      <c r="X211" s="2" t="inlineStr">
        <is>
          <t>The Architects Diary (Editorial feature/list)</t>
        </is>
      </c>
      <c r="Y211" s="2" t="inlineStr">
        <is>
          <t>Readiness 75 (top 7% in category) | Commercial: Theatrical luxury home/studio | Active: 2026-02 — TAD feature | Independent/emerging tier — fame not a factor</t>
        </is>
      </c>
      <c r="Z211" s="2" t="inlineStr">
        <is>
          <t>Lead with a specific interior project. Services and project work under the studio's own name. No enquiry promises.</t>
        </is>
      </c>
      <c r="AA211" s="2" t="inlineStr">
        <is>
          <t>Small team; may prioritise direct client work and Instagram over new platforms</t>
        </is>
      </c>
      <c r="AB211" s="2" t="inlineStr">
        <is>
          <t>Work comes via referrals; project-based work fit; profile upkeep effort</t>
        </is>
      </c>
      <c r="AC211" s="2" t="inlineStr">
        <is>
          <t>E05 channel/segment test (assign at wave start)</t>
        </is>
      </c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</row>
    <row r="212">
      <c r="A212" s="2" t="n">
        <v>211</v>
      </c>
      <c r="B212" s="2" t="inlineStr">
        <is>
          <t>Wave 2 — Category &amp; city expansion</t>
        </is>
      </c>
      <c r="C212" s="2" t="inlineStr">
        <is>
          <t>UPK2-LM-237</t>
        </is>
      </c>
      <c r="D212" s="2" t="inlineStr">
        <is>
          <t>Ricken Desai Creative Studio</t>
        </is>
      </c>
      <c r="E212" s="2" t="inlineStr">
        <is>
          <t>Lens &amp; Motion</t>
        </is>
      </c>
      <c r="F212" s="2" t="inlineStr">
        <is>
          <t>LM-ARCH-INTERIOR</t>
        </is>
      </c>
      <c r="G212" s="2" t="inlineStr">
        <is>
          <t>Home &amp; Space</t>
        </is>
      </c>
      <c r="H212" s="2" t="inlineStr">
        <is>
          <t>Architecture, hospitality &amp; commercial photography/film studio</t>
        </is>
      </c>
      <c r="I212" s="2" t="inlineStr">
        <is>
          <t>Hyderabad</t>
        </is>
      </c>
      <c r="J212" s="2" t="inlineStr">
        <is>
          <t>C — Strong Mid-tier</t>
        </is>
      </c>
      <c r="K212" s="2" t="inlineStr">
        <is>
          <t>Micro studio (2-10)</t>
        </is>
      </c>
      <c r="L212" s="2" t="inlineStr">
        <is>
          <t>P0</t>
        </is>
      </c>
      <c r="M212" s="2" t="inlineStr">
        <is>
          <t>P1</t>
        </is>
      </c>
      <c r="N212" s="2" t="n">
        <v>76.40000000000001</v>
      </c>
      <c r="O212" s="2" t="n">
        <v>87</v>
      </c>
      <c r="P212" s="2" t="n">
        <v>73.8</v>
      </c>
      <c r="Q212" s="2" t="n">
        <v>82</v>
      </c>
      <c r="R212" s="2" t="n">
        <v>55</v>
      </c>
      <c r="S212" s="2" t="inlineStr">
        <is>
          <t>C1-DIRECT-VERIFIED</t>
        </is>
      </c>
      <c r="T212" s="2" t="inlineStr">
        <is>
          <t>Personal 1:1 email from founder/team to published business email</t>
        </is>
      </c>
      <c r="U212" s="2" t="inlineStr">
        <is>
          <t>https://www.rickendesai.com/contact</t>
        </is>
      </c>
      <c r="V212" s="2" t="inlineStr">
        <is>
          <t>2026-07 — photo credit on The Architects Diary project feature (https://thearchitectsdiary.com/how-this-multi-generational-home-in-hyderaba…</t>
        </is>
      </c>
      <c r="W212" s="2" t="inlineStr">
        <is>
          <t>Commissioned project photography credited by design publications; enquiry route on own site</t>
        </is>
      </c>
      <c r="X212" s="2" t="inlineStr"/>
      <c r="Y212" s="2" t="inlineStr">
        <is>
          <t>Readiness 76 (top 14% in category) | Commercial: Commissioned project photography credited by design publications; enquiry route on own si… | Active: 2026-07 — photo credit on The Architects Diary project feature (https…</t>
        </is>
      </c>
      <c r="Z212" s="2" t="inlineStr">
        <is>
          <t>Lead with a specific project they documented. Link to the Home &amp; Space pod (studios and makers).</t>
        </is>
      </c>
      <c r="AA212" s="2" t="inlineStr">
        <is>
          <t>Work is commission/referral-driven through architect networks; may not see need for a marketplace</t>
        </is>
      </c>
      <c r="AB212" s="2" t="inlineStr">
        <is>
          <t>Leads via referrals/portals; off-platform contact; time to maintain another profile</t>
        </is>
      </c>
      <c r="AC212" s="2" t="inlineStr">
        <is>
          <t>E05 channel/segment test (assign at wave start)</t>
        </is>
      </c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</row>
    <row r="213">
      <c r="A213" s="2" t="n">
        <v>212</v>
      </c>
      <c r="B213" s="2" t="inlineStr">
        <is>
          <t>Wave 2 — Category &amp; city expansion</t>
        </is>
      </c>
      <c r="C213" s="2" t="inlineStr">
        <is>
          <t>UPK2-LM-299</t>
        </is>
      </c>
      <c r="D213" s="2" t="inlineStr">
        <is>
          <t>Sreenag Pictures</t>
        </is>
      </c>
      <c r="E213" s="2" t="inlineStr">
        <is>
          <t>Lens &amp; Motion</t>
        </is>
      </c>
      <c r="F213" s="2" t="inlineStr">
        <is>
          <t>LM-ARCH-INTERIOR</t>
        </is>
      </c>
      <c r="G213" s="2" t="inlineStr">
        <is>
          <t>Home &amp; Space</t>
        </is>
      </c>
      <c r="H213" s="2" t="inlineStr">
        <is>
          <t>Architectural photography &amp; films</t>
        </is>
      </c>
      <c r="I213" s="2" t="inlineStr">
        <is>
          <t>Chennai</t>
        </is>
      </c>
      <c r="J213" s="2" t="inlineStr">
        <is>
          <t>C — Strong Mid-tier</t>
        </is>
      </c>
      <c r="K213" s="2" t="inlineStr">
        <is>
          <t>Solo/Freelancer</t>
        </is>
      </c>
      <c r="L213" s="2" t="inlineStr">
        <is>
          <t>P0</t>
        </is>
      </c>
      <c r="M213" s="2" t="inlineStr">
        <is>
          <t>P1</t>
        </is>
      </c>
      <c r="N213" s="2" t="n">
        <v>75.40000000000001</v>
      </c>
      <c r="O213" s="2" t="n">
        <v>78</v>
      </c>
      <c r="P213" s="2" t="n">
        <v>73.3</v>
      </c>
      <c r="Q213" s="2" t="n">
        <v>82</v>
      </c>
      <c r="R213" s="2" t="n">
        <v>55</v>
      </c>
      <c r="S213" s="2" t="inlineStr">
        <is>
          <t>C1-DIRECT-VERIFIED</t>
        </is>
      </c>
      <c r="T213" s="2" t="inlineStr">
        <is>
          <t>Personal 1:1 email from founder/team to published business email</t>
        </is>
      </c>
      <c r="U213" s="2" t="inlineStr">
        <is>
          <t>https://www.sreenagpictures.com/</t>
        </is>
      </c>
      <c r="V213" s="2" t="inlineStr">
        <is>
          <t>2026-07 — photo credit on The Architects Diary project feature (https://thearchitectsdiary.com/rethinking-industrial-architecture-through-c…</t>
        </is>
      </c>
      <c r="W213" s="2" t="inlineStr">
        <is>
          <t>Commissioned project photography credited by design publications; enquiry route on own site</t>
        </is>
      </c>
      <c r="X213" s="2" t="inlineStr"/>
      <c r="Y213" s="2" t="inlineStr">
        <is>
          <t>Readiness 75 (top 23% in category) | Commercial: Commissioned project photography credited by design publications; enquiry route on own si… | Active: 2026-07 — photo credit on The Architects Diary project feature (https…</t>
        </is>
      </c>
      <c r="Z213" s="2" t="inlineStr">
        <is>
          <t>Lead with a specific project they documented. Link to the Home &amp; Space pod (studios and makers).</t>
        </is>
      </c>
      <c r="AA213" s="2" t="inlineStr">
        <is>
          <t>Work is commission/referral-driven through architect networks; may not see need for a marketplace</t>
        </is>
      </c>
      <c r="AB213" s="2" t="inlineStr">
        <is>
          <t>Leads via referrals/portals; off-platform contact; time to maintain another profile</t>
        </is>
      </c>
      <c r="AC213" s="2" t="inlineStr">
        <is>
          <t>E05 channel/segment test (assign at wave start)</t>
        </is>
      </c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</row>
    <row r="214">
      <c r="A214" s="2" t="n">
        <v>213</v>
      </c>
      <c r="B214" s="2" t="inlineStr">
        <is>
          <t>Wave 2 — Category &amp; city expansion</t>
        </is>
      </c>
      <c r="C214" s="2" t="inlineStr">
        <is>
          <t>UPK2-LM-015</t>
        </is>
      </c>
      <c r="D214" s="2" t="inlineStr">
        <is>
          <t>Monojit Bhattacharya</t>
        </is>
      </c>
      <c r="E214" s="2" t="inlineStr">
        <is>
          <t>Lens &amp; Motion</t>
        </is>
      </c>
      <c r="F214" s="2" t="inlineStr">
        <is>
          <t>LM-WEDDING</t>
        </is>
      </c>
      <c r="G214" s="2" t="inlineStr">
        <is>
          <t>Wedding &amp; Occasion</t>
        </is>
      </c>
      <c r="H214" s="2" t="inlineStr">
        <is>
          <t>Wedding photography &amp; filmmaking studio</t>
        </is>
      </c>
      <c r="I214" s="2" t="inlineStr">
        <is>
          <t>Kolkata</t>
        </is>
      </c>
      <c r="J214" s="2" t="inlineStr">
        <is>
          <t>B — Established Independent</t>
        </is>
      </c>
      <c r="K214" s="2" t="inlineStr">
        <is>
          <t>Studio / production house</t>
        </is>
      </c>
      <c r="L214" s="2" t="inlineStr">
        <is>
          <t>P0</t>
        </is>
      </c>
      <c r="M214" s="2" t="inlineStr">
        <is>
          <t>P1</t>
        </is>
      </c>
      <c r="N214" s="2" t="n">
        <v>77.2</v>
      </c>
      <c r="O214" s="2" t="n">
        <v>91</v>
      </c>
      <c r="P214" s="2" t="n">
        <v>72.3</v>
      </c>
      <c r="Q214" s="2" t="n">
        <v>79</v>
      </c>
      <c r="R214" s="2" t="n">
        <v>50</v>
      </c>
      <c r="S214" s="2" t="inlineStr">
        <is>
          <t>C1-DIRECT-VERIFIED</t>
        </is>
      </c>
      <c r="T214" s="2" t="inlineStr">
        <is>
          <t>Personal 1:1 email from founder/team to published business email</t>
        </is>
      </c>
      <c r="U214" s="2" t="inlineStr">
        <is>
          <t>https://www.monojitbhattacharya.com/contact</t>
        </is>
      </c>
      <c r="V214" s="2" t="inlineStr">
        <is>
          <t>2026-09 — WeddingSutra Photographers Showcase profile published (weddingsutra.com)</t>
        </is>
      </c>
      <c r="W214" s="2" t="inlineStr">
        <is>
          <t>Wedding photography/film bookings; WeddingSutra showcase lists service locations: Kolkata</t>
        </is>
      </c>
      <c r="X214" s="2" t="inlineStr">
        <is>
          <t>WeddingSutra (Photographers Showcase profile)</t>
        </is>
      </c>
      <c r="Y214" s="2" t="inlineStr">
        <is>
          <t>Readiness 77 (top 10% in category) | Commercial: Wedding photography/film bookings; WeddingSutra showcase lists service locations: Kolkata | Active: 2026-09 — WeddingSutra Photographers Showcase profile published (wedd… | Independent/emerging tier — fame not a factor</t>
        </is>
      </c>
      <c r="Z214" s="2" t="inlineStr">
        <is>
          <t>Lead with a specific film or series. Photographers sit at the centre of the wedding ecosystem — invite as a founding peer of designers, MUAs and planners.</t>
        </is>
      </c>
      <c r="AA214" s="2" t="inlineStr">
        <is>
          <t>Bookings already flow via own site, Instagram and wedding platforms</t>
        </is>
      </c>
      <c r="AB214" s="2" t="inlineStr">
        <is>
          <t>Leads via referrals/portals; off-platform contact; time to maintain another profile</t>
        </is>
      </c>
      <c r="AC214" s="2" t="inlineStr">
        <is>
          <t>E05 channel/segment test (assign at wave start)</t>
        </is>
      </c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</row>
    <row r="215">
      <c r="A215" s="2" t="n">
        <v>214</v>
      </c>
      <c r="B215" s="2" t="inlineStr">
        <is>
          <t>Wave 2 — Category &amp; city expansion</t>
        </is>
      </c>
      <c r="C215" s="2" t="inlineStr">
        <is>
          <t>UPK2-LM-028</t>
        </is>
      </c>
      <c r="D215" s="2" t="inlineStr">
        <is>
          <t>Sunny Dhiman Photography</t>
        </is>
      </c>
      <c r="E215" s="2" t="inlineStr">
        <is>
          <t>Lens &amp; Motion</t>
        </is>
      </c>
      <c r="F215" s="2" t="inlineStr">
        <is>
          <t>LM-WEDDING</t>
        </is>
      </c>
      <c r="G215" s="2" t="inlineStr">
        <is>
          <t>Wedding &amp; Occasion</t>
        </is>
      </c>
      <c r="H215" s="2" t="inlineStr">
        <is>
          <t>Wedding photography &amp; films</t>
        </is>
      </c>
      <c r="I215" s="2" t="inlineStr">
        <is>
          <t>Chandigarh</t>
        </is>
      </c>
      <c r="J215" s="2" t="inlineStr">
        <is>
          <t>C — Strong Mid-tier</t>
        </is>
      </c>
      <c r="K215" s="2" t="inlineStr">
        <is>
          <t>Photographer-led studio</t>
        </is>
      </c>
      <c r="L215" s="2" t="inlineStr">
        <is>
          <t>P0</t>
        </is>
      </c>
      <c r="M215" s="2" t="inlineStr">
        <is>
          <t>P1</t>
        </is>
      </c>
      <c r="N215" s="2" t="n">
        <v>76.8</v>
      </c>
      <c r="O215" s="2" t="n">
        <v>88</v>
      </c>
      <c r="P215" s="2" t="n">
        <v>72.2</v>
      </c>
      <c r="Q215" s="2" t="n">
        <v>76</v>
      </c>
      <c r="R215" s="2" t="n">
        <v>55</v>
      </c>
      <c r="S215" s="2" t="inlineStr">
        <is>
          <t>C1-DIRECT-VERIFIED</t>
        </is>
      </c>
      <c r="T215" s="2" t="inlineStr">
        <is>
          <t>Personal 1:1 email from founder/team to published business email</t>
        </is>
      </c>
      <c r="U215" s="2" t="inlineStr">
        <is>
          <t>https://sunnydhiman.com/contact/</t>
        </is>
      </c>
      <c r="V215" s="2" t="inlineStr">
        <is>
          <t>2026-07 — WeddingSutra vendor profile last updated/published (page metadata)</t>
        </is>
      </c>
      <c r="W215" s="2" t="inlineStr">
        <is>
          <t>Services listed on WeddingSutra profile: Candid photography, Cinematography, Pre wedding photography</t>
        </is>
      </c>
      <c r="X215" s="2" t="inlineStr">
        <is>
          <t>WeddingSutra (Vendor directory profile)</t>
        </is>
      </c>
      <c r="Y215" s="2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  <c r="Z215" s="2" t="inlineStr">
        <is>
          <t>Lead with a specific film or series. Photographers sit at the centre of the wedding ecosystem — invite as a founding peer of designers, MUAs and planners.</t>
        </is>
      </c>
      <c r="AA215" s="2" t="inlineStr">
        <is>
          <t>Already gets leads via own Instagram and wedding directories</t>
        </is>
      </c>
      <c r="AB215" s="2" t="inlineStr">
        <is>
          <t>Leads via referrals/portals; off-platform contact; time to maintain another profile</t>
        </is>
      </c>
      <c r="AC215" s="2" t="inlineStr">
        <is>
          <t>E05 channel/segment test (assign at wave start)</t>
        </is>
      </c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</row>
    <row r="216">
      <c r="A216" s="2" t="n">
        <v>215</v>
      </c>
      <c r="B216" s="2" t="inlineStr">
        <is>
          <t>Wave 2 — Category &amp; city expansion</t>
        </is>
      </c>
      <c r="C216" s="2" t="inlineStr">
        <is>
          <t>UPK2-LM-003</t>
        </is>
      </c>
      <c r="D216" s="2" t="inlineStr">
        <is>
          <t>The Photo Lab</t>
        </is>
      </c>
      <c r="E216" s="2" t="inlineStr">
        <is>
          <t>Lens &amp; Motion</t>
        </is>
      </c>
      <c r="F216" s="2" t="inlineStr">
        <is>
          <t>LM-WEDDING</t>
        </is>
      </c>
      <c r="G216" s="2" t="inlineStr">
        <is>
          <t>Wedding &amp; Occasion</t>
        </is>
      </c>
      <c r="H216" s="2" t="inlineStr">
        <is>
          <t>Wedding photography &amp; films</t>
        </is>
      </c>
      <c r="I216" s="2" t="inlineStr">
        <is>
          <t>Mumbai</t>
        </is>
      </c>
      <c r="J216" s="2" t="inlineStr">
        <is>
          <t>C — Strong Mid-tier</t>
        </is>
      </c>
      <c r="K216" s="2" t="inlineStr">
        <is>
          <t>Photography/film studio</t>
        </is>
      </c>
      <c r="L216" s="2" t="inlineStr">
        <is>
          <t>P0</t>
        </is>
      </c>
      <c r="M216" s="2" t="inlineStr">
        <is>
          <t>P1</t>
        </is>
      </c>
      <c r="N216" s="2" t="n">
        <v>76.8</v>
      </c>
      <c r="O216" s="2" t="n">
        <v>88</v>
      </c>
      <c r="P216" s="2" t="n">
        <v>71.5</v>
      </c>
      <c r="Q216" s="2" t="n">
        <v>77</v>
      </c>
      <c r="R216" s="2" t="n">
        <v>50</v>
      </c>
      <c r="S216" s="2" t="inlineStr">
        <is>
          <t>C1-DIRECT-VERIFIED</t>
        </is>
      </c>
      <c r="T216" s="2" t="inlineStr">
        <is>
          <t>Personal 1:1 email from founder/team to published business email</t>
        </is>
      </c>
      <c r="U216" s="2" t="inlineStr">
        <is>
          <t>https://www.thephotolab.co.in/</t>
        </is>
      </c>
      <c r="V216" s="2" t="inlineStr">
        <is>
          <t>2026-09 — latest dated item on WeddingSutra Favorites profile (weddingsutra.com)</t>
        </is>
      </c>
      <c r="W216" s="2" t="inlineStr">
        <is>
          <t>Real-wedding features credited on WeddingSutra (e.g. Nikita and Cameron, Villa Corsini a Mezzomonte, Florence An elegant weddi)</t>
        </is>
      </c>
      <c r="X216" s="2" t="inlineStr">
        <is>
          <t>WeddingSutra (WeddingSutra Favorites vendor profile (curated listing))</t>
        </is>
      </c>
      <c r="Y216" s="2" t="inlineStr">
        <is>
          <t>Readiness 77 (top 13% in category) | Commercial: Real-wedding features credited on WeddingSutra (e.g. Nikita and Cameron, Villa Corsini a… | Active: 2026-09 — latest dated item on WeddingSutra Favorites profile (weddin…</t>
        </is>
      </c>
      <c r="Z216" s="2" t="inlineStr">
        <is>
          <t>Lead with a specific film or series. Photographers sit at the centre of the wedding ecosystem — invite as a founding peer of designers, MUAs and planners.</t>
        </is>
      </c>
      <c r="AA216" s="2" t="inlineStr">
        <is>
          <t>Established enquiry pipeline via WeddingSutra Favorites, own site and Instagram</t>
        </is>
      </c>
      <c r="AB216" s="2" t="inlineStr">
        <is>
          <t>Leads via referrals/portals; off-platform contact; time to maintain another profile</t>
        </is>
      </c>
      <c r="AC216" s="2" t="inlineStr">
        <is>
          <t>E05 channel/segment test (assign at wave start)</t>
        </is>
      </c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</row>
    <row r="217">
      <c r="A217" s="2" t="n">
        <v>216</v>
      </c>
      <c r="B217" s="2" t="inlineStr">
        <is>
          <t>Wave 2 — Category &amp; city expansion</t>
        </is>
      </c>
      <c r="C217" s="2" t="inlineStr">
        <is>
          <t>UPK2-LM-001</t>
        </is>
      </c>
      <c r="D217" s="2" t="inlineStr">
        <is>
          <t>Israni Photography</t>
        </is>
      </c>
      <c r="E217" s="2" t="inlineStr">
        <is>
          <t>Lens &amp; Motion</t>
        </is>
      </c>
      <c r="F217" s="2" t="inlineStr">
        <is>
          <t>LM-WEDDING</t>
        </is>
      </c>
      <c r="G217" s="2" t="inlineStr">
        <is>
          <t>Wedding &amp; Occasion</t>
        </is>
      </c>
      <c r="H217" s="2" t="inlineStr">
        <is>
          <t>Wedding photography &amp; films</t>
        </is>
      </c>
      <c r="I217" s="2" t="inlineStr">
        <is>
          <t>Mumbai</t>
        </is>
      </c>
      <c r="J217" s="2" t="inlineStr">
        <is>
          <t>C — Strong Mid-tier</t>
        </is>
      </c>
      <c r="K217" s="2" t="inlineStr">
        <is>
          <t>Photography/film studio</t>
        </is>
      </c>
      <c r="L217" s="2" t="inlineStr">
        <is>
          <t>P0</t>
        </is>
      </c>
      <c r="M217" s="2" t="inlineStr">
        <is>
          <t>P1</t>
        </is>
      </c>
      <c r="N217" s="2" t="n">
        <v>76.8</v>
      </c>
      <c r="O217" s="2" t="n">
        <v>88</v>
      </c>
      <c r="P217" s="2" t="n">
        <v>71.5</v>
      </c>
      <c r="Q217" s="2" t="n">
        <v>77</v>
      </c>
      <c r="R217" s="2" t="n">
        <v>50</v>
      </c>
      <c r="S217" s="2" t="inlineStr">
        <is>
          <t>C1-DIRECT-VERIFIED</t>
        </is>
      </c>
      <c r="T217" s="2" t="inlineStr">
        <is>
          <t>Personal 1:1 email from founder/team to published business email</t>
        </is>
      </c>
      <c r="U217" s="2" t="inlineStr">
        <is>
          <t>https://www.israniphotography.com/</t>
        </is>
      </c>
      <c r="V217" s="2" t="inlineStr">
        <is>
          <t>2026-07 — latest dated item on WeddingSutra Favorites profile (weddingsutra.com)</t>
        </is>
      </c>
      <c r="W217" s="2" t="inlineStr">
        <is>
          <t>Real-wedding features credited on WeddingSutra (e.g. Rhea and Pelesh, Taj Lalit Bagh, Udaipur A union of two families and coun)</t>
        </is>
      </c>
      <c r="X217" s="2" t="inlineStr">
        <is>
          <t>WeddingSutra (WeddingSutra Favorites vendor profile (curated listing))</t>
        </is>
      </c>
      <c r="Y217" s="2" t="inlineStr">
        <is>
          <t>Readiness 77 (top 13% in category) | Commercial: Real-wedding features credited on WeddingSutra (e.g. Rhea and Pelesh, Taj Lalit Bagh, Uda… | Active: 2026-07 — latest dated item on WeddingSutra Favorites profile (weddin…</t>
        </is>
      </c>
      <c r="Z217" s="2" t="inlineStr">
        <is>
          <t>Lead with a specific film or series. Photographers sit at the centre of the wedding ecosystem — invite as a founding peer of designers, MUAs and planners.</t>
        </is>
      </c>
      <c r="AA217" s="2" t="inlineStr">
        <is>
          <t>Established enquiry pipeline via WeddingSutra Favorites, own site and Instagram</t>
        </is>
      </c>
      <c r="AB217" s="2" t="inlineStr">
        <is>
          <t>Leads via referrals/portals; off-platform contact; time to maintain another profile</t>
        </is>
      </c>
      <c r="AC217" s="2" t="inlineStr">
        <is>
          <t>E05 channel/segment test (assign at wave start)</t>
        </is>
      </c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</row>
    <row r="218">
      <c r="A218" s="2" t="n">
        <v>217</v>
      </c>
      <c r="B218" s="2" t="inlineStr">
        <is>
          <t>Wave 2 — Category &amp; city expansion</t>
        </is>
      </c>
      <c r="C218" s="2" t="inlineStr">
        <is>
          <t>UPK2-LM-004</t>
        </is>
      </c>
      <c r="D218" s="2" t="inlineStr">
        <is>
          <t>WhatKnot</t>
        </is>
      </c>
      <c r="E218" s="2" t="inlineStr">
        <is>
          <t>Lens &amp; Motion</t>
        </is>
      </c>
      <c r="F218" s="2" t="inlineStr">
        <is>
          <t>LM-WEDDING</t>
        </is>
      </c>
      <c r="G218" s="2" t="inlineStr">
        <is>
          <t>Wedding &amp; Occasion</t>
        </is>
      </c>
      <c r="H218" s="2" t="inlineStr">
        <is>
          <t>Wedding photography &amp; films</t>
        </is>
      </c>
      <c r="I218" s="2" t="inlineStr">
        <is>
          <t>Mumbai</t>
        </is>
      </c>
      <c r="J218" s="2" t="inlineStr">
        <is>
          <t>C — Strong Mid-tier</t>
        </is>
      </c>
      <c r="K218" s="2" t="inlineStr">
        <is>
          <t>Photography/film studio</t>
        </is>
      </c>
      <c r="L218" s="2" t="inlineStr">
        <is>
          <t>P0</t>
        </is>
      </c>
      <c r="M218" s="2" t="inlineStr">
        <is>
          <t>P1</t>
        </is>
      </c>
      <c r="N218" s="2" t="n">
        <v>76.8</v>
      </c>
      <c r="O218" s="2" t="n">
        <v>88</v>
      </c>
      <c r="P218" s="2" t="n">
        <v>71.5</v>
      </c>
      <c r="Q218" s="2" t="n">
        <v>77</v>
      </c>
      <c r="R218" s="2" t="n">
        <v>50</v>
      </c>
      <c r="S218" s="2" t="inlineStr">
        <is>
          <t>C1-DIRECT-VERIFIED</t>
        </is>
      </c>
      <c r="T218" s="2" t="inlineStr">
        <is>
          <t>Personal 1:1 email from founder/team to published business email</t>
        </is>
      </c>
      <c r="U218" s="2" t="inlineStr">
        <is>
          <t>https://whatknot.in/contact/</t>
        </is>
      </c>
      <c r="V218" s="2" t="inlineStr">
        <is>
          <t>2026-09 — latest dated item on WeddingSutra Favorites profile (weddingsutra.com)</t>
        </is>
      </c>
      <c r="W218" s="2" t="inlineStr">
        <is>
          <t>Real-wedding features credited on WeddingSutra (e.g. Shreya and Swapnil, Mar Vista Beach House, Goa Surrounded by a grove of c)</t>
        </is>
      </c>
      <c r="X218" s="2" t="inlineStr">
        <is>
          <t>WeddingSutra (WeddingSutra Favorites vendor profile (curated listing))</t>
        </is>
      </c>
      <c r="Y218" s="2" t="inlineStr">
        <is>
          <t>Readiness 77 (top 13% in category) | Commercial: Real-wedding features credited on WeddingSutra (e.g. Shreya and Swapnil, Mar Vista Beach… | Active: 2026-09 — latest dated item on WeddingSutra Favorites profile (weddin…</t>
        </is>
      </c>
      <c r="Z218" s="2" t="inlineStr">
        <is>
          <t>Lead with a specific film or series. Photographers sit at the centre of the wedding ecosystem — invite as a founding peer of designers, MUAs and planners.</t>
        </is>
      </c>
      <c r="AA218" s="2" t="inlineStr">
        <is>
          <t>Established enquiry pipeline via WeddingSutra Favorites, own site and Instagram</t>
        </is>
      </c>
      <c r="AB218" s="2" t="inlineStr">
        <is>
          <t>Leads via referrals/portals; off-platform contact; time to maintain another profile</t>
        </is>
      </c>
      <c r="AC218" s="2" t="inlineStr">
        <is>
          <t>E05 channel/segment test (assign at wave start)</t>
        </is>
      </c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</row>
    <row r="219">
      <c r="A219" s="2" t="n">
        <v>218</v>
      </c>
      <c r="B219" s="2" t="inlineStr">
        <is>
          <t>Wave 2 — Category &amp; city expansion</t>
        </is>
      </c>
      <c r="C219" s="2" t="inlineStr">
        <is>
          <t>UPK2-LM-012</t>
        </is>
      </c>
      <c r="D219" s="2" t="inlineStr">
        <is>
          <t>HeartStrings by Sagar</t>
        </is>
      </c>
      <c r="E219" s="2" t="inlineStr">
        <is>
          <t>Lens &amp; Motion</t>
        </is>
      </c>
      <c r="F219" s="2" t="inlineStr">
        <is>
          <t>LM-WEDDING</t>
        </is>
      </c>
      <c r="G219" s="2" t="inlineStr">
        <is>
          <t>Wedding &amp; Occasion</t>
        </is>
      </c>
      <c r="H219" s="2" t="inlineStr">
        <is>
          <t>Wedding photography &amp; filmmaking studio</t>
        </is>
      </c>
      <c r="I219" s="2" t="inlineStr">
        <is>
          <t>Pune</t>
        </is>
      </c>
      <c r="J219" s="2" t="inlineStr">
        <is>
          <t>B — Established Independent</t>
        </is>
      </c>
      <c r="K219" s="2" t="inlineStr">
        <is>
          <t>Studio / production house</t>
        </is>
      </c>
      <c r="L219" s="2" t="inlineStr">
        <is>
          <t>P0</t>
        </is>
      </c>
      <c r="M219" s="2" t="inlineStr">
        <is>
          <t>P1</t>
        </is>
      </c>
      <c r="N219" s="2" t="n">
        <v>77.2</v>
      </c>
      <c r="O219" s="2" t="n">
        <v>91</v>
      </c>
      <c r="P219" s="2" t="n">
        <v>72.3</v>
      </c>
      <c r="Q219" s="2" t="n">
        <v>79</v>
      </c>
      <c r="R219" s="2" t="n">
        <v>50</v>
      </c>
      <c r="S219" s="2" t="inlineStr">
        <is>
          <t>C1-DIRECT-VERIFIED</t>
        </is>
      </c>
      <c r="T219" s="2" t="inlineStr">
        <is>
          <t>Personal 1:1 email from founder/team to published business email</t>
        </is>
      </c>
      <c r="U219" s="2" t="inlineStr">
        <is>
          <t>https://heartstrings.in/contact-us/</t>
        </is>
      </c>
      <c r="V219" s="2" t="inlineStr">
        <is>
          <t>2026-05 — WeddingSutra Photographers Showcase profile published (weddingsutra.com)</t>
        </is>
      </c>
      <c r="W219" s="2" t="inlineStr">
        <is>
          <t>Wedding photography/film bookings; WeddingSutra showcase lists service locations: Pune and Mumbai</t>
        </is>
      </c>
      <c r="X219" s="2" t="inlineStr">
        <is>
          <t>WeddingSutra (Photographers Showcase profile)</t>
        </is>
      </c>
      <c r="Y219" s="2" t="inlineStr">
        <is>
          <t>Readiness 77 (top 10% in category) | Commercial: Wedding photography/film bookings; WeddingSutra showcase lists service locations: Pune an… | Active: 2026-05 — WeddingSutra Photographers Showcase profile published (wedd… | Independent/emerging tier — fame not a factor</t>
        </is>
      </c>
      <c r="Z219" s="2" t="inlineStr">
        <is>
          <t>Lead with a specific film or series. Photographers sit at the centre of the wedding ecosystem — invite as a founding peer of designers, MUAs and planners.</t>
        </is>
      </c>
      <c r="AA219" s="2" t="inlineStr">
        <is>
          <t>Bookings already flow via own site, Instagram and wedding platforms</t>
        </is>
      </c>
      <c r="AB219" s="2" t="inlineStr">
        <is>
          <t>Leads via referrals/portals; off-platform contact; time to maintain another profile</t>
        </is>
      </c>
      <c r="AC219" s="2" t="inlineStr">
        <is>
          <t>E05 channel/segment test (assign at wave start)</t>
        </is>
      </c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</row>
    <row r="220">
      <c r="A220" s="2" t="n">
        <v>219</v>
      </c>
      <c r="B220" s="2" t="inlineStr">
        <is>
          <t>Wave 2 — Category &amp; city expansion</t>
        </is>
      </c>
      <c r="C220" s="2" t="inlineStr">
        <is>
          <t>UPK2-LM-009</t>
        </is>
      </c>
      <c r="D220" s="2" t="inlineStr">
        <is>
          <t>Shutterdown</t>
        </is>
      </c>
      <c r="E220" s="2" t="inlineStr">
        <is>
          <t>Lens &amp; Motion</t>
        </is>
      </c>
      <c r="F220" s="2" t="inlineStr">
        <is>
          <t>LM-WEDDING</t>
        </is>
      </c>
      <c r="G220" s="2" t="inlineStr">
        <is>
          <t>Wedding &amp; Occasion</t>
        </is>
      </c>
      <c r="H220" s="2" t="inlineStr">
        <is>
          <t>Wedding photography &amp; films</t>
        </is>
      </c>
      <c r="I220" s="2" t="inlineStr">
        <is>
          <t>Delhi NCR</t>
        </is>
      </c>
      <c r="J220" s="2" t="inlineStr">
        <is>
          <t>C — Strong Mid-tier</t>
        </is>
      </c>
      <c r="K220" s="2" t="inlineStr">
        <is>
          <t>Studio/team</t>
        </is>
      </c>
      <c r="L220" s="2" t="inlineStr">
        <is>
          <t>P0</t>
        </is>
      </c>
      <c r="M220" s="2" t="inlineStr">
        <is>
          <t>P1</t>
        </is>
      </c>
      <c r="N220" s="2" t="n">
        <v>76.8</v>
      </c>
      <c r="O220" s="2" t="n">
        <v>88</v>
      </c>
      <c r="P220" s="2" t="n">
        <v>72.2</v>
      </c>
      <c r="Q220" s="2" t="n">
        <v>76</v>
      </c>
      <c r="R220" s="2" t="n">
        <v>55</v>
      </c>
      <c r="S220" s="2" t="inlineStr">
        <is>
          <t>C1-DIRECT-VERIFIED</t>
        </is>
      </c>
      <c r="T220" s="2" t="inlineStr">
        <is>
          <t>Personal 1:1 email from founder/team to published business email</t>
        </is>
      </c>
      <c r="U220" s="2" t="inlineStr">
        <is>
          <t>https://www.shutterdown.in/book-us-now/</t>
        </is>
      </c>
      <c r="V220" s="2" t="inlineStr">
        <is>
          <t>2026-03 — WeddingSutra vendor profile last updated/published (page metadata)</t>
        </is>
      </c>
      <c r="W220" s="2" t="inlineStr">
        <is>
          <t>Services listed on WeddingSutra profile: Candid photography, Cinematography, Pre wedding photography</t>
        </is>
      </c>
      <c r="X220" s="2" t="inlineStr">
        <is>
          <t>WeddingSutra (Vendor directory profile)</t>
        </is>
      </c>
      <c r="Y220" s="2" t="inlineStr">
        <is>
          <t>Readiness 77 (top 13% in category) | Commercial: Services listed on WeddingSutra profile: Candid photography, Cinematography, Pre wedding… | Active: 2026-03 — WeddingSutra vendor profile last updated/published (page me…</t>
        </is>
      </c>
      <c r="Z220" s="2" t="inlineStr">
        <is>
          <t>Lead with a specific film or series. Photographers sit at the centre of the wedding ecosystem — invite as a founding peer of designers, MUAs and planners.</t>
        </is>
      </c>
      <c r="AA220" s="2" t="inlineStr">
        <is>
          <t>Already gets leads via own Instagram and wedding directories</t>
        </is>
      </c>
      <c r="AB220" s="2" t="inlineStr">
        <is>
          <t>Leads via referrals/portals; off-platform contact; time to maintain another profile</t>
        </is>
      </c>
      <c r="AC220" s="2" t="inlineStr">
        <is>
          <t>E05 channel/segment test (assign at wave start)</t>
        </is>
      </c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</row>
    <row r="221">
      <c r="A221" s="2" t="n">
        <v>220</v>
      </c>
      <c r="B221" s="2" t="inlineStr">
        <is>
          <t>Wave 2 — Category &amp; city expansion</t>
        </is>
      </c>
      <c r="C221" s="2" t="inlineStr">
        <is>
          <t>UPK2-LM-261</t>
        </is>
      </c>
      <c r="D221" s="2" t="inlineStr">
        <is>
          <t>Wedding Creation</t>
        </is>
      </c>
      <c r="E221" s="2" t="inlineStr">
        <is>
          <t>Lens &amp; Motion</t>
        </is>
      </c>
      <c r="F221" s="2" t="inlineStr">
        <is>
          <t>LM-WEDDING</t>
        </is>
      </c>
      <c r="G221" s="2" t="inlineStr">
        <is>
          <t>Wedding &amp; Occasion</t>
        </is>
      </c>
      <c r="H221" s="2" t="inlineStr">
        <is>
          <t>Wedding &amp; candid photography</t>
        </is>
      </c>
      <c r="I221" s="2" t="inlineStr">
        <is>
          <t>Kolkata</t>
        </is>
      </c>
      <c r="J221" s="2" t="inlineStr">
        <is>
          <t>C — Strong Mid-tier</t>
        </is>
      </c>
      <c r="K221" s="2" t="inlineStr">
        <is>
          <t>Independent wedding photo/film studio</t>
        </is>
      </c>
      <c r="L221" s="2" t="inlineStr">
        <is>
          <t>P0</t>
        </is>
      </c>
      <c r="M221" s="2" t="inlineStr">
        <is>
          <t>P1</t>
        </is>
      </c>
      <c r="N221" s="2" t="n">
        <v>77</v>
      </c>
      <c r="O221" s="2" t="n">
        <v>90</v>
      </c>
      <c r="P221" s="2" t="n">
        <v>70</v>
      </c>
      <c r="Q221" s="2" t="n">
        <v>75</v>
      </c>
      <c r="R221" s="2" t="n">
        <v>45</v>
      </c>
      <c r="S221" s="2" t="inlineStr">
        <is>
          <t>C1-DIRECT-VERIFIED</t>
        </is>
      </c>
      <c r="T221" s="2" t="inlineStr">
        <is>
          <t>Personal 1:1 email from founder/team to published business email</t>
        </is>
      </c>
      <c r="U221" s="2" t="inlineStr">
        <is>
          <t>https://weddingcreation.in/contact</t>
        </is>
      </c>
      <c r="V221" s="2" t="inlineStr">
        <is>
          <t>2026-09 — latest WedMeGood review (321 reviews); 2026 site copyright year</t>
        </is>
      </c>
      <c r="W221" s="2" t="inlineStr">
        <is>
          <t>321 client reviews on WedMeGood; packages from INR 35,000</t>
        </is>
      </c>
      <c r="X221" s="2" t="inlineStr">
        <is>
          <t>WedMeGood (vendor listing with reviews)</t>
        </is>
      </c>
      <c r="Y221" s="2" t="inlineStr">
        <is>
          <t>Readiness 77 (top 11% in category) | Commercial: 321 client reviews on WedMeGood; packages from INR 35,000 | Active: 2026-09 — latest WedMeGood review (321 reviews); 2026 site copyright…</t>
        </is>
      </c>
      <c r="Z221" s="2" t="inlineStr">
        <is>
          <t>Lead with a specific film or series. Photographers sit at the centre of the wedding ecosystem — invite as a founding peer of designers, MUAs and planners.</t>
        </is>
      </c>
      <c r="AA221" s="2" t="inlineStr">
        <is>
          <t>Already gets wedding leads via WedMeGood/Instagram; may see another listing as redundant</t>
        </is>
      </c>
      <c r="AB221" s="2" t="inlineStr">
        <is>
          <t>Leads via referrals/portals; off-platform contact; time to maintain another profile</t>
        </is>
      </c>
      <c r="AC221" s="2" t="inlineStr">
        <is>
          <t>E05 channel/segment test (assign at wave start)</t>
        </is>
      </c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</row>
    <row r="222">
      <c r="A222" s="2" t="n">
        <v>221</v>
      </c>
      <c r="B222" s="2" t="inlineStr">
        <is>
          <t>Wave 2 — Category &amp; city expansion</t>
        </is>
      </c>
      <c r="C222" s="2" t="inlineStr">
        <is>
          <t>UPK2-LM-267</t>
        </is>
      </c>
      <c r="D222" s="2" t="inlineStr">
        <is>
          <t>120framesfilms</t>
        </is>
      </c>
      <c r="E222" s="2" t="inlineStr">
        <is>
          <t>Lens &amp; Motion</t>
        </is>
      </c>
      <c r="F222" s="2" t="inlineStr">
        <is>
          <t>LM-WEDDING</t>
        </is>
      </c>
      <c r="G222" s="2" t="inlineStr">
        <is>
          <t>Wedding &amp; Occasion</t>
        </is>
      </c>
      <c r="H222" s="2" t="inlineStr">
        <is>
          <t>Wedding &amp; candid photography</t>
        </is>
      </c>
      <c r="I222" s="2" t="inlineStr">
        <is>
          <t>Hyderabad</t>
        </is>
      </c>
      <c r="J222" s="2" t="inlineStr">
        <is>
          <t>C — Strong Mid-tier</t>
        </is>
      </c>
      <c r="K222" s="2" t="inlineStr">
        <is>
          <t>Independent wedding photo/film studio</t>
        </is>
      </c>
      <c r="L222" s="2" t="inlineStr">
        <is>
          <t>P0</t>
        </is>
      </c>
      <c r="M222" s="2" t="inlineStr">
        <is>
          <t>P1</t>
        </is>
      </c>
      <c r="N222" s="2" t="n">
        <v>77</v>
      </c>
      <c r="O222" s="2" t="n">
        <v>90</v>
      </c>
      <c r="P222" s="2" t="n">
        <v>70</v>
      </c>
      <c r="Q222" s="2" t="n">
        <v>75</v>
      </c>
      <c r="R222" s="2" t="n">
        <v>45</v>
      </c>
      <c r="S222" s="2" t="inlineStr">
        <is>
          <t>C1-DIRECT-VERIFIED</t>
        </is>
      </c>
      <c r="T222" s="2" t="inlineStr">
        <is>
          <t>Personal 1:1 email from founder/team to published business email</t>
        </is>
      </c>
      <c r="U222" s="2" t="inlineStr">
        <is>
          <t>https://www.120framesfilms.com/</t>
        </is>
      </c>
      <c r="V222" s="2" t="inlineStr">
        <is>
          <t>2026-07 — latest WedMeGood review (141 reviews)</t>
        </is>
      </c>
      <c r="W222" s="2" t="inlineStr">
        <is>
          <t>141 client reviews on WedMeGood; packages from INR 1,00,000</t>
        </is>
      </c>
      <c r="X222" s="2" t="inlineStr">
        <is>
          <t>WedMeGood (vendor listing with reviews)</t>
        </is>
      </c>
      <c r="Y222" s="2" t="inlineStr">
        <is>
          <t>Readiness 77 (top 11% in category) | Commercial: 141 client reviews on WedMeGood; packages from INR 1,00,000 | Active: 2026-07 — latest WedMeGood review (141 reviews)</t>
        </is>
      </c>
      <c r="Z222" s="2" t="inlineStr">
        <is>
          <t>Lead with a specific film or series. Photographers sit at the centre of the wedding ecosystem — invite as a founding peer of designers, MUAs and planners.</t>
        </is>
      </c>
      <c r="AA222" s="2" t="inlineStr">
        <is>
          <t>Already gets wedding leads via WedMeGood/Instagram; may see another listing as redundant</t>
        </is>
      </c>
      <c r="AB222" s="2" t="inlineStr">
        <is>
          <t>Leads via referrals/portals; off-platform contact; time to maintain another profile</t>
        </is>
      </c>
      <c r="AC222" s="2" t="inlineStr">
        <is>
          <t>E05 channel/segment test (assign at wave start)</t>
        </is>
      </c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</row>
    <row r="223">
      <c r="A223" s="2" t="n">
        <v>222</v>
      </c>
      <c r="B223" s="2" t="inlineStr">
        <is>
          <t>Wave 2 — Category &amp; city expansion</t>
        </is>
      </c>
      <c r="C223" s="2" t="inlineStr">
        <is>
          <t>UPK2-LM-241</t>
        </is>
      </c>
      <c r="D223" s="2" t="inlineStr">
        <is>
          <t>ThyWed Stories</t>
        </is>
      </c>
      <c r="E223" s="2" t="inlineStr">
        <is>
          <t>Lens &amp; Motion</t>
        </is>
      </c>
      <c r="F223" s="2" t="inlineStr">
        <is>
          <t>LM-WEDDING</t>
        </is>
      </c>
      <c r="G223" s="2" t="inlineStr">
        <is>
          <t>Wedding &amp; Occasion</t>
        </is>
      </c>
      <c r="H223" s="2" t="inlineStr">
        <is>
          <t>Wedding &amp; candid photography</t>
        </is>
      </c>
      <c r="I223" s="2" t="inlineStr">
        <is>
          <t>Bengaluru</t>
        </is>
      </c>
      <c r="J223" s="2" t="inlineStr">
        <is>
          <t>C — Strong Mid-tier</t>
        </is>
      </c>
      <c r="K223" s="2" t="inlineStr">
        <is>
          <t>Independent wedding photo/film studio</t>
        </is>
      </c>
      <c r="L223" s="2" t="inlineStr">
        <is>
          <t>P0</t>
        </is>
      </c>
      <c r="M223" s="2" t="inlineStr">
        <is>
          <t>P1</t>
        </is>
      </c>
      <c r="N223" s="2" t="n">
        <v>77</v>
      </c>
      <c r="O223" s="2" t="n">
        <v>90</v>
      </c>
      <c r="P223" s="2" t="n">
        <v>70</v>
      </c>
      <c r="Q223" s="2" t="n">
        <v>75</v>
      </c>
      <c r="R223" s="2" t="n">
        <v>45</v>
      </c>
      <c r="S223" s="2" t="inlineStr">
        <is>
          <t>C1-DIRECT-VERIFIED</t>
        </is>
      </c>
      <c r="T223" s="2" t="inlineStr">
        <is>
          <t>Personal 1:1 email from founder/team to published business email</t>
        </is>
      </c>
      <c r="U223" s="2" t="inlineStr">
        <is>
          <t>https://thywedstories.com/</t>
        </is>
      </c>
      <c r="V223" s="2" t="inlineStr">
        <is>
          <t>2026-07 — latest WedMeGood review (69 reviews); 2026 latest dated media upload on own site</t>
        </is>
      </c>
      <c r="W223" s="2" t="inlineStr">
        <is>
          <t>69 client reviews on WedMeGood; packages from INR 65,000</t>
        </is>
      </c>
      <c r="X223" s="2" t="inlineStr">
        <is>
          <t>WedMeGood (vendor listing with reviews)</t>
        </is>
      </c>
      <c r="Y223" s="2" t="inlineStr">
        <is>
          <t>Readiness 77 (top 11% in category) | Commercial: 69 client reviews on WedMeGood; packages from INR 65,000 | Active: 2026-07 — latest WedMeGood review (69 reviews); 2026 latest dated med…</t>
        </is>
      </c>
      <c r="Z223" s="2" t="inlineStr">
        <is>
          <t>Lead with a specific film or series. Photographers sit at the centre of the wedding ecosystem — invite as a founding peer of designers, MUAs and planners.</t>
        </is>
      </c>
      <c r="AA223" s="2" t="inlineStr">
        <is>
          <t>Already gets wedding leads via WedMeGood/Instagram; may see another listing as redundant</t>
        </is>
      </c>
      <c r="AB223" s="2" t="inlineStr">
        <is>
          <t>Leads via referrals/portals; off-platform contact; time to maintain another profile</t>
        </is>
      </c>
      <c r="AC223" s="2" t="inlineStr">
        <is>
          <t>E05 channel/segment test (assign at wave start)</t>
        </is>
      </c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</row>
    <row r="224">
      <c r="A224" s="2" t="n">
        <v>223</v>
      </c>
      <c r="B224" s="2" t="inlineStr">
        <is>
          <t>Wave 2 — Category &amp; city expansion</t>
        </is>
      </c>
      <c r="C224" s="2" t="inlineStr">
        <is>
          <t>UPK2-LM-341</t>
        </is>
      </c>
      <c r="D224" s="2" t="inlineStr">
        <is>
          <t>The Richie Films</t>
        </is>
      </c>
      <c r="E224" s="2" t="inlineStr">
        <is>
          <t>Lens &amp; Motion</t>
        </is>
      </c>
      <c r="F224" s="2" t="inlineStr">
        <is>
          <t>LM-WEDDING</t>
        </is>
      </c>
      <c r="G224" s="2" t="inlineStr">
        <is>
          <t>Wedding &amp; Occasion</t>
        </is>
      </c>
      <c r="H224" s="2" t="inlineStr">
        <is>
          <t>Wedding &amp; candid photography</t>
        </is>
      </c>
      <c r="I224" s="2" t="inlineStr">
        <is>
          <t>Bengaluru</t>
        </is>
      </c>
      <c r="J224" s="2" t="inlineStr">
        <is>
          <t>C — Strong Mid-tier</t>
        </is>
      </c>
      <c r="K224" s="2" t="inlineStr">
        <is>
          <t>Independent wedding photo/film studio</t>
        </is>
      </c>
      <c r="L224" s="2" t="inlineStr">
        <is>
          <t>P0</t>
        </is>
      </c>
      <c r="M224" s="2" t="inlineStr">
        <is>
          <t>P1</t>
        </is>
      </c>
      <c r="N224" s="2" t="n">
        <v>77</v>
      </c>
      <c r="O224" s="2" t="n">
        <v>90</v>
      </c>
      <c r="P224" s="2" t="n">
        <v>69.09999999999999</v>
      </c>
      <c r="Q224" s="2" t="n">
        <v>72</v>
      </c>
      <c r="R224" s="2" t="n">
        <v>45</v>
      </c>
      <c r="S224" s="2" t="inlineStr">
        <is>
          <t>C1-DIRECT-VERIFIED</t>
        </is>
      </c>
      <c r="T224" s="2" t="inlineStr">
        <is>
          <t>1:1 message via own-website contact form</t>
        </is>
      </c>
      <c r="U224" s="2" t="inlineStr">
        <is>
          <t>https://richiefilms.com/</t>
        </is>
      </c>
      <c r="V224" s="2" t="inlineStr">
        <is>
          <t>2026-10 — latest WedMeGood review (271 reviews); 2024 latest dated media upload on own site</t>
        </is>
      </c>
      <c r="W224" s="2" t="inlineStr">
        <is>
          <t>271 client reviews on WedMeGood; packages from INR 50,000</t>
        </is>
      </c>
      <c r="X224" s="2" t="inlineStr">
        <is>
          <t>WedMeGood (vendor listing with reviews)</t>
        </is>
      </c>
      <c r="Y224" s="2" t="inlineStr">
        <is>
          <t>Readiness 77 (top 11% in category) | Commercial: 271 client reviews on WedMeGood; packages from INR 50,000 | Active: 2026-10 — latest WedMeGood review (271 reviews); 2024 latest dated me…</t>
        </is>
      </c>
      <c r="Z224" s="2" t="inlineStr">
        <is>
          <t>Lead with a specific film or series. Photographers sit at the centre of the wedding ecosystem — invite as a founding peer of designers, MUAs and planners.</t>
        </is>
      </c>
      <c r="AA224" s="2" t="inlineStr">
        <is>
          <t>Already gets wedding leads via WedMeGood/Instagram; may see another listing as redundant</t>
        </is>
      </c>
      <c r="AB224" s="2" t="inlineStr">
        <is>
          <t>Leads via referrals/portals; off-platform contact; time to maintain another profile</t>
        </is>
      </c>
      <c r="AC224" s="2" t="inlineStr">
        <is>
          <t>E05 channel/segment test (assign at wave start)</t>
        </is>
      </c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</row>
    <row r="225">
      <c r="A225" s="2" t="n">
        <v>224</v>
      </c>
      <c r="B225" s="2" t="inlineStr">
        <is>
          <t>Wave 2 — Category &amp; city expansion</t>
        </is>
      </c>
      <c r="C225" s="2" t="inlineStr">
        <is>
          <t>UPK2-LM-007</t>
        </is>
      </c>
      <c r="D225" s="2" t="inlineStr">
        <is>
          <t>Sam &amp; Ekta</t>
        </is>
      </c>
      <c r="E225" s="2" t="inlineStr">
        <is>
          <t>Lens &amp; Motion</t>
        </is>
      </c>
      <c r="F225" s="2" t="inlineStr">
        <is>
          <t>LM-WEDDING</t>
        </is>
      </c>
      <c r="G225" s="2" t="inlineStr">
        <is>
          <t>Wedding &amp; Occasion</t>
        </is>
      </c>
      <c r="H225" s="2" t="inlineStr">
        <is>
          <t>Wedding photography &amp; films</t>
        </is>
      </c>
      <c r="I225" s="2" t="inlineStr">
        <is>
          <t>Mumbai</t>
        </is>
      </c>
      <c r="J225" s="2" t="inlineStr">
        <is>
          <t>C — Strong Mid-tier</t>
        </is>
      </c>
      <c r="K225" s="2" t="inlineStr">
        <is>
          <t>Photography/film studio</t>
        </is>
      </c>
      <c r="L225" s="2" t="inlineStr">
        <is>
          <t>P0</t>
        </is>
      </c>
      <c r="M225" s="2" t="inlineStr">
        <is>
          <t>P1</t>
        </is>
      </c>
      <c r="N225" s="2" t="n">
        <v>75.8</v>
      </c>
      <c r="O225" s="2" t="n">
        <v>81</v>
      </c>
      <c r="P225" s="2" t="n">
        <v>71</v>
      </c>
      <c r="Q225" s="2" t="n">
        <v>77</v>
      </c>
      <c r="R225" s="2" t="n">
        <v>50</v>
      </c>
      <c r="S225" s="2" t="inlineStr">
        <is>
          <t>C1-DIRECT-VERIFIED</t>
        </is>
      </c>
      <c r="T225" s="2" t="inlineStr">
        <is>
          <t>Personal 1:1 email from founder/team to published business email</t>
        </is>
      </c>
      <c r="U225" s="2" t="inlineStr">
        <is>
          <t>https://www.samandekta.com</t>
        </is>
      </c>
      <c r="V225" s="2" t="inlineStr">
        <is>
          <t>2026-01 — latest dated item on WeddingSutra Favorites profile (weddingsutra.com)</t>
        </is>
      </c>
      <c r="W225" s="2" t="inlineStr">
        <is>
          <t>Real-wedding features credited on WeddingSutra (e.g. A maximalist wedding where glamour, imagination, and immersive design too)</t>
        </is>
      </c>
      <c r="X225" s="2" t="inlineStr">
        <is>
          <t>WeddingSutra (WeddingSutra Favorites vendor profile (curated listing))</t>
        </is>
      </c>
      <c r="Y225" s="2" t="inlineStr">
        <is>
          <t>Readiness 76 (top 20% in category) | Commercial: Real-wedding features credited on WeddingSutra (e.g. A maximalist wedding where glamour,… | Active: 2026-01 — latest dated item on WeddingSutra Favorites profile (weddin…</t>
        </is>
      </c>
      <c r="Z225" s="2" t="inlineStr">
        <is>
          <t>Lead with a specific film or series. Photographers sit at the centre of the wedding ecosystem — invite as a founding peer of designers, MUAs and planners.</t>
        </is>
      </c>
      <c r="AA225" s="2" t="inlineStr">
        <is>
          <t>Established enquiry pipeline via WeddingSutra Favorites, own site and Instagram</t>
        </is>
      </c>
      <c r="AB225" s="2" t="inlineStr">
        <is>
          <t>Leads via referrals/portals; off-platform contact; time to maintain another profile</t>
        </is>
      </c>
      <c r="AC225" s="2" t="inlineStr">
        <is>
          <t>E05 channel/segment test (assign at wave start)</t>
        </is>
      </c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</row>
    <row r="226">
      <c r="A226" s="2" t="n">
        <v>225</v>
      </c>
      <c r="B226" s="2" t="inlineStr">
        <is>
          <t>Wave 2 — Category &amp; city expansion</t>
        </is>
      </c>
      <c r="C226" s="2" t="inlineStr">
        <is>
          <t>UPK2-LM-006</t>
        </is>
      </c>
      <c r="D226" s="2" t="inlineStr">
        <is>
          <t>Knotty Affair</t>
        </is>
      </c>
      <c r="E226" s="2" t="inlineStr">
        <is>
          <t>Lens &amp; Motion</t>
        </is>
      </c>
      <c r="F226" s="2" t="inlineStr">
        <is>
          <t>LM-WEDDING</t>
        </is>
      </c>
      <c r="G226" s="2" t="inlineStr">
        <is>
          <t>Wedding &amp; Occasion</t>
        </is>
      </c>
      <c r="H226" s="2" t="inlineStr">
        <is>
          <t>Wedding photography &amp; films</t>
        </is>
      </c>
      <c r="I226" s="2" t="inlineStr">
        <is>
          <t>Mumbai</t>
        </is>
      </c>
      <c r="J226" s="2" t="inlineStr">
        <is>
          <t>C — Strong Mid-tier</t>
        </is>
      </c>
      <c r="K226" s="2" t="inlineStr">
        <is>
          <t>Photography/film studio</t>
        </is>
      </c>
      <c r="L226" s="2" t="inlineStr">
        <is>
          <t>P0</t>
        </is>
      </c>
      <c r="M226" s="2" t="inlineStr">
        <is>
          <t>P1</t>
        </is>
      </c>
      <c r="N226" s="2" t="n">
        <v>75.8</v>
      </c>
      <c r="O226" s="2" t="n">
        <v>81</v>
      </c>
      <c r="P226" s="2" t="n">
        <v>71</v>
      </c>
      <c r="Q226" s="2" t="n">
        <v>77</v>
      </c>
      <c r="R226" s="2" t="n">
        <v>50</v>
      </c>
      <c r="S226" s="2" t="inlineStr">
        <is>
          <t>C1-DIRECT-VERIFIED</t>
        </is>
      </c>
      <c r="T226" s="2" t="inlineStr">
        <is>
          <t>Personal 1:1 email from founder/team to published business email</t>
        </is>
      </c>
      <c r="U226" s="2" t="inlineStr">
        <is>
          <t>https://www.knottyaffair.in</t>
        </is>
      </c>
      <c r="V226" s="2" t="inlineStr">
        <is>
          <t>2026-05 — latest dated item on WeddingSutra Favorites profile (weddingsutra.com)</t>
        </is>
      </c>
      <c r="W226" s="2" t="inlineStr">
        <is>
          <t>Real-wedding features credited on WeddingSutra (e.g. Jushti Kaji and Shanav Jalan, Taj Lands End, Mumbai Modern design met tra)</t>
        </is>
      </c>
      <c r="X226" s="2" t="inlineStr">
        <is>
          <t>WeddingSutra (WeddingSutra Favorites vendor profile (curated listing))</t>
        </is>
      </c>
      <c r="Y226" s="2" t="inlineStr">
        <is>
          <t>Readiness 76 (top 20% in category) | Commercial: Real-wedding features credited on WeddingSutra (e.g. Jushti Kaji and Shanav Jalan, Taj La… | Active: 2026-05 — latest dated item on WeddingSutra Favorites profile (weddin…</t>
        </is>
      </c>
      <c r="Z226" s="2" t="inlineStr">
        <is>
          <t>Lead with a specific film or series. Photographers sit at the centre of the wedding ecosystem — invite as a founding peer of designers, MUAs and planners.</t>
        </is>
      </c>
      <c r="AA226" s="2" t="inlineStr">
        <is>
          <t>Established enquiry pipeline via WeddingSutra Favorites, own site and Instagram</t>
        </is>
      </c>
      <c r="AB226" s="2" t="inlineStr">
        <is>
          <t>Leads via referrals/portals; off-platform contact; time to maintain another profile</t>
        </is>
      </c>
      <c r="AC226" s="2" t="inlineStr">
        <is>
          <t>E05 channel/segment test (assign at wave start)</t>
        </is>
      </c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</row>
    <row r="227">
      <c r="A227" s="2" t="n">
        <v>226</v>
      </c>
      <c r="B227" s="2" t="inlineStr">
        <is>
          <t>Wave 2 — Category &amp; city expansion</t>
        </is>
      </c>
      <c r="C227" s="2" t="inlineStr">
        <is>
          <t>UPK2-LM-279</t>
        </is>
      </c>
      <c r="D227" s="2" t="inlineStr">
        <is>
          <t>Jignesh Jhaveri</t>
        </is>
      </c>
      <c r="E227" s="2" t="inlineStr">
        <is>
          <t>Lens &amp; Motion</t>
        </is>
      </c>
      <c r="F227" s="2" t="inlineStr">
        <is>
          <t>LM-COMMERCIAL-FASHION</t>
        </is>
      </c>
      <c r="G227" s="2" t="inlineStr">
        <is>
          <t>Brand &amp; Everyday Style</t>
        </is>
      </c>
      <c r="H227" s="2" t="inlineStr">
        <is>
          <t>Advertising photographer &amp; DP (food, liquids, still life)</t>
        </is>
      </c>
      <c r="I227" s="2" t="inlineStr">
        <is>
          <t>Mumbai</t>
        </is>
      </c>
      <c r="J227" s="2" t="inlineStr">
        <is>
          <t>C — Strong Mid-tier</t>
        </is>
      </c>
      <c r="K227" s="2" t="inlineStr">
        <is>
          <t>Solo/Freelancer</t>
        </is>
      </c>
      <c r="L227" s="2" t="inlineStr">
        <is>
          <t>P0</t>
        </is>
      </c>
      <c r="M227" s="2" t="inlineStr">
        <is>
          <t>P1</t>
        </is>
      </c>
      <c r="N227" s="2" t="n">
        <v>76.40000000000001</v>
      </c>
      <c r="O227" s="2" t="n">
        <v>87</v>
      </c>
      <c r="P227" s="2" t="n">
        <v>72.90000000000001</v>
      </c>
      <c r="Q227" s="2" t="n">
        <v>79</v>
      </c>
      <c r="R227" s="2" t="n">
        <v>55</v>
      </c>
      <c r="S227" s="2" t="inlineStr">
        <is>
          <t>C1-DIRECT-VERIFIED</t>
        </is>
      </c>
      <c r="T227" s="2" t="inlineStr">
        <is>
          <t>Personal 1:1 email from founder/team to published business email</t>
        </is>
      </c>
      <c r="U227" s="2" t="inlineStr">
        <is>
          <t>https://www.jigneshjhaveri.com/contact</t>
        </is>
      </c>
      <c r="V227" s="2" t="inlineStr">
        <is>
          <t>2026 — dated content on own site</t>
        </is>
      </c>
      <c r="W227" s="2" t="inlineStr">
        <is>
          <t>Commissioned project photography credited by design publications; enquiry route on own site</t>
        </is>
      </c>
      <c r="X227" s="2" t="inlineStr"/>
      <c r="Y227" s="2" t="inlineStr">
        <is>
          <t>Readiness 76 (top 14% in category) | Commercial: Commissioned project photography credited by design publications; enquiry route on own si… | Active: 2026 — dated content on own site</t>
        </is>
      </c>
      <c r="Z227" s="2" t="inlineStr">
        <is>
          <t>Lead with product/fashion work. Link to labels in the Brand &amp; Everyday Style pod.</t>
        </is>
      </c>
      <c r="AA227" s="2" t="inlineStr">
        <is>
          <t>Work is commission/referral-driven through architect networks; may not see need for a marketplace</t>
        </is>
      </c>
      <c r="AB227" s="2" t="inlineStr">
        <is>
          <t>Leads via referrals/portals; off-platform contact; time to maintain another profile</t>
        </is>
      </c>
      <c r="AC227" s="2" t="inlineStr">
        <is>
          <t>E05 channel/segment test (assign at wave start)</t>
        </is>
      </c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</row>
    <row r="228">
      <c r="A228" s="2" t="n">
        <v>227</v>
      </c>
      <c r="B228" s="2" t="inlineStr">
        <is>
          <t>Wave 2 — Category &amp; city expansion</t>
        </is>
      </c>
      <c r="C228" s="2" t="inlineStr">
        <is>
          <t>UPK2-LM-278</t>
        </is>
      </c>
      <c r="D228" s="2" t="inlineStr">
        <is>
          <t>Sameer Belvalkar Photography</t>
        </is>
      </c>
      <c r="E228" s="2" t="inlineStr">
        <is>
          <t>Lens &amp; Motion</t>
        </is>
      </c>
      <c r="F228" s="2" t="inlineStr">
        <is>
          <t>LM-COMMERCIAL-FASHION</t>
        </is>
      </c>
      <c r="G228" s="2" t="inlineStr">
        <is>
          <t>Brand &amp; Everyday Style</t>
        </is>
      </c>
      <c r="H228" s="2" t="inlineStr">
        <is>
          <t>Fashion &amp; advertising photographer</t>
        </is>
      </c>
      <c r="I228" s="2" t="inlineStr">
        <is>
          <t>Mumbai</t>
        </is>
      </c>
      <c r="J228" s="2" t="inlineStr">
        <is>
          <t>C — Strong Mid-tier</t>
        </is>
      </c>
      <c r="K228" s="2" t="inlineStr">
        <is>
          <t>Solo/Freelancer</t>
        </is>
      </c>
      <c r="L228" s="2" t="inlineStr">
        <is>
          <t>P0</t>
        </is>
      </c>
      <c r="M228" s="2" t="inlineStr">
        <is>
          <t>P1</t>
        </is>
      </c>
      <c r="N228" s="2" t="n">
        <v>75.40000000000001</v>
      </c>
      <c r="O228" s="2" t="n">
        <v>78</v>
      </c>
      <c r="P228" s="2" t="n">
        <v>72.7</v>
      </c>
      <c r="Q228" s="2" t="n">
        <v>80</v>
      </c>
      <c r="R228" s="2" t="n">
        <v>55</v>
      </c>
      <c r="S228" s="2" t="inlineStr">
        <is>
          <t>C1-DIRECT-VERIFIED</t>
        </is>
      </c>
      <c r="T228" s="2" t="inlineStr">
        <is>
          <t>Personal 1:1 email from founder/team to published business email</t>
        </is>
      </c>
      <c r="U228" s="2" t="inlineStr">
        <is>
          <t>https://sameerbelvalkar.com/</t>
        </is>
      </c>
      <c r="V228" s="2" t="inlineStr">
        <is>
          <t>2026 — site shows 2026 date (own site)</t>
        </is>
      </c>
      <c r="W228" s="2" t="inlineStr">
        <is>
          <t>Commissioned project photography credited by design publications; enquiry route on own site</t>
        </is>
      </c>
      <c r="X228" s="2" t="inlineStr"/>
      <c r="Y228" s="2" t="inlineStr">
        <is>
          <t>Readiness 75 (top 23% in category) | Commercial: Commissioned project photography credited by design publications; enquiry route on own si… | Active: 2026 — site shows 2026 date (own site)</t>
        </is>
      </c>
      <c r="Z228" s="2" t="inlineStr">
        <is>
          <t>Lead with product/fashion work. Link to labels in the Brand &amp; Everyday Style pod.</t>
        </is>
      </c>
      <c r="AA228" s="2" t="inlineStr">
        <is>
          <t>Work is commission/referral-driven through architect networks; may not see need for a marketplace</t>
        </is>
      </c>
      <c r="AB228" s="2" t="inlineStr">
        <is>
          <t>Leads via referrals/portals; off-platform contact; time to maintain another profile</t>
        </is>
      </c>
      <c r="AC228" s="2" t="inlineStr">
        <is>
          <t>E05 channel/segment test (assign at wave start)</t>
        </is>
      </c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</row>
    <row r="229">
      <c r="A229" s="2" t="n">
        <v>228</v>
      </c>
      <c r="B229" s="2" t="inlineStr">
        <is>
          <t>Wave 2 — Category &amp; city expansion</t>
        </is>
      </c>
      <c r="C229" s="2" t="inlineStr">
        <is>
          <t>UPK2-LM-026</t>
        </is>
      </c>
      <c r="D229" s="2" t="inlineStr">
        <is>
          <t>Ashokarsh</t>
        </is>
      </c>
      <c r="E229" s="2" t="inlineStr">
        <is>
          <t>Lens &amp; Motion</t>
        </is>
      </c>
      <c r="F229" s="2" t="inlineStr">
        <is>
          <t>LM-WEDDING</t>
        </is>
      </c>
      <c r="G229" s="2" t="inlineStr">
        <is>
          <t>Wedding &amp; Occasion</t>
        </is>
      </c>
      <c r="H229" s="2" t="inlineStr">
        <is>
          <t>Luxury wedding photography &amp; videography</t>
        </is>
      </c>
      <c r="I229" s="2" t="inlineStr">
        <is>
          <t>Chennai</t>
        </is>
      </c>
      <c r="J229" s="2" t="inlineStr">
        <is>
          <t>C — Strong Mid-tier</t>
        </is>
      </c>
      <c r="K229" s="2" t="inlineStr">
        <is>
          <t>Photography/film studio</t>
        </is>
      </c>
      <c r="L229" s="2" t="inlineStr">
        <is>
          <t>P0</t>
        </is>
      </c>
      <c r="M229" s="2" t="inlineStr">
        <is>
          <t>P1</t>
        </is>
      </c>
      <c r="N229" s="2" t="n">
        <v>74.09999999999999</v>
      </c>
      <c r="O229" s="2" t="n">
        <v>74</v>
      </c>
      <c r="P229" s="2" t="n">
        <v>70.40000000000001</v>
      </c>
      <c r="Q229" s="2" t="n">
        <v>78</v>
      </c>
      <c r="R229" s="2" t="n">
        <v>50</v>
      </c>
      <c r="S229" s="2" t="inlineStr">
        <is>
          <t>C1-DIRECT-VERIFIED</t>
        </is>
      </c>
      <c r="T229" s="2" t="inlineStr">
        <is>
          <t>Personal 1:1 email from founder/team to published business email</t>
        </is>
      </c>
      <c r="U229" s="2" t="inlineStr">
        <is>
          <t>https://ashokarsh.com/</t>
        </is>
      </c>
      <c r="V229" s="2" t="inlineStr">
        <is>
          <t>2026 — site copyright 2026 (ashokarsh.com)</t>
        </is>
      </c>
      <c r="W229" s="2" t="inlineStr">
        <is>
          <t>Own website advertises paid luxury wedding photography &amp; videography services with enquiry routes</t>
        </is>
      </c>
      <c r="X229" s="2" t="inlineStr"/>
      <c r="Y229" s="2" t="inlineStr">
        <is>
          <t>Readiness 74 (top 27% in category) | Commercial: Own website advertises paid luxury wedding photography &amp; videography services with enquir… | Active: 2026 — site copyright 2026 (ashokarsh.com)</t>
        </is>
      </c>
      <c r="Z229" s="2" t="inlineStr">
        <is>
          <t>Lead with a specific film or series. Photographers sit at the centre of the wedding ecosystem — invite as a founding peer of designers, MUAs and planners.</t>
        </is>
      </c>
      <c r="AA229" s="2" t="inlineStr">
        <is>
          <t>Leads already come via own site/Instagram</t>
        </is>
      </c>
      <c r="AB229" s="2" t="inlineStr">
        <is>
          <t>Leads via referrals/portals; off-platform contact; time to maintain another profile</t>
        </is>
      </c>
      <c r="AC229" s="2" t="inlineStr">
        <is>
          <t>E05 channel/segment test (assign at wave start)</t>
        </is>
      </c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</row>
    <row r="230">
      <c r="A230" s="2" t="n">
        <v>229</v>
      </c>
      <c r="B230" s="2" t="inlineStr">
        <is>
          <t>Wave 2 — Category &amp; city expansion</t>
        </is>
      </c>
      <c r="C230" s="2" t="inlineStr">
        <is>
          <t>UPK2-LM-016</t>
        </is>
      </c>
      <c r="D230" s="2" t="inlineStr">
        <is>
          <t>What A Story</t>
        </is>
      </c>
      <c r="E230" s="2" t="inlineStr">
        <is>
          <t>Lens &amp; Motion</t>
        </is>
      </c>
      <c r="F230" s="2" t="inlineStr">
        <is>
          <t>LM-WEDDING</t>
        </is>
      </c>
      <c r="G230" s="2" t="inlineStr">
        <is>
          <t>Wedding &amp; Occasion</t>
        </is>
      </c>
      <c r="H230" s="2" t="inlineStr">
        <is>
          <t>Candid wedding photography &amp; videography (India/US)</t>
        </is>
      </c>
      <c r="I230" s="2" t="inlineStr">
        <is>
          <t>Hyderabad</t>
        </is>
      </c>
      <c r="J230" s="2" t="inlineStr">
        <is>
          <t>C — Strong Mid-tier</t>
        </is>
      </c>
      <c r="K230" s="2" t="inlineStr">
        <is>
          <t>Photography/film studio</t>
        </is>
      </c>
      <c r="L230" s="2" t="inlineStr">
        <is>
          <t>P0</t>
        </is>
      </c>
      <c r="M230" s="2" t="inlineStr">
        <is>
          <t>P1</t>
        </is>
      </c>
      <c r="N230" s="2" t="n">
        <v>74.09999999999999</v>
      </c>
      <c r="O230" s="2" t="n">
        <v>74</v>
      </c>
      <c r="P230" s="2" t="n">
        <v>70.40000000000001</v>
      </c>
      <c r="Q230" s="2" t="n">
        <v>78</v>
      </c>
      <c r="R230" s="2" t="n">
        <v>50</v>
      </c>
      <c r="S230" s="2" t="inlineStr">
        <is>
          <t>C1-DIRECT-VERIFIED</t>
        </is>
      </c>
      <c r="T230" s="2" t="inlineStr">
        <is>
          <t>Personal 1:1 email from founder/team to published business email</t>
        </is>
      </c>
      <c r="U230" s="2" t="inlineStr">
        <is>
          <t>https://whataweddingstory.com/</t>
        </is>
      </c>
      <c r="V230" s="2" t="inlineStr">
        <is>
          <t>2026 — site copyright 2026 (whataweddingstory.com)</t>
        </is>
      </c>
      <c r="W230" s="2" t="inlineStr">
        <is>
          <t>Own website advertises paid candid wedding photography &amp; videography (india/us) services with enquiry routes</t>
        </is>
      </c>
      <c r="X230" s="2" t="inlineStr"/>
      <c r="Y230" s="2" t="inlineStr">
        <is>
          <t>Readiness 74 (top 27% in category) | Commercial: Own website advertises paid candid wedding photography &amp; videography (india/us) services… | Active: 2026 — site copyright 2026 (whataweddingstory.com)</t>
        </is>
      </c>
      <c r="Z230" s="2" t="inlineStr">
        <is>
          <t>Lead with a specific film or series. Photographers sit at the centre of the wedding ecosystem — invite as a founding peer of designers, MUAs and planners.</t>
        </is>
      </c>
      <c r="AA230" s="2" t="inlineStr">
        <is>
          <t>Leads already come via own site/Instagram</t>
        </is>
      </c>
      <c r="AB230" s="2" t="inlineStr">
        <is>
          <t>Leads via referrals/portals; off-platform contact; time to maintain another profile</t>
        </is>
      </c>
      <c r="AC230" s="2" t="inlineStr">
        <is>
          <t>E05 channel/segment test (assign at wave start)</t>
        </is>
      </c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</row>
    <row r="231">
      <c r="A231" s="2" t="n">
        <v>230</v>
      </c>
      <c r="B231" s="2" t="inlineStr">
        <is>
          <t>Wave 2 — Category &amp; city expansion</t>
        </is>
      </c>
      <c r="C231" s="2" t="inlineStr">
        <is>
          <t>UPK2-LM-046</t>
        </is>
      </c>
      <c r="D231" s="2" t="inlineStr">
        <is>
          <t>The Amaara Stories</t>
        </is>
      </c>
      <c r="E231" s="2" t="inlineStr">
        <is>
          <t>Lens &amp; Motion</t>
        </is>
      </c>
      <c r="F231" s="2" t="inlineStr">
        <is>
          <t>LM-WEDDING</t>
        </is>
      </c>
      <c r="G231" s="2" t="inlineStr">
        <is>
          <t>Wedding &amp; Occasion</t>
        </is>
      </c>
      <c r="H231" s="2" t="inlineStr">
        <is>
          <t>Wedding photography &amp; filmmaking studio</t>
        </is>
      </c>
      <c r="I231" s="2" t="inlineStr">
        <is>
          <t>Pune</t>
        </is>
      </c>
      <c r="J231" s="2" t="inlineStr">
        <is>
          <t>B — Established Independent</t>
        </is>
      </c>
      <c r="K231" s="2" t="inlineStr">
        <is>
          <t>Studio / production house</t>
        </is>
      </c>
      <c r="L231" s="2" t="inlineStr">
        <is>
          <t>P0</t>
        </is>
      </c>
      <c r="M231" s="2" t="inlineStr">
        <is>
          <t>P1</t>
        </is>
      </c>
      <c r="N231" s="2" t="n">
        <v>73.8</v>
      </c>
      <c r="O231" s="2" t="n">
        <v>73</v>
      </c>
      <c r="P231" s="2" t="n">
        <v>70.3</v>
      </c>
      <c r="Q231" s="2" t="n">
        <v>78</v>
      </c>
      <c r="R231" s="2" t="n">
        <v>50</v>
      </c>
      <c r="S231" s="2" t="inlineStr">
        <is>
          <t>C1-DIRECT-VERIFIED</t>
        </is>
      </c>
      <c r="T231" s="2" t="inlineStr">
        <is>
          <t>Personal 1:1 email from founder/team to published business email</t>
        </is>
      </c>
      <c r="U231" s="2" t="inlineStr">
        <is>
          <t>https://www.amaarastories.com</t>
        </is>
      </c>
      <c r="V231" s="2" t="inlineStr">
        <is>
          <t>2026-04 — WeddingSutra Photographers Showcase profile published (weddingsutra.com)</t>
        </is>
      </c>
      <c r="W231" s="2" t="inlineStr">
        <is>
          <t>Wedding photography/film bookings; WeddingSutra showcase lists service locations: Pune</t>
        </is>
      </c>
      <c r="X231" s="2" t="inlineStr">
        <is>
          <t>WeddingSutra (Photographers Showcase profile)</t>
        </is>
      </c>
      <c r="Y231" s="2" t="inlineStr">
        <is>
          <t>Readiness 74 (top 28% in category) | Commercial: Wedding photography/film bookings; WeddingSutra showcase lists service locations: Pune | Active: 2026-04 — WeddingSutra Photographers Showcase profile published (wedd… | Independent/emerging tier — fame not a factor</t>
        </is>
      </c>
      <c r="Z231" s="2" t="inlineStr">
        <is>
          <t>Lead with a specific film or series. Photographers sit at the centre of the wedding ecosystem — invite as a founding peer of designers, MUAs and planners.</t>
        </is>
      </c>
      <c r="AA231" s="2" t="inlineStr">
        <is>
          <t>Bookings already flow via own site, Instagram and wedding platforms</t>
        </is>
      </c>
      <c r="AB231" s="2" t="inlineStr">
        <is>
          <t>Leads via referrals/portals; off-platform contact; time to maintain another profile</t>
        </is>
      </c>
      <c r="AC231" s="2" t="inlineStr">
        <is>
          <t>E05 channel/segment test (assign at wave start)</t>
        </is>
      </c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</row>
    <row r="232">
      <c r="A232" s="2" t="n">
        <v>231</v>
      </c>
      <c r="B232" s="2" t="inlineStr">
        <is>
          <t>Wave 2 — Category &amp; city expansion</t>
        </is>
      </c>
      <c r="C232" s="2" t="inlineStr">
        <is>
          <t>UPK2-LM-313</t>
        </is>
      </c>
      <c r="D232" s="2" t="inlineStr">
        <is>
          <t>Ravivarma Photography &amp; Films</t>
        </is>
      </c>
      <c r="E232" s="2" t="inlineStr">
        <is>
          <t>Lens &amp; Motion</t>
        </is>
      </c>
      <c r="F232" s="2" t="inlineStr">
        <is>
          <t>LM-ARCH-INTERIOR</t>
        </is>
      </c>
      <c r="G232" s="2" t="inlineStr">
        <is>
          <t>Home &amp; Space</t>
        </is>
      </c>
      <c r="H232" s="2" t="inlineStr">
        <is>
          <t>Commercial photography &amp; video production (architecture, interiors, real estate)</t>
        </is>
      </c>
      <c r="I232" s="2" t="inlineStr">
        <is>
          <t>Hyderabad</t>
        </is>
      </c>
      <c r="J232" s="2" t="inlineStr">
        <is>
          <t>B — Established Independent</t>
        </is>
      </c>
      <c r="K232" s="2" t="inlineStr">
        <is>
          <t>Micro studio (2-10)</t>
        </is>
      </c>
      <c r="L232" s="2" t="inlineStr">
        <is>
          <t>P0</t>
        </is>
      </c>
      <c r="M232" s="2" t="inlineStr">
        <is>
          <t>P0</t>
        </is>
      </c>
      <c r="N232" s="2" t="n">
        <v>74.2</v>
      </c>
      <c r="O232" s="2" t="n">
        <v>75</v>
      </c>
      <c r="P232" s="2" t="n">
        <v>68.2</v>
      </c>
      <c r="Q232" s="2" t="n">
        <v>77</v>
      </c>
      <c r="R232" s="2" t="n">
        <v>40</v>
      </c>
      <c r="S232" s="2" t="inlineStr">
        <is>
          <t>C1-DIRECT-VERIFIED</t>
        </is>
      </c>
      <c r="T232" s="2" t="inlineStr">
        <is>
          <t>Personal 1:1 email from founder/team to published business email</t>
        </is>
      </c>
      <c r="U232" s="2" t="inlineStr">
        <is>
          <t>https://www.ravivarmaphotography.in/</t>
        </is>
      </c>
      <c r="V232" s="2" t="inlineStr">
        <is>
          <t>2026-09 — photo credit on The Architects Diary project feature (https://thearchitectsdiary.com/a-modern-vernacular-farmhouse-in-hyderabad-b…</t>
        </is>
      </c>
      <c r="W232" s="2" t="inlineStr">
        <is>
          <t>Commissioned project photography credited by design publications; enquiry route on own site</t>
        </is>
      </c>
      <c r="X232" s="2" t="inlineStr"/>
      <c r="Y232" s="2" t="inlineStr">
        <is>
          <t>Readiness 74 (top 26%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  <c r="Z232" s="2" t="inlineStr">
        <is>
          <t>Lead with a specific project they documented. Link to the Home &amp; Space pod (studios and makers).</t>
        </is>
      </c>
      <c r="AA232" s="2" t="inlineStr">
        <is>
          <t>Work is commission/referral-driven through architect networks; may not see need for a marketplace</t>
        </is>
      </c>
      <c r="AB232" s="2" t="inlineStr">
        <is>
          <t>Leads via referrals/portals; off-platform contact; time to maintain another profile</t>
        </is>
      </c>
      <c r="AC232" s="2" t="inlineStr">
        <is>
          <t>E05 channel/segment test (assign at wave start)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</row>
    <row r="233">
      <c r="A233" s="2" t="n">
        <v>232</v>
      </c>
      <c r="B233" s="2" t="inlineStr">
        <is>
          <t>Wave 2 — Category &amp; city expansion</t>
        </is>
      </c>
      <c r="C233" s="2" t="inlineStr">
        <is>
          <t>UPK2-LM-032</t>
        </is>
      </c>
      <c r="D233" s="2" t="inlineStr">
        <is>
          <t>Mallik (Mallikarjun Katakol)</t>
        </is>
      </c>
      <c r="E233" s="2" t="inlineStr">
        <is>
          <t>Lens &amp; Motion</t>
        </is>
      </c>
      <c r="F233" s="2" t="inlineStr">
        <is>
          <t>LM-ARCH-INTERIOR</t>
        </is>
      </c>
      <c r="G233" s="2" t="inlineStr">
        <is>
          <t>Home &amp; Space</t>
        </is>
      </c>
      <c r="H233" s="2" t="inlineStr">
        <is>
          <t>Advertising, architecture, editorial, fashion &amp; lifestyle photographer</t>
        </is>
      </c>
      <c r="I233" s="2" t="inlineStr">
        <is>
          <t>Bengaluru</t>
        </is>
      </c>
      <c r="J233" s="2" t="inlineStr">
        <is>
          <t>C — Strong Mid-tier</t>
        </is>
      </c>
      <c r="K233" s="2" t="inlineStr">
        <is>
          <t>Independent commercial photographer</t>
        </is>
      </c>
      <c r="L233" s="2" t="inlineStr">
        <is>
          <t>P0</t>
        </is>
      </c>
      <c r="M233" s="2" t="inlineStr">
        <is>
          <t>P1</t>
        </is>
      </c>
      <c r="N233" s="2" t="n">
        <v>74.7</v>
      </c>
      <c r="O233" s="2" t="n">
        <v>77</v>
      </c>
      <c r="P233" s="2" t="n">
        <v>70.2</v>
      </c>
      <c r="Q233" s="2" t="n">
        <v>76</v>
      </c>
      <c r="R233" s="2" t="n">
        <v>50</v>
      </c>
      <c r="S233" s="2" t="inlineStr">
        <is>
          <t>C1-DIRECT-VERIFIED</t>
        </is>
      </c>
      <c r="T233" s="2" t="inlineStr">
        <is>
          <t>Personal 1:1 email from founder/team to published business email</t>
        </is>
      </c>
      <c r="U233" s="2" t="inlineStr">
        <is>
          <t>https://mallik.in/about-contact/</t>
        </is>
      </c>
      <c r="V233" s="2" t="inlineStr">
        <is>
          <t>unknown — site live 2026-10 but no dated recent work seen</t>
        </is>
      </c>
      <c r="W233" s="2" t="inlineStr">
        <is>
          <t>Own website advertises paid advertising, architecture, editorial, fashion &amp; lifestyle photographer services with enquiry routes</t>
        </is>
      </c>
      <c r="X233" s="2" t="inlineStr"/>
      <c r="Y233" s="2" t="inlineStr">
        <is>
          <t>Readiness 75 (top 24% in category) | Commercial: Own website advertises paid advertising, architecture, editorial, fashion &amp; lifestyle pho… | Active: unknown — site live 2026-10 but no dated recent work seen</t>
        </is>
      </c>
      <c r="Z233" s="2" t="inlineStr">
        <is>
          <t>Lead with a specific project they documented. Link to the Home &amp; Space pod (studios and makers).</t>
        </is>
      </c>
      <c r="AA233" s="2" t="inlineStr">
        <is>
          <t>Leads already come via own site/Instagram</t>
        </is>
      </c>
      <c r="AB233" s="2" t="inlineStr">
        <is>
          <t>Leads via referrals/portals; off-platform contact; time to maintain another profile</t>
        </is>
      </c>
      <c r="AC233" s="2" t="inlineStr">
        <is>
          <t>E05 channel/segment test (assign at wave start)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</row>
    <row r="234">
      <c r="A234" s="2" t="n">
        <v>233</v>
      </c>
      <c r="B234" s="2" t="inlineStr">
        <is>
          <t>Wave 2 — Category &amp; city expansion</t>
        </is>
      </c>
      <c r="C234" s="2" t="inlineStr">
        <is>
          <t>UPK2-LM-332</t>
        </is>
      </c>
      <c r="D234" s="2" t="inlineStr">
        <is>
          <t>NJDC — Nakul Jain</t>
        </is>
      </c>
      <c r="E234" s="2" t="inlineStr">
        <is>
          <t>Lens &amp; Motion</t>
        </is>
      </c>
      <c r="F234" s="2" t="inlineStr">
        <is>
          <t>LM-ARCH-INTERIOR</t>
        </is>
      </c>
      <c r="G234" s="2" t="inlineStr">
        <is>
          <t>Home &amp; Space</t>
        </is>
      </c>
      <c r="H234" s="2" t="inlineStr">
        <is>
          <t>Architectural, interior &amp; hotel photography/cinematography</t>
        </is>
      </c>
      <c r="I234" s="2" t="inlineStr">
        <is>
          <t>Chandigarh</t>
        </is>
      </c>
      <c r="J234" s="2" t="inlineStr">
        <is>
          <t>B — Established Independent</t>
        </is>
      </c>
      <c r="K234" s="2" t="inlineStr">
        <is>
          <t>Micro studio (2-10)</t>
        </is>
      </c>
      <c r="L234" s="2" t="inlineStr">
        <is>
          <t>P0</t>
        </is>
      </c>
      <c r="M234" s="2" t="inlineStr">
        <is>
          <t>P0</t>
        </is>
      </c>
      <c r="N234" s="2" t="n">
        <v>75.2</v>
      </c>
      <c r="O234" s="2" t="n">
        <v>77</v>
      </c>
      <c r="P234" s="2" t="n">
        <v>68.09999999999999</v>
      </c>
      <c r="Q234" s="2" t="n">
        <v>75</v>
      </c>
      <c r="R234" s="2" t="n">
        <v>40</v>
      </c>
      <c r="S234" s="2" t="inlineStr">
        <is>
          <t>C1-DIRECT-VERIFIED</t>
        </is>
      </c>
      <c r="T234" s="2" t="inlineStr">
        <is>
          <t>Personal 1:1 email from founder/team to published business email</t>
        </is>
      </c>
      <c r="U234" s="2" t="inlineStr">
        <is>
          <t>https://www.nakuljain.com/</t>
        </is>
      </c>
      <c r="V234" s="2" t="inlineStr">
        <is>
          <t>2026-08 — photo credit on The Architects Diary project feature (https://thearchitectsdiary.com/this-ludhiana-luxury-retail-store-blends-ind…</t>
        </is>
      </c>
      <c r="W234" s="2" t="inlineStr">
        <is>
          <t>Commissioned project photography credited by design publications; enquiry route on own site</t>
        </is>
      </c>
      <c r="X234" s="2" t="inlineStr"/>
      <c r="Y234" s="2" t="inlineStr">
        <is>
          <t>Readiness 75 (top 24% in category) | Commercial: Commissioned project photography credited by design publications; enquiry route on own si… | Active: 2026-08 — photo credit on The Architects Diary project feature (https… | Independent/emerging tier — fame not a factor</t>
        </is>
      </c>
      <c r="Z234" s="2" t="inlineStr">
        <is>
          <t>Lead with a specific project they documented. Link to the Home &amp; Space pod (studios and makers).</t>
        </is>
      </c>
      <c r="AA234" s="2" t="inlineStr">
        <is>
          <t>Work is commission/referral-driven through architect networks; may not see need for a marketplace</t>
        </is>
      </c>
      <c r="AB234" s="2" t="inlineStr">
        <is>
          <t>Leads via referrals/portals; off-platform contact; time to maintain another profile</t>
        </is>
      </c>
      <c r="AC234" s="2" t="inlineStr">
        <is>
          <t>E05 channel/segment test (assign at wave start)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</row>
    <row r="235">
      <c r="A235" s="2" t="n">
        <v>234</v>
      </c>
      <c r="B235" s="2" t="inlineStr">
        <is>
          <t>Wave 2 — Category &amp; city expansion</t>
        </is>
      </c>
      <c r="C235" s="2" t="inlineStr">
        <is>
          <t>UPK2-LM-290</t>
        </is>
      </c>
      <c r="D235" s="2" t="inlineStr">
        <is>
          <t>Roving Lens</t>
        </is>
      </c>
      <c r="E235" s="2" t="inlineStr">
        <is>
          <t>Lens &amp; Motion</t>
        </is>
      </c>
      <c r="F235" s="2" t="inlineStr">
        <is>
          <t>LM-WEDDING</t>
        </is>
      </c>
      <c r="G235" s="2" t="inlineStr">
        <is>
          <t>Wedding &amp; Occasion</t>
        </is>
      </c>
      <c r="H235" s="2" t="inlineStr">
        <is>
          <t>Wedding &amp; candid photography</t>
        </is>
      </c>
      <c r="I235" s="2" t="inlineStr">
        <is>
          <t>Chennai</t>
        </is>
      </c>
      <c r="J235" s="2" t="inlineStr">
        <is>
          <t>C — Strong Mid-tier</t>
        </is>
      </c>
      <c r="K235" s="2" t="inlineStr">
        <is>
          <t>Independent wedding photo/film studio</t>
        </is>
      </c>
      <c r="L235" s="2" t="inlineStr">
        <is>
          <t>P0</t>
        </is>
      </c>
      <c r="M235" s="2" t="inlineStr">
        <is>
          <t>P1</t>
        </is>
      </c>
      <c r="N235" s="2" t="n">
        <v>77</v>
      </c>
      <c r="O235" s="2" t="n">
        <v>90</v>
      </c>
      <c r="P235" s="2" t="n">
        <v>70</v>
      </c>
      <c r="Q235" s="2" t="n">
        <v>75</v>
      </c>
      <c r="R235" s="2" t="n">
        <v>45</v>
      </c>
      <c r="S235" s="2" t="inlineStr">
        <is>
          <t>C1-DIRECT-VERIFIED</t>
        </is>
      </c>
      <c r="T235" s="2" t="inlineStr">
        <is>
          <t>Personal 1:1 email from founder/team to published business email</t>
        </is>
      </c>
      <c r="U235" s="2" t="inlineStr">
        <is>
          <t>https://rovinglens.in/</t>
        </is>
      </c>
      <c r="V235" s="2" t="inlineStr">
        <is>
          <t>2026-01 — latest WedMeGood review (23 reviews); 2021 latest dated media upload on own site</t>
        </is>
      </c>
      <c r="W235" s="2" t="inlineStr">
        <is>
          <t>23 client reviews on WedMeGood; packages from INR 2,00,000</t>
        </is>
      </c>
      <c r="X235" s="2" t="inlineStr">
        <is>
          <t>WedMeGood (vendor listing with reviews)</t>
        </is>
      </c>
      <c r="Y235" s="2" t="inlineStr">
        <is>
          <t>Readiness 77 (top 11% in category) | Commercial: 23 client reviews on WedMeGood; packages from INR 2,00,000 | Active: 2026-01 — latest WedMeGood review (23 reviews); 2021 latest dated med…</t>
        </is>
      </c>
      <c r="Z235" s="2" t="inlineStr">
        <is>
          <t>Lead with a specific film or series. Photographers sit at the centre of the wedding ecosystem — invite as a founding peer of designers, MUAs and planners.</t>
        </is>
      </c>
      <c r="AA235" s="2" t="inlineStr">
        <is>
          <t>Already gets wedding leads via WedMeGood/Instagram; may see another listing as redundant</t>
        </is>
      </c>
      <c r="AB235" s="2" t="inlineStr">
        <is>
          <t>Leads via referrals/portals; off-platform contact; time to maintain another profile</t>
        </is>
      </c>
      <c r="AC235" s="2" t="inlineStr">
        <is>
          <t>E05 channel/segment test (assign at wave start)</t>
        </is>
      </c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</row>
    <row r="236">
      <c r="A236" s="2" t="n">
        <v>235</v>
      </c>
      <c r="B236" s="2" t="inlineStr">
        <is>
          <t>Wave 2 — Category &amp; city expansion</t>
        </is>
      </c>
      <c r="C236" s="2" t="inlineStr">
        <is>
          <t>UPK2-LM-270</t>
        </is>
      </c>
      <c r="D236" s="2" t="inlineStr">
        <is>
          <t>Wedding Photo Creators</t>
        </is>
      </c>
      <c r="E236" s="2" t="inlineStr">
        <is>
          <t>Lens &amp; Motion</t>
        </is>
      </c>
      <c r="F236" s="2" t="inlineStr">
        <is>
          <t>LM-WEDDING</t>
        </is>
      </c>
      <c r="G236" s="2" t="inlineStr">
        <is>
          <t>Wedding &amp; Occasion</t>
        </is>
      </c>
      <c r="H236" s="2" t="inlineStr">
        <is>
          <t>Wedding &amp; candid photography</t>
        </is>
      </c>
      <c r="I236" s="2" t="inlineStr">
        <is>
          <t>Kolkata</t>
        </is>
      </c>
      <c r="J236" s="2" t="inlineStr">
        <is>
          <t>C — Strong Mid-tier</t>
        </is>
      </c>
      <c r="K236" s="2" t="inlineStr">
        <is>
          <t>Independent wedding photo/film studio</t>
        </is>
      </c>
      <c r="L236" s="2" t="inlineStr">
        <is>
          <t>P0</t>
        </is>
      </c>
      <c r="M236" s="2" t="inlineStr">
        <is>
          <t>P1</t>
        </is>
      </c>
      <c r="N236" s="2" t="n">
        <v>77</v>
      </c>
      <c r="O236" s="2" t="n">
        <v>90</v>
      </c>
      <c r="P236" s="2" t="n">
        <v>70</v>
      </c>
      <c r="Q236" s="2" t="n">
        <v>75</v>
      </c>
      <c r="R236" s="2" t="n">
        <v>45</v>
      </c>
      <c r="S236" s="2" t="inlineStr">
        <is>
          <t>C1-DIRECT-VERIFIED</t>
        </is>
      </c>
      <c r="T236" s="2" t="inlineStr">
        <is>
          <t>Personal 1:1 email from founder/team to published business email</t>
        </is>
      </c>
      <c r="U236" s="2" t="inlineStr">
        <is>
          <t>https://weddingphotocreators.com/</t>
        </is>
      </c>
      <c r="V236" s="2" t="inlineStr">
        <is>
          <t>2026 — site copyright year; 2024-10 latest WedMeGood review (60 reviews)</t>
        </is>
      </c>
      <c r="W236" s="2" t="inlineStr">
        <is>
          <t>60 client reviews on WedMeGood; packages from INR 28,000</t>
        </is>
      </c>
      <c r="X236" s="2" t="inlineStr">
        <is>
          <t>WedMeGood (vendor listing with reviews)</t>
        </is>
      </c>
      <c r="Y236" s="2" t="inlineStr">
        <is>
          <t>Readiness 77 (top 11% in category) | Commercial: 60 client reviews on WedMeGood; packages from INR 28,000 | Active: 2026 — site copyright year; 2024-10 latest WedMeGood review (60 revie…</t>
        </is>
      </c>
      <c r="Z236" s="2" t="inlineStr">
        <is>
          <t>Lead with a specific film or series. Photographers sit at the centre of the wedding ecosystem — invite as a founding peer of designers, MUAs and planners.</t>
        </is>
      </c>
      <c r="AA236" s="2" t="inlineStr">
        <is>
          <t>Already gets wedding leads via WedMeGood/Instagram; may see another listing as redundant</t>
        </is>
      </c>
      <c r="AB236" s="2" t="inlineStr">
        <is>
          <t>Leads via referrals/portals; off-platform contact; time to maintain another profile</t>
        </is>
      </c>
      <c r="AC236" s="2" t="inlineStr">
        <is>
          <t>E05 channel/segment test (assign at wave start)</t>
        </is>
      </c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</row>
    <row r="237">
      <c r="A237" s="2" t="n">
        <v>236</v>
      </c>
      <c r="B237" s="2" t="inlineStr">
        <is>
          <t>Wave 2 — Category &amp; city expansion</t>
        </is>
      </c>
      <c r="C237" s="2" t="inlineStr">
        <is>
          <t>UPK2-LM-252</t>
        </is>
      </c>
      <c r="D237" s="2" t="inlineStr">
        <is>
          <t>Pixbricks</t>
        </is>
      </c>
      <c r="E237" s="2" t="inlineStr">
        <is>
          <t>Lens &amp; Motion</t>
        </is>
      </c>
      <c r="F237" s="2" t="inlineStr">
        <is>
          <t>LM-WEDDING</t>
        </is>
      </c>
      <c r="G237" s="2" t="inlineStr">
        <is>
          <t>Wedding &amp; Occasion</t>
        </is>
      </c>
      <c r="H237" s="2" t="inlineStr">
        <is>
          <t>Wedding &amp; candid photography</t>
        </is>
      </c>
      <c r="I237" s="2" t="inlineStr">
        <is>
          <t>Bengaluru</t>
        </is>
      </c>
      <c r="J237" s="2" t="inlineStr">
        <is>
          <t>C — Strong Mid-tier</t>
        </is>
      </c>
      <c r="K237" s="2" t="inlineStr">
        <is>
          <t>Independent wedding photo/film studio</t>
        </is>
      </c>
      <c r="L237" s="2" t="inlineStr">
        <is>
          <t>P0</t>
        </is>
      </c>
      <c r="M237" s="2" t="inlineStr">
        <is>
          <t>P1</t>
        </is>
      </c>
      <c r="N237" s="2" t="n">
        <v>77</v>
      </c>
      <c r="O237" s="2" t="n">
        <v>90</v>
      </c>
      <c r="P237" s="2" t="n">
        <v>70</v>
      </c>
      <c r="Q237" s="2" t="n">
        <v>75</v>
      </c>
      <c r="R237" s="2" t="n">
        <v>45</v>
      </c>
      <c r="S237" s="2" t="inlineStr">
        <is>
          <t>C1-DIRECT-VERIFIED</t>
        </is>
      </c>
      <c r="T237" s="2" t="inlineStr">
        <is>
          <t>Personal 1:1 email from founder/team to published business email</t>
        </is>
      </c>
      <c r="U237" s="2" t="inlineStr">
        <is>
          <t>https://pixbricks.com/</t>
        </is>
      </c>
      <c r="V237" s="2" t="inlineStr">
        <is>
          <t>2026-06 — latest WedMeGood review (67 reviews)</t>
        </is>
      </c>
      <c r="W237" s="2" t="inlineStr">
        <is>
          <t>67 client reviews on WedMeGood; packages from INR 50,000</t>
        </is>
      </c>
      <c r="X237" s="2" t="inlineStr">
        <is>
          <t>WedMeGood (vendor listing with reviews)</t>
        </is>
      </c>
      <c r="Y237" s="2" t="inlineStr">
        <is>
          <t>Readiness 77 (top 11% in category) | Commercial: 67 client reviews on WedMeGood; packages from INR 50,000 | Active: 2026-06 — latest WedMeGood review (67 reviews)</t>
        </is>
      </c>
      <c r="Z237" s="2" t="inlineStr">
        <is>
          <t>Lead with a specific film or series. Photographers sit at the centre of the wedding ecosystem — invite as a founding peer of designers, MUAs and planners.</t>
        </is>
      </c>
      <c r="AA237" s="2" t="inlineStr">
        <is>
          <t>Already gets wedding leads via WedMeGood/Instagram; may see another listing as redundant</t>
        </is>
      </c>
      <c r="AB237" s="2" t="inlineStr">
        <is>
          <t>Leads via referrals/portals; off-platform contact; time to maintain another profile</t>
        </is>
      </c>
      <c r="AC237" s="2" t="inlineStr">
        <is>
          <t>E05 channel/segment test (assign at wave start)</t>
        </is>
      </c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</row>
    <row r="238">
      <c r="A238" s="2" t="n">
        <v>237</v>
      </c>
      <c r="B238" s="2" t="inlineStr">
        <is>
          <t>Wave 2 — Category &amp; city expansion</t>
        </is>
      </c>
      <c r="C238" s="2" t="inlineStr">
        <is>
          <t>UPK2-LM-271</t>
        </is>
      </c>
      <c r="D238" s="2" t="inlineStr">
        <is>
          <t>The Wedding Fellas</t>
        </is>
      </c>
      <c r="E238" s="2" t="inlineStr">
        <is>
          <t>Lens &amp; Motion</t>
        </is>
      </c>
      <c r="F238" s="2" t="inlineStr">
        <is>
          <t>LM-WEDDING</t>
        </is>
      </c>
      <c r="G238" s="2" t="inlineStr">
        <is>
          <t>Wedding &amp; Occasion</t>
        </is>
      </c>
      <c r="H238" s="2" t="inlineStr">
        <is>
          <t>Wedding &amp; candid photography</t>
        </is>
      </c>
      <c r="I238" s="2" t="inlineStr">
        <is>
          <t>Bengaluru</t>
        </is>
      </c>
      <c r="J238" s="2" t="inlineStr">
        <is>
          <t>C — Strong Mid-tier</t>
        </is>
      </c>
      <c r="K238" s="2" t="inlineStr">
        <is>
          <t>Independent wedding photo/film studio</t>
        </is>
      </c>
      <c r="L238" s="2" t="inlineStr">
        <is>
          <t>P0</t>
        </is>
      </c>
      <c r="M238" s="2" t="inlineStr">
        <is>
          <t>P1</t>
        </is>
      </c>
      <c r="N238" s="2" t="n">
        <v>77</v>
      </c>
      <c r="O238" s="2" t="n">
        <v>90</v>
      </c>
      <c r="P238" s="2" t="n">
        <v>70</v>
      </c>
      <c r="Q238" s="2" t="n">
        <v>75</v>
      </c>
      <c r="R238" s="2" t="n">
        <v>45</v>
      </c>
      <c r="S238" s="2" t="inlineStr">
        <is>
          <t>C1-DIRECT-VERIFIED</t>
        </is>
      </c>
      <c r="T238" s="2" t="inlineStr">
        <is>
          <t>Personal 1:1 email from founder/team to published business email</t>
        </is>
      </c>
      <c r="U238" s="2" t="inlineStr">
        <is>
          <t>https://www.theweddingfellas.com/</t>
        </is>
      </c>
      <c r="V238" s="2" t="inlineStr">
        <is>
          <t>2026-06 — latest WedMeGood review (103 reviews); 2026 site copyright year</t>
        </is>
      </c>
      <c r="W238" s="2" t="inlineStr">
        <is>
          <t>103 client reviews on WedMeGood; packages from INR 85,000</t>
        </is>
      </c>
      <c r="X238" s="2" t="inlineStr">
        <is>
          <t>WedMeGood (vendor listing with reviews)</t>
        </is>
      </c>
      <c r="Y238" s="2" t="inlineStr">
        <is>
          <t>Readiness 77 (top 11% in category) | Commercial: 103 client reviews on WedMeGood; packages from INR 85,000 | Active: 2026-06 — latest WedMeGood review (103 reviews); 2026 site copyright…</t>
        </is>
      </c>
      <c r="Z238" s="2" t="inlineStr">
        <is>
          <t>Lead with a specific film or series. Photographers sit at the centre of the wedding ecosystem — invite as a founding peer of designers, MUAs and planners.</t>
        </is>
      </c>
      <c r="AA238" s="2" t="inlineStr">
        <is>
          <t>Already gets wedding leads via WedMeGood/Instagram; may see another listing as redundant</t>
        </is>
      </c>
      <c r="AB238" s="2" t="inlineStr">
        <is>
          <t>Leads via referrals/portals; off-platform contact; time to maintain another profile</t>
        </is>
      </c>
      <c r="AC238" s="2" t="inlineStr">
        <is>
          <t>E05 channel/segment test (assign at wave start)</t>
        </is>
      </c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</row>
    <row r="239">
      <c r="A239" s="2" t="n">
        <v>238</v>
      </c>
      <c r="B239" s="2" t="inlineStr">
        <is>
          <t>Wave 2 — Category &amp; city expansion</t>
        </is>
      </c>
      <c r="C239" s="2" t="inlineStr">
        <is>
          <t>UPK2-LM-222</t>
        </is>
      </c>
      <c r="D239" s="2" t="inlineStr">
        <is>
          <t>Deep Dhiman Photography</t>
        </is>
      </c>
      <c r="E239" s="2" t="inlineStr">
        <is>
          <t>Lens &amp; Motion</t>
        </is>
      </c>
      <c r="F239" s="2" t="inlineStr">
        <is>
          <t>LM-WEDDING</t>
        </is>
      </c>
      <c r="G239" s="2" t="inlineStr">
        <is>
          <t>Wedding &amp; Occasion</t>
        </is>
      </c>
      <c r="H239" s="2" t="inlineStr">
        <is>
          <t>Wedding photography &amp; cinematography (candid, pre-wedding)</t>
        </is>
      </c>
      <c r="I239" s="2" t="inlineStr">
        <is>
          <t>Chandigarh</t>
        </is>
      </c>
      <c r="J239" s="2" t="inlineStr">
        <is>
          <t>B — Established Independent</t>
        </is>
      </c>
      <c r="K239" s="2" t="inlineStr">
        <is>
          <t>Independent wedding photography/film studio</t>
        </is>
      </c>
      <c r="L239" s="2" t="inlineStr">
        <is>
          <t>P0</t>
        </is>
      </c>
      <c r="M239" s="2" t="inlineStr">
        <is>
          <t>P0</t>
        </is>
      </c>
      <c r="N239" s="2" t="n">
        <v>81.59999999999999</v>
      </c>
      <c r="O239" s="2" t="n">
        <v>99</v>
      </c>
      <c r="P239" s="2" t="n">
        <v>67.8</v>
      </c>
      <c r="Q239" s="2" t="n">
        <v>76</v>
      </c>
      <c r="R239" s="2" t="n">
        <v>21</v>
      </c>
      <c r="S239" s="2" t="inlineStr">
        <is>
          <t>C1-DIRECT-VERIFIED</t>
        </is>
      </c>
      <c r="T239" s="2" t="inlineStr">
        <is>
          <t>Personal 1:1 email from founder/team to published business email</t>
        </is>
      </c>
      <c r="U239" s="2" t="inlineStr">
        <is>
          <t>https://deepdhimanphotography.com/contact/</t>
        </is>
      </c>
      <c r="V239" s="2" t="inlineStr">
        <is>
          <t>2026-08 — latest sitemap lastmod on own website (https://deepdhimanphotography.com/sitemap.xml; may be CMS-generated, weaker evidence); las…</t>
        </is>
      </c>
      <c r="W239" s="2" t="inlineStr">
        <is>
          <t>18 WedMeGood client reviews, rating 4.8</t>
        </is>
      </c>
      <c r="X239" s="2" t="inlineStr">
        <is>
          <t>WedMeGood (vendor listing (Lite))</t>
        </is>
      </c>
      <c r="Y239" s="2" t="inlineStr">
        <is>
          <t>Readiness 82 (top 2% in category) | Commercial: 18 WedMeGood client reviews, rating 4.8 | Active: 2026-08 — latest sitemap lastmod on own website (https://deepdhimanph… | Independent/emerging tier — fame not a factor</t>
        </is>
      </c>
      <c r="Z239" s="2" t="inlineStr">
        <is>
          <t>Lead with a specific film or series. Photographers sit at the centre of the wedding ecosystem — invite as a founding peer of designers, MUAs and planners.</t>
        </is>
      </c>
      <c r="AA239" s="2" t="inlineStr">
        <is>
          <t>Already gets wedding leads via WedMeGood and Instagram; may question value of another platform.</t>
        </is>
      </c>
      <c r="AB239" s="2" t="inlineStr">
        <is>
          <t>Leads via referrals/portals; off-platform contact; time to maintain another profile</t>
        </is>
      </c>
      <c r="AC239" s="2" t="inlineStr">
        <is>
          <t>E05 channel/segment test (assign at wave start)</t>
        </is>
      </c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</row>
    <row r="240">
      <c r="A240" s="2" t="n">
        <v>239</v>
      </c>
      <c r="B240" s="2" t="inlineStr">
        <is>
          <t>Wave 2 — Category &amp; city expansion</t>
        </is>
      </c>
      <c r="C240" s="2" t="inlineStr">
        <is>
          <t>UPK2-LM-212</t>
        </is>
      </c>
      <c r="D240" s="2" t="inlineStr">
        <is>
          <t>Believe Collective</t>
        </is>
      </c>
      <c r="E240" s="2" t="inlineStr">
        <is>
          <t>Lens &amp; Motion</t>
        </is>
      </c>
      <c r="F240" s="2" t="inlineStr">
        <is>
          <t>LM-WEDDING</t>
        </is>
      </c>
      <c r="G240" s="2" t="inlineStr">
        <is>
          <t>Wedding &amp; Occasion</t>
        </is>
      </c>
      <c r="H240" s="2" t="inlineStr">
        <is>
          <t>Wedding photography (candid, pre-wedding)</t>
        </is>
      </c>
      <c r="I240" s="2" t="inlineStr">
        <is>
          <t>Delhi NCR</t>
        </is>
      </c>
      <c r="J240" s="2" t="inlineStr">
        <is>
          <t>B — Established Independent</t>
        </is>
      </c>
      <c r="K240" s="2" t="inlineStr">
        <is>
          <t>Independent wedding photography/film studio</t>
        </is>
      </c>
      <c r="L240" s="2" t="inlineStr">
        <is>
          <t>P0</t>
        </is>
      </c>
      <c r="M240" s="2" t="inlineStr">
        <is>
          <t>P0</t>
        </is>
      </c>
      <c r="N240" s="2" t="n">
        <v>79.7</v>
      </c>
      <c r="O240" s="2" t="n">
        <v>98</v>
      </c>
      <c r="P240" s="2" t="n">
        <v>69.40000000000001</v>
      </c>
      <c r="Q240" s="2" t="n">
        <v>79</v>
      </c>
      <c r="R240" s="2" t="n">
        <v>29</v>
      </c>
      <c r="S240" s="2" t="inlineStr">
        <is>
          <t>C1-DIRECT-VERIFIED</t>
        </is>
      </c>
      <c r="T240" s="2" t="inlineStr">
        <is>
          <t>Personal 1:1 email from founder/team to published business email</t>
        </is>
      </c>
      <c r="U240" s="2" t="inlineStr">
        <is>
          <t>https://believecollective.co/</t>
        </is>
      </c>
      <c r="V240" s="2" t="inlineStr">
        <is>
          <t>2025-10 — latest WedMeGood client review (https://www.wedmegood.com/profile/Believe-Collective-70188)</t>
        </is>
      </c>
      <c r="W240" s="2" t="inlineStr">
        <is>
          <t>43 WedMeGood client reviews, rating 4.9</t>
        </is>
      </c>
      <c r="X240" s="2" t="inlineStr">
        <is>
          <t>WedMeGood (vendor listing (Lite))</t>
        </is>
      </c>
      <c r="Y240" s="2" t="inlineStr">
        <is>
          <t>Readiness 80 (top 3% in category) | Commercial: 43 WedMeGood client reviews, rating 4.9 | Active: 2025-10 — latest WedMeGood client review (https://www.wedmegood.com/p… | Independent/emerging tier — fame not a factor</t>
        </is>
      </c>
      <c r="Z240" s="2" t="inlineStr">
        <is>
          <t>Lead with a specific film or series. Photographers sit at the centre of the wedding ecosystem — invite as a founding peer of designers, MUAs and planners.</t>
        </is>
      </c>
      <c r="AA240" s="2" t="inlineStr">
        <is>
          <t>Already gets wedding leads via WedMeGood and Instagram; may question value of another platform.</t>
        </is>
      </c>
      <c r="AB240" s="2" t="inlineStr">
        <is>
          <t>Leads via referrals/portals; off-platform contact; time to maintain another profile</t>
        </is>
      </c>
      <c r="AC240" s="2" t="inlineStr">
        <is>
          <t>E05 channel/segment test (assign at wave start)</t>
        </is>
      </c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</row>
    <row r="241">
      <c r="A241" s="2" t="n">
        <v>240</v>
      </c>
      <c r="B241" s="2" t="inlineStr">
        <is>
          <t>Wave 2 — Category &amp; city expansion</t>
        </is>
      </c>
      <c r="C241" s="2" t="inlineStr">
        <is>
          <t>UPK2-LM-333</t>
        </is>
      </c>
      <c r="D241" s="2" t="inlineStr">
        <is>
          <t>Vaibhav Passi</t>
        </is>
      </c>
      <c r="E241" s="2" t="inlineStr">
        <is>
          <t>Lens &amp; Motion</t>
        </is>
      </c>
      <c r="F241" s="2" t="inlineStr">
        <is>
          <t>LM-ARCH-INTERIOR</t>
        </is>
      </c>
      <c r="G241" s="2" t="inlineStr">
        <is>
          <t>Home &amp; Space</t>
        </is>
      </c>
      <c r="H241" s="2" t="inlineStr">
        <is>
          <t>Architecture &amp; interior photographer</t>
        </is>
      </c>
      <c r="I241" s="2" t="inlineStr">
        <is>
          <t>Chandigarh</t>
        </is>
      </c>
      <c r="J241" s="2" t="inlineStr">
        <is>
          <t>B — Established Independent</t>
        </is>
      </c>
      <c r="K241" s="2" t="inlineStr">
        <is>
          <t>Solo/Freelancer</t>
        </is>
      </c>
      <c r="L241" s="2" t="inlineStr">
        <is>
          <t>P0</t>
        </is>
      </c>
      <c r="M241" s="2" t="inlineStr">
        <is>
          <t>P0</t>
        </is>
      </c>
      <c r="N241" s="2" t="n">
        <v>74.2</v>
      </c>
      <c r="O241" s="2" t="n">
        <v>75</v>
      </c>
      <c r="P241" s="2" t="n">
        <v>68.2</v>
      </c>
      <c r="Q241" s="2" t="n">
        <v>77</v>
      </c>
      <c r="R241" s="2" t="n">
        <v>40</v>
      </c>
      <c r="S241" s="2" t="inlineStr">
        <is>
          <t>C1-DIRECT-VERIFIED</t>
        </is>
      </c>
      <c r="T241" s="2" t="inlineStr">
        <is>
          <t>Personal 1:1 email from founder/team to published business email</t>
        </is>
      </c>
      <c r="U241" s="2" t="inlineStr">
        <is>
          <t>https://vaibhavpassi.com/</t>
        </is>
      </c>
      <c r="V241" s="2" t="inlineStr">
        <is>
          <t>2026-06 — photo credit on The Architects Diary project feature (https://thearchitectsdiary.com/the-materials-used-in-this-classic-restauran…</t>
        </is>
      </c>
      <c r="W241" s="2" t="inlineStr">
        <is>
          <t>Commissioned project photography credited by design publications; enquiry route on own site</t>
        </is>
      </c>
      <c r="X241" s="2" t="inlineStr"/>
      <c r="Y241" s="2" t="inlineStr">
        <is>
          <t>Readiness 74 (top 26% in category) | Commercial: Commissioned project photography credited by design publications; enquiry route on own si… | Active: 2026-06 — photo credit on The Architects Diary project feature (https… | Independent/emerging tier — fame not a factor</t>
        </is>
      </c>
      <c r="Z241" s="2" t="inlineStr">
        <is>
          <t>Lead with a specific project they documented. Link to the Home &amp; Space pod (studios and makers).</t>
        </is>
      </c>
      <c r="AA241" s="2" t="inlineStr">
        <is>
          <t>Work is commission/referral-driven through architect networks; may not see need for a marketplace</t>
        </is>
      </c>
      <c r="AB241" s="2" t="inlineStr">
        <is>
          <t>Leads via referrals/portals; off-platform contact; time to maintain another profile</t>
        </is>
      </c>
      <c r="AC241" s="2" t="inlineStr">
        <is>
          <t>E05 channel/segment test (assign at wave start)</t>
        </is>
      </c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</row>
    <row r="242">
      <c r="A242" s="2" t="n">
        <v>241</v>
      </c>
      <c r="B242" s="2" t="inlineStr">
        <is>
          <t>Wave 2 — Category &amp; city expansion</t>
        </is>
      </c>
      <c r="C242" s="2" t="inlineStr">
        <is>
          <t>UPK2-LM-371</t>
        </is>
      </c>
      <c r="D242" s="2" t="inlineStr">
        <is>
          <t>Rohan Gautam (Photo Phactory)</t>
        </is>
      </c>
      <c r="E242" s="2" t="inlineStr">
        <is>
          <t>Lens &amp; Motion</t>
        </is>
      </c>
      <c r="F242" s="2" t="inlineStr">
        <is>
          <t>LM-ARCH-INTERIOR</t>
        </is>
      </c>
      <c r="G242" s="2" t="inlineStr">
        <is>
          <t>Home &amp; Space</t>
        </is>
      </c>
      <c r="H242" s="2" t="inlineStr">
        <is>
          <t>Commercial photographer (architecture, industrial, F&amp;B, product, fashion)</t>
        </is>
      </c>
      <c r="I242" s="2" t="inlineStr">
        <is>
          <t>Chandigarh</t>
        </is>
      </c>
      <c r="J242" s="2" t="inlineStr">
        <is>
          <t>B — Established Independent</t>
        </is>
      </c>
      <c r="K242" s="2" t="inlineStr">
        <is>
          <t>Solo/Freelancer</t>
        </is>
      </c>
      <c r="L242" s="2" t="inlineStr">
        <is>
          <t>P0</t>
        </is>
      </c>
      <c r="M242" s="2" t="inlineStr">
        <is>
          <t>P0</t>
        </is>
      </c>
      <c r="N242" s="2" t="n">
        <v>74.2</v>
      </c>
      <c r="O242" s="2" t="n">
        <v>75</v>
      </c>
      <c r="P242" s="2" t="n">
        <v>67.59999999999999</v>
      </c>
      <c r="Q242" s="2" t="n">
        <v>75</v>
      </c>
      <c r="R242" s="2" t="n">
        <v>40</v>
      </c>
      <c r="S242" s="2" t="inlineStr">
        <is>
          <t>C1-DIRECT-VERIFIED</t>
        </is>
      </c>
      <c r="T242" s="2" t="inlineStr">
        <is>
          <t>Personal 1:1 email from founder/team to published business email</t>
        </is>
      </c>
      <c r="U242" s="2" t="inlineStr">
        <is>
          <t>https://www.rohangautam.com/</t>
        </is>
      </c>
      <c r="V242" s="2" t="inlineStr">
        <is>
          <t>2026-02 — photo credit on The Architects Diary project feature (https://thearchitectsdiary.com/a-theatrical-design-evolves-in-this-home-sho…</t>
        </is>
      </c>
      <c r="W242" s="2" t="inlineStr">
        <is>
          <t>Commissioned project photography credited by design publications; enquiry route on own site</t>
        </is>
      </c>
      <c r="X242" s="2" t="inlineStr"/>
      <c r="Y242" s="2" t="inlineStr">
        <is>
          <t>Readiness 74 (top 26% in category) | Commercial: Commissioned project photography credited by design publications; enquiry route on own si… | Active: 2026-02 — photo credit on The Architects Diary project feature (https… | Independent/emerging tier — fame not a factor</t>
        </is>
      </c>
      <c r="Z242" s="2" t="inlineStr">
        <is>
          <t>Lead with a specific project they documented. Link to the Home &amp; Space pod (studios and makers).</t>
        </is>
      </c>
      <c r="AA242" s="2" t="inlineStr">
        <is>
          <t>Work is commission/referral-driven through architect networks; may not see need for a marketplace</t>
        </is>
      </c>
      <c r="AB242" s="2" t="inlineStr">
        <is>
          <t>Leads via referrals/portals; off-platform contact; time to maintain another profile</t>
        </is>
      </c>
      <c r="AC242" s="2" t="inlineStr">
        <is>
          <t>E05 channel/segment test (assign at wave start)</t>
        </is>
      </c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</row>
    <row r="243">
      <c r="A243" s="2" t="n">
        <v>242</v>
      </c>
      <c r="B243" s="2" t="inlineStr">
        <is>
          <t>Wave 2 — Category &amp; city expansion</t>
        </is>
      </c>
      <c r="C243" s="2" t="inlineStr">
        <is>
          <t>UPK2-LM-337</t>
        </is>
      </c>
      <c r="D243" s="2" t="inlineStr">
        <is>
          <t>The Matter Studio</t>
        </is>
      </c>
      <c r="E243" s="2" t="inlineStr">
        <is>
          <t>Lens &amp; Motion</t>
        </is>
      </c>
      <c r="F243" s="2" t="inlineStr">
        <is>
          <t>LM-ARCH-INTERIOR</t>
        </is>
      </c>
      <c r="G243" s="2" t="inlineStr">
        <is>
          <t>Home &amp; Space</t>
        </is>
      </c>
      <c r="H243" s="2" t="inlineStr">
        <is>
          <t>Architecture &amp; interior photography and spatial films</t>
        </is>
      </c>
      <c r="I243" s="2" t="inlineStr">
        <is>
          <t>Mumbai</t>
        </is>
      </c>
      <c r="J243" s="2" t="inlineStr">
        <is>
          <t>B — Established Independent</t>
        </is>
      </c>
      <c r="K243" s="2" t="inlineStr">
        <is>
          <t>Micro studio (2-10)</t>
        </is>
      </c>
      <c r="L243" s="2" t="inlineStr">
        <is>
          <t>P0</t>
        </is>
      </c>
      <c r="M243" s="2" t="inlineStr">
        <is>
          <t>P0</t>
        </is>
      </c>
      <c r="N243" s="2" t="n">
        <v>72.40000000000001</v>
      </c>
      <c r="O243" s="2" t="n">
        <v>63</v>
      </c>
      <c r="P243" s="2" t="n">
        <v>66.40000000000001</v>
      </c>
      <c r="Q243" s="2" t="n">
        <v>74</v>
      </c>
      <c r="R243" s="2" t="n">
        <v>40</v>
      </c>
      <c r="S243" s="2" t="inlineStr">
        <is>
          <t>C1-DIRECT-VERIFIED</t>
        </is>
      </c>
      <c r="T243" s="2" t="inlineStr">
        <is>
          <t>Personal 1:1 email from founder/team to published business email</t>
        </is>
      </c>
      <c r="U243" s="2" t="inlineStr">
        <is>
          <t>https://thematterstudio.in/</t>
        </is>
      </c>
      <c r="V243" s="2" t="inlineStr">
        <is>
          <t>2025-12 — photo credit on The Architects Diary project feature (https://thearchitectsdiary.com/the-attention-to-detail-proudly-stands-out-i…</t>
        </is>
      </c>
      <c r="W243" s="2" t="inlineStr">
        <is>
          <t>Commissioned project photography credited by design publications; enquiry route on own site</t>
        </is>
      </c>
      <c r="X243" s="2" t="inlineStr"/>
      <c r="Y243" s="2" t="inlineStr">
        <is>
          <t>Readiness 72 (top 38% in category) | Commercial: Commissioned project photography credited by design publications; enquiry route on own si… | Active: 2025-12 — photo credit on The Architects Diary project feature (https… | Independent/emerging tier — fame not a factor</t>
        </is>
      </c>
      <c r="Z243" s="2" t="inlineStr">
        <is>
          <t>Lead with a specific project they documented. Link to the Home &amp; Space pod (studios and makers).</t>
        </is>
      </c>
      <c r="AA243" s="2" t="inlineStr">
        <is>
          <t>Work is commission/referral-driven through architect networks; may not see need for a marketplace</t>
        </is>
      </c>
      <c r="AB243" s="2" t="inlineStr">
        <is>
          <t>Leads via referrals/portals; off-platform contact; time to maintain another profile</t>
        </is>
      </c>
      <c r="AC243" s="2" t="inlineStr">
        <is>
          <t>E05 channel/segment test (assign at wave start)</t>
        </is>
      </c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</row>
    <row r="244">
      <c r="A244" s="2" t="n">
        <v>243</v>
      </c>
      <c r="B244" s="2" t="inlineStr">
        <is>
          <t>Wave 2 — Category &amp; city expansion</t>
        </is>
      </c>
      <c r="C244" s="2" t="inlineStr">
        <is>
          <t>UPK2-LM-314</t>
        </is>
      </c>
      <c r="D244" s="2" t="inlineStr">
        <is>
          <t>Anoushka Ghosh Photography</t>
        </is>
      </c>
      <c r="E244" s="2" t="inlineStr">
        <is>
          <t>Lens &amp; Motion</t>
        </is>
      </c>
      <c r="F244" s="2" t="inlineStr">
        <is>
          <t>LM-COMMERCIAL-FASHION</t>
        </is>
      </c>
      <c r="G244" s="2" t="inlineStr">
        <is>
          <t>Brand &amp; Everyday Style</t>
        </is>
      </c>
      <c r="H244" s="2" t="inlineStr">
        <is>
          <t>Fashion, portfolio, advertising &amp; portrait photographer</t>
        </is>
      </c>
      <c r="I244" s="2" t="inlineStr">
        <is>
          <t>Mumbai</t>
        </is>
      </c>
      <c r="J244" s="2" t="inlineStr">
        <is>
          <t>B — Established Independent</t>
        </is>
      </c>
      <c r="K244" s="2" t="inlineStr">
        <is>
          <t>Solo/Freelancer</t>
        </is>
      </c>
      <c r="L244" s="2" t="inlineStr">
        <is>
          <t>P0</t>
        </is>
      </c>
      <c r="M244" s="2" t="inlineStr">
        <is>
          <t>P0</t>
        </is>
      </c>
      <c r="N244" s="2" t="n">
        <v>74.2</v>
      </c>
      <c r="O244" s="2" t="n">
        <v>75</v>
      </c>
      <c r="P244" s="2" t="n">
        <v>67.59999999999999</v>
      </c>
      <c r="Q244" s="2" t="n">
        <v>75</v>
      </c>
      <c r="R244" s="2" t="n">
        <v>40</v>
      </c>
      <c r="S244" s="2" t="inlineStr">
        <is>
          <t>C1-DIRECT-VERIFIED</t>
        </is>
      </c>
      <c r="T244" s="2" t="inlineStr">
        <is>
          <t>Personal 1:1 email from founder/team to published business email</t>
        </is>
      </c>
      <c r="U244" s="2" t="inlineStr">
        <is>
          <t>https://anoushkaghosh.in/</t>
        </is>
      </c>
      <c r="V244" s="2" t="inlineStr">
        <is>
          <t>2026 — site shows 2026 date (own site)</t>
        </is>
      </c>
      <c r="W244" s="2" t="inlineStr">
        <is>
          <t>Commissioned project photography credited by design publications; enquiry route on own site</t>
        </is>
      </c>
      <c r="X244" s="2" t="inlineStr"/>
      <c r="Y244" s="2" t="inlineStr">
        <is>
          <t>Readiness 74 (top 26% in category) | Commercial: Commissioned project photography credited by design publications; enquiry route on own si… | Active: 2026 — site shows 2026 date (own site) | Independent/emerging tier — fame not a factor</t>
        </is>
      </c>
      <c r="Z244" s="2" t="inlineStr">
        <is>
          <t>Lead with product/fashion work. Link to labels in the Brand &amp; Everyday Style pod.</t>
        </is>
      </c>
      <c r="AA244" s="2" t="inlineStr">
        <is>
          <t>Work is commission/referral-driven through architect networks; may not see need for a marketplace</t>
        </is>
      </c>
      <c r="AB244" s="2" t="inlineStr">
        <is>
          <t>Leads via referrals/portals; off-platform contact; time to maintain another profile</t>
        </is>
      </c>
      <c r="AC244" s="2" t="inlineStr">
        <is>
          <t>E05 channel/segment test (assign at wave start)</t>
        </is>
      </c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</row>
    <row r="245">
      <c r="A245" s="2" t="n">
        <v>244</v>
      </c>
      <c r="B245" s="2" t="inlineStr">
        <is>
          <t>Wave 2 — Category &amp; city expansion</t>
        </is>
      </c>
      <c r="C245" s="2" t="inlineStr">
        <is>
          <t>UPK2-LM-354</t>
        </is>
      </c>
      <c r="D245" s="2" t="inlineStr">
        <is>
          <t>The Light Cube Photography</t>
        </is>
      </c>
      <c r="E245" s="2" t="inlineStr">
        <is>
          <t>Lens &amp; Motion</t>
        </is>
      </c>
      <c r="F245" s="2" t="inlineStr">
        <is>
          <t>LM-ARCH-INTERIOR</t>
        </is>
      </c>
      <c r="G245" s="2" t="inlineStr">
        <is>
          <t>Home &amp; Space</t>
        </is>
      </c>
      <c r="H245" s="2" t="inlineStr">
        <is>
          <t>Editorial &amp; commercial photographer (interiors, fashion, portrait)</t>
        </is>
      </c>
      <c r="I245" s="2" t="inlineStr">
        <is>
          <t>Mumbai</t>
        </is>
      </c>
      <c r="J245" s="2" t="inlineStr">
        <is>
          <t>A — Emerging / High-potential</t>
        </is>
      </c>
      <c r="K245" s="2" t="inlineStr">
        <is>
          <t>Solo/Freelancer</t>
        </is>
      </c>
      <c r="L245" s="2" t="inlineStr">
        <is>
          <t>P0</t>
        </is>
      </c>
      <c r="M245" s="2" t="inlineStr">
        <is>
          <t>P0</t>
        </is>
      </c>
      <c r="N245" s="2" t="n">
        <v>70.90000000000001</v>
      </c>
      <c r="O245" s="2" t="n">
        <v>59</v>
      </c>
      <c r="P245" s="2" t="n">
        <v>61.8</v>
      </c>
      <c r="Q245" s="2" t="n">
        <v>68</v>
      </c>
      <c r="R245" s="2" t="n">
        <v>30</v>
      </c>
      <c r="S245" s="2" t="inlineStr">
        <is>
          <t>C1-DIRECT-VERIFIED</t>
        </is>
      </c>
      <c r="T245" s="2" t="inlineStr">
        <is>
          <t>Personal 1:1 email from founder/team to published business email</t>
        </is>
      </c>
      <c r="U245" s="2" t="inlineStr">
        <is>
          <t>https://www.thelightcubephotography.com/contact</t>
        </is>
      </c>
      <c r="V245" s="2" t="inlineStr">
        <is>
          <t>2026-08 — photo credit on The Architects Diary project feature (https://thearchitectsdiary.com/a-pune-apartment-where-in-between-spaces-cre…</t>
        </is>
      </c>
      <c r="W245" s="2" t="inlineStr">
        <is>
          <t>Commissioned project photography credited by design publications; enquiry route on own site</t>
        </is>
      </c>
      <c r="X245" s="2" t="inlineStr"/>
      <c r="Y245" s="2" t="inlineStr">
        <is>
          <t>Readiness 71 (top 42% in category) | Commercial: Commissioned project photography credited by design publications; enquiry route on own si… | Active: 2026-08 — photo credit on The Architects Diary project feature (https… | Independent/emerging tier — fame not a factor</t>
        </is>
      </c>
      <c r="Z245" s="2" t="inlineStr">
        <is>
          <t>Lead with a specific project they documented. Link to the Home &amp; Space pod (studios and makers).</t>
        </is>
      </c>
      <c r="AA245" s="2" t="inlineStr">
        <is>
          <t>Work is commission/referral-driven through architect networks; may not see need for a marketplace</t>
        </is>
      </c>
      <c r="AB245" s="2" t="inlineStr">
        <is>
          <t>Leads via referrals/portals; off-platform contact; time to maintain another profile</t>
        </is>
      </c>
      <c r="AC245" s="2" t="inlineStr">
        <is>
          <t>E05 channel/segment test (assign at wave start)</t>
        </is>
      </c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</row>
    <row r="246">
      <c r="A246" s="2" t="n">
        <v>245</v>
      </c>
      <c r="B246" s="2" t="inlineStr">
        <is>
          <t>Wave 2 — Category &amp; city expansion</t>
        </is>
      </c>
      <c r="C246" s="2" t="inlineStr">
        <is>
          <t>UPK2-LM-382</t>
        </is>
      </c>
      <c r="D246" s="2" t="inlineStr">
        <is>
          <t>Coddiwompler Studios</t>
        </is>
      </c>
      <c r="E246" s="2" t="inlineStr">
        <is>
          <t>Lens &amp; Motion</t>
        </is>
      </c>
      <c r="F246" s="2" t="inlineStr">
        <is>
          <t>LM-ARCH-INTERIOR</t>
        </is>
      </c>
      <c r="G246" s="2" t="inlineStr">
        <is>
          <t>Home &amp; Space</t>
        </is>
      </c>
      <c r="H246" s="2" t="inlineStr">
        <is>
          <t>Architecture, interiors, product &amp; food photographer</t>
        </is>
      </c>
      <c r="I246" s="2" t="inlineStr">
        <is>
          <t>Delhi NCR</t>
        </is>
      </c>
      <c r="J246" s="2" t="inlineStr">
        <is>
          <t>A — Emerging / High-potential</t>
        </is>
      </c>
      <c r="K246" s="2" t="inlineStr">
        <is>
          <t>Micro studio (2-10)</t>
        </is>
      </c>
      <c r="L246" s="2" t="inlineStr">
        <is>
          <t>P0</t>
        </is>
      </c>
      <c r="M246" s="2" t="inlineStr">
        <is>
          <t>P0</t>
        </is>
      </c>
      <c r="N246" s="2" t="n">
        <v>70.90000000000001</v>
      </c>
      <c r="O246" s="2" t="n">
        <v>59</v>
      </c>
      <c r="P246" s="2" t="n">
        <v>61.6</v>
      </c>
      <c r="Q246" s="2" t="n">
        <v>67</v>
      </c>
      <c r="R246" s="2" t="n">
        <v>30</v>
      </c>
      <c r="S246" s="2" t="inlineStr">
        <is>
          <t>C1-DIRECT-VERIFIED</t>
        </is>
      </c>
      <c r="T246" s="2" t="inlineStr">
        <is>
          <t>Personal 1:1 email from founder/team to published business email</t>
        </is>
      </c>
      <c r="U246" s="2" t="inlineStr">
        <is>
          <t>https://vibhoryadav.com/about</t>
        </is>
      </c>
      <c r="V246" s="2" t="inlineStr">
        <is>
          <t>2026-09 — photo credit on The Architects Diary project feature (https://thearchitectsdiary.com/a-seven-storey-single-family-home-on-an-irre…</t>
        </is>
      </c>
      <c r="W246" s="2" t="inlineStr">
        <is>
          <t>Commissioned project photography credited by design publications; enquiry route on own site</t>
        </is>
      </c>
      <c r="X246" s="2" t="inlineStr"/>
      <c r="Y246" s="2" t="inlineStr">
        <is>
          <t>Readiness 71 (top 42%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  <c r="Z246" s="2" t="inlineStr">
        <is>
          <t>Lead with a specific project they documented. Link to the Home &amp; Space pod (studios and makers).</t>
        </is>
      </c>
      <c r="AA246" s="2" t="inlineStr">
        <is>
          <t>Work is commission/referral-driven through architect networks; may not see need for a marketplace</t>
        </is>
      </c>
      <c r="AB246" s="2" t="inlineStr">
        <is>
          <t>Leads via referrals/portals; off-platform contact; time to maintain another profile</t>
        </is>
      </c>
      <c r="AC246" s="2" t="inlineStr">
        <is>
          <t>E05 channel/segment test (assign at wave start)</t>
        </is>
      </c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</row>
    <row r="247">
      <c r="A247" s="2" t="n">
        <v>246</v>
      </c>
      <c r="B247" s="2" t="inlineStr">
        <is>
          <t>Wave 2 — Category &amp; city expansion</t>
        </is>
      </c>
      <c r="C247" s="2" t="inlineStr">
        <is>
          <t>UPK2-CM-019</t>
        </is>
      </c>
      <c r="D247" s="2" t="inlineStr">
        <is>
          <t>Socialmaharaj</t>
        </is>
      </c>
      <c r="E247" s="2" t="inlineStr">
        <is>
          <t>Content &amp; Media</t>
        </is>
      </c>
      <c r="F247" s="2" t="inlineStr">
        <is>
          <t>CM-BLOGGER-WRITER</t>
        </is>
      </c>
      <c r="G247" s="2" t="inlineStr">
        <is>
          <t>Brand &amp; Everyday Style</t>
        </is>
      </c>
      <c r="H247" s="2" t="inlineStr">
        <is>
          <t>Food, travel &amp; lifestyle blogger</t>
        </is>
      </c>
      <c r="I247" s="2" t="inlineStr">
        <is>
          <t>Hyderabad</t>
        </is>
      </c>
      <c r="J247" s="2" t="inlineStr">
        <is>
          <t>B — Established Independent</t>
        </is>
      </c>
      <c r="K247" s="2" t="inlineStr">
        <is>
          <t>Independent creator/blog</t>
        </is>
      </c>
      <c r="L247" s="2" t="inlineStr">
        <is>
          <t>P0</t>
        </is>
      </c>
      <c r="M247" s="2" t="inlineStr">
        <is>
          <t>P0</t>
        </is>
      </c>
      <c r="N247" s="2" t="n">
        <v>72.90000000000001</v>
      </c>
      <c r="O247" s="2" t="n">
        <v>96</v>
      </c>
      <c r="P247" s="2" t="n">
        <v>64</v>
      </c>
      <c r="Q247" s="2" t="n">
        <v>65</v>
      </c>
      <c r="R247" s="2" t="n">
        <v>40</v>
      </c>
      <c r="S247" s="2" t="inlineStr">
        <is>
          <t>C1-DIRECT-VERIFIED</t>
        </is>
      </c>
      <c r="T247" s="2" t="inlineStr">
        <is>
          <t>1:1 message via own-website contact form</t>
        </is>
      </c>
      <c r="U247" s="2" t="inlineStr">
        <is>
          <t>https://socialmaharaj.com/get-in-touch/</t>
        </is>
      </c>
      <c r="V247" s="2" t="inlineStr">
        <is>
          <t>2026 — posts dated 2026</t>
        </is>
      </c>
      <c r="W247" s="2" t="inlineStr">
        <is>
          <t>About lists 'Some of Socialmaharaj's Brand Collaborations' and speaking sessions (IMPA Hyderabad)</t>
        </is>
      </c>
      <c r="X247" s="2" t="inlineStr">
        <is>
          <t>Feedspot (Listed blog)</t>
        </is>
      </c>
      <c r="Y247" s="2" t="inlineStr">
        <is>
          <t>Readiness 73 (top 5% in category) | Commercial: About lists 'Some of Socialmaharaj's Brand Collaborations' and speaking sessions (IMPA Hy… | Active: 2026 — posts dated 2026 | Independent/emerging tier — fame not a factor</t>
        </is>
      </c>
      <c r="Z247" s="2" t="inlineStr">
        <is>
          <t>Lead with their writing/beat. Content work as a professional service for brands; clients, not audience.</t>
        </is>
      </c>
      <c r="AA247" s="2" t="inlineStr">
        <is>
          <t>Works through agencies/creator platforms; wants evidence brands are on the platform.</t>
        </is>
      </c>
      <c r="AB247" s="2" t="inlineStr">
        <is>
          <t>Work via agencies/creator platforms; wants proof brands/clients are present</t>
        </is>
      </c>
      <c r="AC247" s="2" t="inlineStr">
        <is>
          <t>E05 channel/segment test (assign at wave start)</t>
        </is>
      </c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</row>
    <row r="248">
      <c r="A248" s="2" t="n">
        <v>247</v>
      </c>
      <c r="B248" s="2" t="inlineStr">
        <is>
          <t>Wave 2 — Category &amp; city expansion</t>
        </is>
      </c>
      <c r="C248" s="2" t="inlineStr">
        <is>
          <t>UPK2-CM-002</t>
        </is>
      </c>
      <c r="D248" s="2" t="inlineStr">
        <is>
          <t>Wedding Relay</t>
        </is>
      </c>
      <c r="E248" s="2" t="inlineStr">
        <is>
          <t>Content &amp; Media</t>
        </is>
      </c>
      <c r="F248" s="2" t="inlineStr">
        <is>
          <t>CM-CONTENT-CREATOR</t>
        </is>
      </c>
      <c r="G248" s="2" t="inlineStr">
        <is>
          <t>Wedding &amp; Occasion</t>
        </is>
      </c>
      <c r="H248" s="2" t="inlineStr">
        <is>
          <t>Luxury wedding content creation</t>
        </is>
      </c>
      <c r="I248" s="2" t="inlineStr">
        <is>
          <t>Delhi NCR</t>
        </is>
      </c>
      <c r="J248" s="2" t="inlineStr">
        <is>
          <t>B — Established Independent</t>
        </is>
      </c>
      <c r="K248" s="2" t="inlineStr">
        <is>
          <t>Studio/team</t>
        </is>
      </c>
      <c r="L248" s="2" t="inlineStr">
        <is>
          <t>P0</t>
        </is>
      </c>
      <c r="M248" s="2" t="inlineStr">
        <is>
          <t>P0</t>
        </is>
      </c>
      <c r="N248" s="2" t="n">
        <v>70.09999999999999</v>
      </c>
      <c r="O248" s="2" t="n">
        <v>87</v>
      </c>
      <c r="P248" s="2" t="n">
        <v>63.6</v>
      </c>
      <c r="Q248" s="2" t="n">
        <v>72</v>
      </c>
      <c r="R248" s="2" t="n">
        <v>35</v>
      </c>
      <c r="S248" s="2" t="inlineStr">
        <is>
          <t>C3-PRO-SOCIAL</t>
        </is>
      </c>
      <c r="T248" s="2" t="inlineStr">
        <is>
          <t>1:1 Instagram DM from Uepaki professional account</t>
        </is>
      </c>
      <c r="U248" s="2" t="inlineStr">
        <is>
          <t>https://www.weddingrelay.in</t>
        </is>
      </c>
      <c r="V248" s="2" t="inlineStr">
        <is>
          <t>2026-08 — WeddingSutra vendor profile last updated/published (page metadata)</t>
        </is>
      </c>
      <c r="W248" s="2" t="inlineStr">
        <is>
          <t>Services listed on WeddingSutra profile: wedding photography/films; price on request</t>
        </is>
      </c>
      <c r="X248" s="2" t="inlineStr">
        <is>
          <t>WeddingSutra (Vendor directory profile)</t>
        </is>
      </c>
      <c r="Y248" s="2" t="inlineStr">
        <is>
          <t>Readiness 70 (top 14% in category) | Commercial: Services listed on WeddingSutra profile: wedding photography/films; price on request | Active: 2026-08 — WeddingSutra vendor profile last updated/published (page me… | Independent/emerging tier — fame not a factor</t>
        </is>
      </c>
      <c r="Z248" s="2" t="inlineStr">
        <is>
          <t>Lead with a specific piece of content work. Content production as a professional service for clients; never follower language.</t>
        </is>
      </c>
      <c r="AA248" s="2" t="inlineStr">
        <is>
          <t>Already gets leads via own Instagram and wedding directories</t>
        </is>
      </c>
      <c r="AB248" s="2" t="inlineStr">
        <is>
          <t>Work via agencies/creator platforms; wants proof brands/clients are present</t>
        </is>
      </c>
      <c r="AC248" s="2" t="inlineStr">
        <is>
          <t>E05 channel/segment test (assign at wave start)</t>
        </is>
      </c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</row>
    <row r="249">
      <c r="A249" s="2" t="n">
        <v>248</v>
      </c>
      <c r="B249" s="2" t="inlineStr">
        <is>
          <t>Wave 2 — Category &amp; city expansion</t>
        </is>
      </c>
      <c r="C249" s="2" t="inlineStr">
        <is>
          <t>UPK2-CM-013</t>
        </is>
      </c>
      <c r="D249" s="2" t="inlineStr">
        <is>
          <t>Delhi Fun Dos</t>
        </is>
      </c>
      <c r="E249" s="2" t="inlineStr">
        <is>
          <t>Content &amp; Media</t>
        </is>
      </c>
      <c r="F249" s="2" t="inlineStr">
        <is>
          <t>CM-BLOGGER-WRITER</t>
        </is>
      </c>
      <c r="G249" s="2" t="inlineStr">
        <is>
          <t>Brand &amp; Everyday Style</t>
        </is>
      </c>
      <c r="H249" s="2" t="inlineStr">
        <is>
          <t>Delhi events, food &amp; travel bloggers</t>
        </is>
      </c>
      <c r="I249" s="2" t="inlineStr">
        <is>
          <t>Delhi NCR</t>
        </is>
      </c>
      <c r="J249" s="2" t="inlineStr">
        <is>
          <t>B — Established Independent</t>
        </is>
      </c>
      <c r="K249" s="2" t="inlineStr">
        <is>
          <t>Creator duo / blog</t>
        </is>
      </c>
      <c r="L249" s="2" t="inlineStr">
        <is>
          <t>P0</t>
        </is>
      </c>
      <c r="M249" s="2" t="inlineStr">
        <is>
          <t>P0</t>
        </is>
      </c>
      <c r="N249" s="2" t="n">
        <v>70.09999999999999</v>
      </c>
      <c r="O249" s="2" t="n">
        <v>87</v>
      </c>
      <c r="P249" s="2" t="n">
        <v>61.8</v>
      </c>
      <c r="Q249" s="2" t="n">
        <v>66</v>
      </c>
      <c r="R249" s="2" t="n">
        <v>35</v>
      </c>
      <c r="S249" s="2" t="inlineStr">
        <is>
          <t>C1-DIRECT-VERIFIED</t>
        </is>
      </c>
      <c r="T249" s="2" t="inlineStr">
        <is>
          <t>Personal 1:1 email from founder/team to published business email</t>
        </is>
      </c>
      <c r="U249" s="2" t="inlineStr">
        <is>
          <t>https://delhi-fun-dos.com/</t>
        </is>
      </c>
      <c r="V249" s="2" t="inlineStr">
        <is>
          <t>2026 — posts dated 2026</t>
        </is>
      </c>
      <c r="W249" s="2" t="inlineStr">
        <is>
          <t>Covers events attended in Delhi NCR (event/brand invites); 'Upcoming Events in Delhi NCR' section</t>
        </is>
      </c>
      <c r="X249" s="2" t="inlineStr">
        <is>
          <t>Feedspot (Listed in India travel blogs)</t>
        </is>
      </c>
      <c r="Y249" s="2" t="inlineStr">
        <is>
          <t>Readiness 70 (top 14% in category) | Commercial: Covers events attended in Delhi NCR (event/brand invites); 'Upcoming Events in Delhi NCR'… | Active: 2026 — posts dated 2026 | Independent/emerging tier — fame not a factor</t>
        </is>
      </c>
      <c r="Z249" s="2" t="inlineStr">
        <is>
          <t>Lead with their writing/beat. Content work as a professional service for brands; clients, not audience.</t>
        </is>
      </c>
      <c r="AA249" s="2" t="inlineStr">
        <is>
          <t>Works through agencies/creator platforms; wants evidence brands are on the platform.</t>
        </is>
      </c>
      <c r="AB249" s="2" t="inlineStr">
        <is>
          <t>Work via agencies/creator platforms; wants proof brands/clients are present</t>
        </is>
      </c>
      <c r="AC249" s="2" t="inlineStr">
        <is>
          <t>E05 channel/segment test (assign at wave start)</t>
        </is>
      </c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</row>
    <row r="250">
      <c r="A250" s="2" t="n">
        <v>249</v>
      </c>
      <c r="B250" s="2" t="inlineStr">
        <is>
          <t>Wave 2 — Category &amp; city expansion</t>
        </is>
      </c>
      <c r="C250" s="2" t="inlineStr">
        <is>
          <t>UPK2-CM-051</t>
        </is>
      </c>
      <c r="D250" s="2" t="inlineStr">
        <is>
          <t>Ansh Chaudhary</t>
        </is>
      </c>
      <c r="E250" s="2" t="inlineStr">
        <is>
          <t>Content &amp; Media</t>
        </is>
      </c>
      <c r="F250" s="2" t="inlineStr">
        <is>
          <t>CM-EMCEE-HOST</t>
        </is>
      </c>
      <c r="G250" s="2" t="inlineStr">
        <is>
          <t>Wedding &amp; Occasion</t>
        </is>
      </c>
      <c r="H250" s="2" t="inlineStr">
        <is>
          <t>Wedding &amp; event emcee / anchor</t>
        </is>
      </c>
      <c r="I250" s="2" t="inlineStr">
        <is>
          <t>Delhi NCR</t>
        </is>
      </c>
      <c r="J250" s="2" t="inlineStr">
        <is>
          <t>A — Emerging / High-potential</t>
        </is>
      </c>
      <c r="K250" s="2" t="inlineStr">
        <is>
          <t>Independent professional</t>
        </is>
      </c>
      <c r="L250" s="2" t="inlineStr">
        <is>
          <t>P0</t>
        </is>
      </c>
      <c r="M250" s="2" t="inlineStr">
        <is>
          <t>P0</t>
        </is>
      </c>
      <c r="N250" s="2" t="n">
        <v>73.2</v>
      </c>
      <c r="O250" s="2" t="n">
        <v>96</v>
      </c>
      <c r="P250" s="2" t="n">
        <v>60.8</v>
      </c>
      <c r="Q250" s="2" t="n">
        <v>64</v>
      </c>
      <c r="R250" s="2" t="n">
        <v>25</v>
      </c>
      <c r="S250" s="2" t="inlineStr">
        <is>
          <t>C1-DIRECT-VERIFIED</t>
        </is>
      </c>
      <c r="T250" s="2" t="inlineStr">
        <is>
          <t>Personal 1:1 email from founder/team to published business email</t>
        </is>
      </c>
      <c r="U250" s="2" t="inlineStr">
        <is>
          <t>https://anchoransh.com</t>
        </is>
      </c>
      <c r="V250" s="2" t="inlineStr">
        <is>
          <t>2026-06 — WeddingSutra vendor profile updated</t>
        </is>
      </c>
      <c r="W250" s="2" t="inlineStr">
        <is>
          <t>Listed by WeddingSutra as a wedding emcee serving Delhi NCR, Dubai, Thailand, Goa, Jaipur &amp; Mumbai</t>
        </is>
      </c>
      <c r="X250" s="2" t="inlineStr">
        <is>
          <t>WeddingSutra (vendor showcase profile (Emcees))</t>
        </is>
      </c>
      <c r="Y250" s="2" t="inlineStr">
        <is>
          <t>Readiness 73 (top 5% in category) | Commercial: Listed by WeddingSutra as a wedding emcee serving Delhi NCR, Dubai, Thailand, Goa, Jaipur… | Active: 2026-06 — WeddingSutra vendor profile updated | Independent/emerging tier — fame not a factor</t>
        </is>
      </c>
      <c r="Z250" s="2" t="inlineStr">
        <is>
          <t>Lead with the event formats they host. Services as a professional; clients, not followers.</t>
        </is>
      </c>
      <c r="AA250" s="2" t="inlineStr">
        <is>
          <t>Gets bookings via Instagram and wedding marketplaces already; may see another profile as low priority.</t>
        </is>
      </c>
      <c r="AB250" s="2" t="inlineStr">
        <is>
          <t>Work via agencies/creator platforms; wants proof brands/clients are present</t>
        </is>
      </c>
      <c r="AC250" s="2" t="inlineStr">
        <is>
          <t>E05 channel/segment test (assign at wave start)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</row>
    <row r="251">
      <c r="A251" s="2" t="n">
        <v>250</v>
      </c>
      <c r="B251" s="2" t="inlineStr">
        <is>
          <t>Wave 2 — Category &amp; city expansion</t>
        </is>
      </c>
      <c r="C251" s="2" t="inlineStr">
        <is>
          <t>UPK2-CM-048</t>
        </is>
      </c>
      <c r="D251" s="2" t="inlineStr">
        <is>
          <t>Karan Kapoor</t>
        </is>
      </c>
      <c r="E251" s="2" t="inlineStr">
        <is>
          <t>Content &amp; Media</t>
        </is>
      </c>
      <c r="F251" s="2" t="inlineStr">
        <is>
          <t>CM-EMCEE-HOST</t>
        </is>
      </c>
      <c r="G251" s="2" t="inlineStr">
        <is>
          <t>Wedding &amp; Occasion</t>
        </is>
      </c>
      <c r="H251" s="2" t="inlineStr">
        <is>
          <t>Wedding &amp; event emcee / anchor</t>
        </is>
      </c>
      <c r="I251" s="2" t="inlineStr">
        <is>
          <t>Pune</t>
        </is>
      </c>
      <c r="J251" s="2" t="inlineStr">
        <is>
          <t>B — Established Independent</t>
        </is>
      </c>
      <c r="K251" s="2" t="inlineStr">
        <is>
          <t>Independent professional</t>
        </is>
      </c>
      <c r="L251" s="2" t="inlineStr">
        <is>
          <t>P0</t>
        </is>
      </c>
      <c r="M251" s="2" t="inlineStr">
        <is>
          <t>P0</t>
        </is>
      </c>
      <c r="N251" s="2" t="n">
        <v>73.8</v>
      </c>
      <c r="O251" s="2" t="n">
        <v>97</v>
      </c>
      <c r="P251" s="2" t="n">
        <v>60.2</v>
      </c>
      <c r="Q251" s="2" t="n">
        <v>65</v>
      </c>
      <c r="R251" s="2" t="n">
        <v>19</v>
      </c>
      <c r="S251" s="2" t="inlineStr">
        <is>
          <t>C3-PRO-SOCIAL</t>
        </is>
      </c>
      <c r="T251" s="2" t="inlineStr">
        <is>
          <t>1:1 Instagram DM from Uepaki professional account</t>
        </is>
      </c>
      <c r="U251" s="2" t="inlineStr">
        <is>
          <t>https://www.instagram.com/karan_kapoor_official</t>
        </is>
      </c>
      <c r="V251" s="2" t="inlineStr">
        <is>
          <t>2026-06 — WeddingSutra vendor profile updated; latest WedMeGood review 2024-01-07</t>
        </is>
      </c>
      <c r="W251" s="2" t="inlineStr">
        <is>
          <t>Listed by WeddingSutra as a wedding emcee serving Mumbai and Pune; WedMeGood lists starting price ₹Price on Request and 18 reviews</t>
        </is>
      </c>
      <c r="X251" s="2" t="inlineStr">
        <is>
          <t>WeddingSutra (vendor showcase profile (Emcees)); WedMeGood (vendor profile (Lite listing; 18 reviews))</t>
        </is>
      </c>
      <c r="Y251" s="2" t="inlineStr">
        <is>
          <t>Readiness 74 (top 4% in category) | Commercial: Listed by WeddingSutra as a wedding emcee serving Mumbai and Pune; WedMeGood lists starti… | Active: 2026-06 — WeddingSutra vendor profile updated; latest WedMeGood revie… | Marketplace-familiar: WeddingSutra); WedMeGood) | Independent/emerging tier — fame not a factor</t>
        </is>
      </c>
      <c r="Z251" s="2" t="inlineStr">
        <is>
          <t>Lead with the event formats they host. Services as a professional; clients, not followers.</t>
        </is>
      </c>
      <c r="AA251" s="2" t="inlineStr">
        <is>
          <t>Gets bookings via Instagram and wedding marketplaces already; may see another profile as low priority.</t>
        </is>
      </c>
      <c r="AB251" s="2" t="inlineStr">
        <is>
          <t>Work via agencies/creator platforms; wants proof brands/clients are present</t>
        </is>
      </c>
      <c r="AC251" s="2" t="inlineStr">
        <is>
          <t>E05 channel/segment test (assign at wave start)</t>
        </is>
      </c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</row>
    <row r="252">
      <c r="A252" s="2" t="n">
        <v>251</v>
      </c>
      <c r="B252" s="2" t="inlineStr">
        <is>
          <t>Wave 2 — Category &amp; city expansion</t>
        </is>
      </c>
      <c r="C252" s="2" t="inlineStr">
        <is>
          <t>UPK2-CM-052</t>
        </is>
      </c>
      <c r="D252" s="2" t="inlineStr">
        <is>
          <t>Tina Behl</t>
        </is>
      </c>
      <c r="E252" s="2" t="inlineStr">
        <is>
          <t>Content &amp; Media</t>
        </is>
      </c>
      <c r="F252" s="2" t="inlineStr">
        <is>
          <t>CM-EMCEE-HOST</t>
        </is>
      </c>
      <c r="G252" s="2" t="inlineStr">
        <is>
          <t>Wedding &amp; Occasion</t>
        </is>
      </c>
      <c r="H252" s="2" t="inlineStr">
        <is>
          <t>Wedding &amp; event emcee / anchor</t>
        </is>
      </c>
      <c r="I252" s="2" t="inlineStr">
        <is>
          <t>Delhi NCR</t>
        </is>
      </c>
      <c r="J252" s="2" t="inlineStr">
        <is>
          <t>A — Emerging / High-potential</t>
        </is>
      </c>
      <c r="K252" s="2" t="inlineStr">
        <is>
          <t>Independent professional</t>
        </is>
      </c>
      <c r="L252" s="2" t="inlineStr">
        <is>
          <t>P0</t>
        </is>
      </c>
      <c r="M252" s="2" t="inlineStr">
        <is>
          <t>P0</t>
        </is>
      </c>
      <c r="N252" s="2" t="n">
        <v>72.40000000000001</v>
      </c>
      <c r="O252" s="2" t="n">
        <v>95</v>
      </c>
      <c r="P252" s="2" t="n">
        <v>57.2</v>
      </c>
      <c r="Q252" s="2" t="n">
        <v>60</v>
      </c>
      <c r="R252" s="2" t="n">
        <v>15</v>
      </c>
      <c r="S252" s="2" t="inlineStr">
        <is>
          <t>C3-PRO-SOCIAL</t>
        </is>
      </c>
      <c r="T252" s="2" t="inlineStr">
        <is>
          <t>1:1 Instagram DM from Uepaki professional account</t>
        </is>
      </c>
      <c r="U252" s="2" t="inlineStr">
        <is>
          <t>https://www.instagram.com/tina.behl</t>
        </is>
      </c>
      <c r="V252" s="2" t="inlineStr">
        <is>
          <t>2026-09 — WeddingSutra vendor profile updated; carries WeddingSutra Favorites 2026 badge; latest WedMeGood review 2024-03-19</t>
        </is>
      </c>
      <c r="W252" s="2" t="inlineStr">
        <is>
          <t>Listed by WeddingSutra as a wedding emcee serving Delhi NCR, Chandigarh, Thailand, Udaipur and Jaipur; WedMeGood lists starting price ₹1,00,000 and 3 reviews</t>
        </is>
      </c>
      <c r="X252" s="2" t="inlineStr">
        <is>
          <t>WeddingSutra (vendor showcase profile (Emcees)); WedMeGood (vendor profile (Lite listing; 3 reviews))</t>
        </is>
      </c>
      <c r="Y252" s="2" t="inlineStr">
        <is>
          <t>Readiness 72 (top 6% in category) | Commercial: Listed by WeddingSutra as a wedding emcee serving Delhi NCR, Chandigarh, Thailand, Udaipu… | Active: 2026-09 — WeddingSutra vendor profile updated; carries WeddingSutra F… | Marketplace-familiar: WeddingSutra); WedMeGood) | Independent/emerging tier — fame not a factor</t>
        </is>
      </c>
      <c r="Z252" s="2" t="inlineStr">
        <is>
          <t>Lead with the event formats they host. Services as a professional; clients, not followers.</t>
        </is>
      </c>
      <c r="AA252" s="2" t="inlineStr">
        <is>
          <t>Gets bookings via Instagram and wedding marketplaces already; may see another profile as low priority.</t>
        </is>
      </c>
      <c r="AB252" s="2" t="inlineStr">
        <is>
          <t>Work via agencies/creator platforms; wants proof brands/clients are present</t>
        </is>
      </c>
      <c r="AC252" s="2" t="inlineStr">
        <is>
          <t>E05 channel/segment test (assign at wave start)</t>
        </is>
      </c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</row>
    <row r="253">
      <c r="A253" s="2" t="n">
        <v>252</v>
      </c>
      <c r="B253" s="2" t="inlineStr">
        <is>
          <t>Wave 2 — Category &amp; city expansion</t>
        </is>
      </c>
      <c r="C253" s="2" t="inlineStr">
        <is>
          <t>UPK2-CM-043</t>
        </is>
      </c>
      <c r="D253" s="2" t="inlineStr">
        <is>
          <t>Aman Agrawal</t>
        </is>
      </c>
      <c r="E253" s="2" t="inlineStr">
        <is>
          <t>Content &amp; Media</t>
        </is>
      </c>
      <c r="F253" s="2" t="inlineStr">
        <is>
          <t>CM-EMCEE-HOST</t>
        </is>
      </c>
      <c r="G253" s="2" t="inlineStr">
        <is>
          <t>Wedding &amp; Occasion</t>
        </is>
      </c>
      <c r="H253" s="2" t="inlineStr">
        <is>
          <t>Wedding &amp; event emcee / anchor</t>
        </is>
      </c>
      <c r="I253" s="2" t="inlineStr">
        <is>
          <t>Pune</t>
        </is>
      </c>
      <c r="J253" s="2" t="inlineStr">
        <is>
          <t>C — Strong Mid-tier</t>
        </is>
      </c>
      <c r="K253" s="2" t="inlineStr">
        <is>
          <t>Independent professional</t>
        </is>
      </c>
      <c r="L253" s="2" t="inlineStr">
        <is>
          <t>P0</t>
        </is>
      </c>
      <c r="M253" s="2" t="inlineStr">
        <is>
          <t>P0</t>
        </is>
      </c>
      <c r="N253" s="2" t="n">
        <v>87</v>
      </c>
      <c r="O253" s="2" t="n">
        <v>100</v>
      </c>
      <c r="P253" s="2" t="n">
        <v>76</v>
      </c>
      <c r="Q253" s="2" t="n">
        <v>81</v>
      </c>
      <c r="R253" s="2" t="n">
        <v>41</v>
      </c>
      <c r="S253" s="2" t="inlineStr">
        <is>
          <t>C1-DIRECT-VERIFIED</t>
        </is>
      </c>
      <c r="T253" s="2" t="inlineStr">
        <is>
          <t>Personal 1:1 email from founder/team to published business email</t>
        </is>
      </c>
      <c r="U253" s="2" t="inlineStr">
        <is>
          <t>https://micdropxp.com</t>
        </is>
      </c>
      <c r="V253" s="2" t="inlineStr">
        <is>
          <t>2026-09 — WeddingSutra vendor profile updated; carries WeddingSutra Favorites 2026 badge; latest WedMeGood review 2026-09-10</t>
        </is>
      </c>
      <c r="W253" s="2" t="inlineStr">
        <is>
          <t>Listed by WeddingSutra as a wedding emcee serving Mumbai, Pune, Goa, Udaipur, Jaipur and Delhi; WedMeGood lists starting price ₹45,000 and 65 reviews</t>
        </is>
      </c>
      <c r="X253" s="2" t="inlineStr">
        <is>
          <t>WeddingSutra (vendor showcase profile (Emcees)); WedMeGood (vendor profile (Popular listing; 65 reviews))</t>
        </is>
      </c>
      <c r="Y253" s="2" t="inlineStr">
        <is>
          <t>Readiness 87 (top 1% in category) | Commercial: Listed by WeddingSutra as a wedding emcee serving Mumbai, Pune, Goa, Udaipur, Jaipur and… | Active: 2026-09 — WeddingSutra vendor profile updated; carries WeddingSutra F… | Marketplace-familiar: WeddingSutra); WedMeGood)</t>
        </is>
      </c>
      <c r="Z253" s="2" t="inlineStr">
        <is>
          <t>Lead with the event formats they host. Services as a professional; clients, not followers.</t>
        </is>
      </c>
      <c r="AA253" s="2" t="inlineStr">
        <is>
          <t>Gets bookings via Instagram and wedding marketplaces already; may see another profile as low priority.</t>
        </is>
      </c>
      <c r="AB253" s="2" t="inlineStr">
        <is>
          <t>Work via agencies/creator platforms; wants proof brands/clients are present</t>
        </is>
      </c>
      <c r="AC253" s="2" t="inlineStr">
        <is>
          <t>E05 channel/segment test (assign at wave start)</t>
        </is>
      </c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</row>
    <row r="254">
      <c r="A254" s="2" t="n">
        <v>253</v>
      </c>
      <c r="B254" s="2" t="inlineStr">
        <is>
          <t>Wave 2 — Category &amp; city expansion</t>
        </is>
      </c>
      <c r="C254" s="2" t="inlineStr">
        <is>
          <t>UPK2-CM-004</t>
        </is>
      </c>
      <c r="D254" s="2" t="inlineStr">
        <is>
          <t>The New Riwaaz</t>
        </is>
      </c>
      <c r="E254" s="2" t="inlineStr">
        <is>
          <t>Content &amp; Media</t>
        </is>
      </c>
      <c r="F254" s="2" t="inlineStr">
        <is>
          <t>CM-CONTENT-CREATOR</t>
        </is>
      </c>
      <c r="G254" s="2" t="inlineStr">
        <is>
          <t>Wedding &amp; Occasion</t>
        </is>
      </c>
      <c r="H254" s="2" t="inlineStr">
        <is>
          <t>Wedding content creation</t>
        </is>
      </c>
      <c r="I254" s="2" t="inlineStr">
        <is>
          <t>Delhi NCR</t>
        </is>
      </c>
      <c r="J254" s="2" t="inlineStr">
        <is>
          <t>A — Emerging / High-potential</t>
        </is>
      </c>
      <c r="K254" s="2" t="inlineStr">
        <is>
          <t>Studio/team</t>
        </is>
      </c>
      <c r="L254" s="2" t="inlineStr">
        <is>
          <t>P0</t>
        </is>
      </c>
      <c r="M254" s="2" t="inlineStr">
        <is>
          <t>P0</t>
        </is>
      </c>
      <c r="N254" s="2" t="n">
        <v>68.2</v>
      </c>
      <c r="O254" s="2" t="n">
        <v>76</v>
      </c>
      <c r="P254" s="2" t="n">
        <v>56.7</v>
      </c>
      <c r="Q254" s="2" t="n">
        <v>62</v>
      </c>
      <c r="R254" s="2" t="n">
        <v>20</v>
      </c>
      <c r="S254" s="2" t="inlineStr">
        <is>
          <t>C3-PRO-SOCIAL</t>
        </is>
      </c>
      <c r="T254" s="2" t="inlineStr">
        <is>
          <t>1:1 Instagram DM from Uepaki professional account</t>
        </is>
      </c>
      <c r="U254" s="2" t="inlineStr">
        <is>
          <t>https://www.instagram.com/thenewriwaaz/</t>
        </is>
      </c>
      <c r="V254" s="2" t="inlineStr">
        <is>
          <t>2026-07 — WeddingSutra vendor profile last updated/published (page metadata)</t>
        </is>
      </c>
      <c r="W254" s="2" t="inlineStr">
        <is>
          <t>Services listed on WeddingSutra profile: wedding photography/films; price on request</t>
        </is>
      </c>
      <c r="X254" s="2" t="inlineStr">
        <is>
          <t>WeddingSutra (Vendor directory profile)</t>
        </is>
      </c>
      <c r="Y254" s="2" t="inlineStr">
        <is>
          <t>Readiness 68 (top 25% in category) | Commercial: Services listed on WeddingSutra profile: wedding photography/films; price on request | Active: 2026-07 — WeddingSutra vendor profile last updated/published (page me… | Independent/emerging tier — fame not a factor</t>
        </is>
      </c>
      <c r="Z254" s="2" t="inlineStr">
        <is>
          <t>Lead with a specific piece of content work. Content production as a professional service for clients; never follower language.</t>
        </is>
      </c>
      <c r="AA254" s="2" t="inlineStr">
        <is>
          <t>Already gets leads via own Instagram and wedding directories</t>
        </is>
      </c>
      <c r="AB254" s="2" t="inlineStr">
        <is>
          <t>Work via agencies/creator platforms; wants proof brands/clients are present</t>
        </is>
      </c>
      <c r="AC254" s="2" t="inlineStr">
        <is>
          <t>E05 channel/segment test (assign at wave start)</t>
        </is>
      </c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</row>
    <row r="255">
      <c r="A255" s="2" t="n">
        <v>254</v>
      </c>
      <c r="B255" s="2" t="inlineStr">
        <is>
          <t>Wave 2 — Category &amp; city expansion</t>
        </is>
      </c>
      <c r="C255" s="2" t="inlineStr">
        <is>
          <t>UPK2-CM-005</t>
        </is>
      </c>
      <c r="D255" s="2" t="inlineStr">
        <is>
          <t>Shaadi Stories</t>
        </is>
      </c>
      <c r="E255" s="2" t="inlineStr">
        <is>
          <t>Content &amp; Media</t>
        </is>
      </c>
      <c r="F255" s="2" t="inlineStr">
        <is>
          <t>CM-CONTENT-CREATOR</t>
        </is>
      </c>
      <c r="G255" s="2" t="inlineStr">
        <is>
          <t>Wedding &amp; Occasion</t>
        </is>
      </c>
      <c r="H255" s="2" t="inlineStr">
        <is>
          <t>Wedding content creation</t>
        </is>
      </c>
      <c r="I255" s="2" t="inlineStr">
        <is>
          <t>Delhi NCR</t>
        </is>
      </c>
      <c r="J255" s="2" t="inlineStr">
        <is>
          <t>A — Emerging / High-potential</t>
        </is>
      </c>
      <c r="K255" s="2" t="inlineStr">
        <is>
          <t>Studio/team</t>
        </is>
      </c>
      <c r="L255" s="2" t="inlineStr">
        <is>
          <t>P0</t>
        </is>
      </c>
      <c r="M255" s="2" t="inlineStr">
        <is>
          <t>P0</t>
        </is>
      </c>
      <c r="N255" s="2" t="n">
        <v>68.2</v>
      </c>
      <c r="O255" s="2" t="n">
        <v>76</v>
      </c>
      <c r="P255" s="2" t="n">
        <v>56.7</v>
      </c>
      <c r="Q255" s="2" t="n">
        <v>62</v>
      </c>
      <c r="R255" s="2" t="n">
        <v>20</v>
      </c>
      <c r="S255" s="2" t="inlineStr">
        <is>
          <t>C3-PRO-SOCIAL</t>
        </is>
      </c>
      <c r="T255" s="2" t="inlineStr">
        <is>
          <t>1:1 Instagram DM from Uepaki professional account</t>
        </is>
      </c>
      <c r="U255" s="2" t="inlineStr">
        <is>
          <t>https://www.instagram.com/shaaditories07?igsh=MTBmYnV0ZzAzZTA0cw%3D%3D&amp;utm_source=qr</t>
        </is>
      </c>
      <c r="V255" s="2" t="inlineStr">
        <is>
          <t>2026-06 — WeddingSutra vendor profile last updated/published (page metadata)</t>
        </is>
      </c>
      <c r="W255" s="2" t="inlineStr">
        <is>
          <t>Services listed on WeddingSutra profile: wedding photography/films; price on request</t>
        </is>
      </c>
      <c r="X255" s="2" t="inlineStr">
        <is>
          <t>WeddingSutra (Vendor directory profile)</t>
        </is>
      </c>
      <c r="Y255" s="2" t="inlineStr">
        <is>
          <t>Readiness 68 (top 25% in category) | Commercial: Services listed on WeddingSutra profile: wedding photography/films; price on request | Active: 2026-06 — WeddingSutra vendor profile last updated/published (page me… | Independent/emerging tier — fame not a factor</t>
        </is>
      </c>
      <c r="Z255" s="2" t="inlineStr">
        <is>
          <t>Lead with a specific piece of content work. Content production as a professional service for clients; never follower language.</t>
        </is>
      </c>
      <c r="AA255" s="2" t="inlineStr">
        <is>
          <t>Already gets leads via own Instagram and wedding directories</t>
        </is>
      </c>
      <c r="AB255" s="2" t="inlineStr">
        <is>
          <t>Work via agencies/creator platforms; wants proof brands/clients are present</t>
        </is>
      </c>
      <c r="AC255" s="2" t="inlineStr">
        <is>
          <t>E05 channel/segment test (assign at wave start)</t>
        </is>
      </c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</row>
    <row r="256">
      <c r="A256" s="2" t="n">
        <v>255</v>
      </c>
      <c r="B256" s="2" t="inlineStr">
        <is>
          <t>Wave 2 — Category &amp; city expansion</t>
        </is>
      </c>
      <c r="C256" s="2" t="inlineStr">
        <is>
          <t>UPK2-DV-001</t>
        </is>
      </c>
      <c r="D256" s="2" t="inlineStr">
        <is>
          <t>Janhavi Creates</t>
        </is>
      </c>
      <c r="E256" s="2" t="inlineStr">
        <is>
          <t>Digital &amp; Visual Arts</t>
        </is>
      </c>
      <c r="F256" s="2" t="inlineStr">
        <is>
          <t>DV-CALLIGRAPHY-STATIONERY</t>
        </is>
      </c>
      <c r="G256" s="2" t="inlineStr">
        <is>
          <t>Wedding &amp; Occasion</t>
        </is>
      </c>
      <c r="H256" s="2" t="inlineStr">
        <is>
          <t>Calligrapher &amp; onsite engraving artist</t>
        </is>
      </c>
      <c r="I256" s="2" t="inlineStr">
        <is>
          <t>Pune</t>
        </is>
      </c>
      <c r="J256" s="2" t="inlineStr">
        <is>
          <t>B — Established Independent</t>
        </is>
      </c>
      <c r="K256" s="2" t="inlineStr">
        <is>
          <t>Calligraphy/engraving studio</t>
        </is>
      </c>
      <c r="L256" s="2" t="inlineStr">
        <is>
          <t>P0</t>
        </is>
      </c>
      <c r="M256" s="2" t="inlineStr">
        <is>
          <t>P0</t>
        </is>
      </c>
      <c r="N256" s="2" t="n">
        <v>80.3</v>
      </c>
      <c r="O256" s="2" t="n">
        <v>100</v>
      </c>
      <c r="P256" s="2" t="n">
        <v>70.2</v>
      </c>
      <c r="Q256" s="2" t="n">
        <v>80</v>
      </c>
      <c r="R256" s="2" t="n">
        <v>30</v>
      </c>
      <c r="S256" s="2" t="inlineStr">
        <is>
          <t>C1-DIRECT-VERIFIED</t>
        </is>
      </c>
      <c r="T256" s="2" t="inlineStr">
        <is>
          <t>Personal 1:1 email from founder/team to published business email</t>
        </is>
      </c>
      <c r="U256" s="2" t="inlineStr">
        <is>
          <t>https://www.janhavicreates.com/contact</t>
        </is>
      </c>
      <c r="V256" s="2" t="inlineStr">
        <is>
          <t>2026 — site references 2026</t>
        </is>
      </c>
      <c r="W256" s="2" t="inlineStr">
        <is>
          <t>Site: 100+ events PAN India; weddings, corporate events, personalised gifting; order online</t>
        </is>
      </c>
      <c r="X256" s="2" t="inlineStr">
        <is>
          <t>Nibtique (Directory listing)</t>
        </is>
      </c>
      <c r="Y256" s="2" t="inlineStr">
        <is>
          <t>Readiness 80 (top 1% in category) | Commercial: Site: 100+ events PAN India; weddings, corporate events, personalised gifting; order onli… | Active: 2026 — site references 2026 | Independent/emerging tier — fame not a factor</t>
        </is>
      </c>
      <c r="Z256" s="2" t="inlineStr">
        <is>
          <t>Lead with a specific commission (stationery/engraving). Artists who sell both work and commissioned services.</t>
        </is>
      </c>
      <c r="AA256" s="2" t="inlineStr">
        <is>
          <t>Already sells direct online</t>
        </is>
      </c>
      <c r="AB256" s="2" t="inlineStr">
        <is>
          <t>Commission pricing control; IP of artwork; price pressure</t>
        </is>
      </c>
      <c r="AC256" s="2" t="inlineStr">
        <is>
          <t>E05 channel/segment test (assign at wave start)</t>
        </is>
      </c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</row>
    <row r="257">
      <c r="A257" s="2" t="n">
        <v>256</v>
      </c>
      <c r="B257" s="2" t="inlineStr">
        <is>
          <t>Wave 2 — Category &amp; city expansion</t>
        </is>
      </c>
      <c r="C257" s="2" t="inlineStr">
        <is>
          <t>UPK2-DV-019</t>
        </is>
      </c>
      <c r="D257" s="2" t="inlineStr">
        <is>
          <t>Chaitanya Modak</t>
        </is>
      </c>
      <c r="E257" s="2" t="inlineStr">
        <is>
          <t>Digital &amp; Visual Arts</t>
        </is>
      </c>
      <c r="F257" s="2" t="inlineStr">
        <is>
          <t>DV-ARTIST-ILLUSTRATOR</t>
        </is>
      </c>
      <c r="G257" s="2" t="inlineStr">
        <is>
          <t>Home &amp; Space</t>
        </is>
      </c>
      <c r="H257" s="2" t="inlineStr">
        <is>
          <t>Artist, curator &amp; exhibition maker (drawing, murals, participatory art)</t>
        </is>
      </c>
      <c r="I257" s="2" t="inlineStr">
        <is>
          <t>Pune</t>
        </is>
      </c>
      <c r="J257" s="2" t="inlineStr">
        <is>
          <t>B — Established Independent</t>
        </is>
      </c>
      <c r="K257" s="2" t="inlineStr">
        <is>
          <t>Independent artist</t>
        </is>
      </c>
      <c r="L257" s="2" t="inlineStr">
        <is>
          <t>P0</t>
        </is>
      </c>
      <c r="M257" s="2" t="inlineStr">
        <is>
          <t>P1</t>
        </is>
      </c>
      <c r="N257" s="2" t="n">
        <v>69.5</v>
      </c>
      <c r="O257" s="2" t="n">
        <v>64</v>
      </c>
      <c r="P257" s="2" t="n">
        <v>64.8</v>
      </c>
      <c r="Q257" s="2" t="n">
        <v>70</v>
      </c>
      <c r="R257" s="2" t="n">
        <v>45</v>
      </c>
      <c r="S257" s="2" t="inlineStr">
        <is>
          <t>C1-DIRECT-VERIFIED</t>
        </is>
      </c>
      <c r="T257" s="2" t="inlineStr">
        <is>
          <t>Personal 1:1 email from founder/team to published business email</t>
        </is>
      </c>
      <c r="U257" s="2" t="inlineStr">
        <is>
          <t>https://chaitanyamodak.com/</t>
        </is>
      </c>
      <c r="V257" s="2" t="inlineStr">
        <is>
          <t>2026 — DY Patil School of Design listed for 2026 (about page)</t>
        </is>
      </c>
      <c r="W257" s="2" t="inlineStr">
        <is>
          <t>Projects incl. Goethe-Institut/Max Mueller Bhavan Pune ('100 Years of Ernst Jandl'), Wenner-Gren-supported 'Goondool'; teaching at design schools through 2026</t>
        </is>
      </c>
      <c r="X257" s="2" t="inlineStr"/>
      <c r="Y257" s="2" t="inlineStr">
        <is>
          <t>Readiness 70 (top 37% in category) | Commercial: Projects incl. Goethe-Institut/Max Mueller Bhavan Pune ('100 Years of Ernst Jandl'), Wenn… | Active: 2026 — DY Patil School of Design listed for 2026 (about page) | Independent/emerging tier — fame not a factor</t>
        </is>
      </c>
      <c r="Z257" s="2" t="inlineStr">
        <is>
          <t>Lead with a specific work or series. Selling original work and commissions under their own name.</t>
        </is>
      </c>
      <c r="AA257" s="2" t="inlineStr">
        <is>
          <t>Institutional/social-practice focus</t>
        </is>
      </c>
      <c r="AB257" s="2" t="inlineStr">
        <is>
          <t>Commission pricing control; IP of artwork; price pressure</t>
        </is>
      </c>
      <c r="AC257" s="2" t="inlineStr">
        <is>
          <t>E05 channel/segment test (assign at wave start)</t>
        </is>
      </c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</row>
    <row r="258">
      <c r="A258" s="2" t="n">
        <v>257</v>
      </c>
      <c r="B258" s="2" t="inlineStr">
        <is>
          <t>Wave 2 — Category &amp; city expansion</t>
        </is>
      </c>
      <c r="C258" s="2" t="inlineStr">
        <is>
          <t>UPK2-DV-002</t>
        </is>
      </c>
      <c r="D258" s="2" t="inlineStr">
        <is>
          <t>Dream Pen Calligraphy</t>
        </is>
      </c>
      <c r="E258" s="2" t="inlineStr">
        <is>
          <t>Digital &amp; Visual Arts</t>
        </is>
      </c>
      <c r="F258" s="2" t="inlineStr">
        <is>
          <t>DV-CALLIGRAPHY-STATIONERY</t>
        </is>
      </c>
      <c r="G258" s="2" t="inlineStr">
        <is>
          <t>Wedding &amp; Occasion</t>
        </is>
      </c>
      <c r="H258" s="2" t="inlineStr">
        <is>
          <t>Calligraphy &amp; engraving artist</t>
        </is>
      </c>
      <c r="I258" s="2" t="inlineStr">
        <is>
          <t>Bengaluru</t>
        </is>
      </c>
      <c r="J258" s="2" t="inlineStr">
        <is>
          <t>A — Emerging / High-potential</t>
        </is>
      </c>
      <c r="K258" s="2" t="inlineStr">
        <is>
          <t>Calligraphy studio</t>
        </is>
      </c>
      <c r="L258" s="2" t="inlineStr">
        <is>
          <t>P0</t>
        </is>
      </c>
      <c r="M258" s="2" t="inlineStr">
        <is>
          <t>P0</t>
        </is>
      </c>
      <c r="N258" s="2" t="n">
        <v>79.90000000000001</v>
      </c>
      <c r="O258" s="2" t="n">
        <v>99</v>
      </c>
      <c r="P258" s="2" t="n">
        <v>64.8</v>
      </c>
      <c r="Q258" s="2" t="n">
        <v>73</v>
      </c>
      <c r="R258" s="2" t="n">
        <v>15</v>
      </c>
      <c r="S258" s="2" t="inlineStr">
        <is>
          <t>C1-DIRECT-VERIFIED</t>
        </is>
      </c>
      <c r="T258" s="2" t="inlineStr">
        <is>
          <t>Personal 1:1 email from founder/team to published business email</t>
        </is>
      </c>
      <c r="U258" s="2" t="inlineStr">
        <is>
          <t>https://www.dreampencalligraphy.com/contact</t>
        </is>
      </c>
      <c r="V258" s="2" t="inlineStr">
        <is>
          <t>2026 — site references 2026</t>
        </is>
      </c>
      <c r="W258" s="2" t="inlineStr">
        <is>
          <t>Made-to-order calligraphy, wedding stationery, onsite engraving; client testimonials; stated turnaround times</t>
        </is>
      </c>
      <c r="X258" s="2" t="inlineStr">
        <is>
          <t>Nibtique (Directory listing)</t>
        </is>
      </c>
      <c r="Y258" s="2" t="inlineStr">
        <is>
          <t>Readiness 80 (top 2% in category) | Commercial: Made-to-order calligraphy, wedding stationery, onsite engraving; client testimonials; sta… | Active: 2026 — site references 2026 | Independent/emerging tier — fame not a factor</t>
        </is>
      </c>
      <c r="Z258" s="2" t="inlineStr">
        <is>
          <t>Lead with a specific commission (stationery/engraving). Artists who sell both work and commissioned services.</t>
        </is>
      </c>
      <c r="AA258" s="2" t="inlineStr">
        <is>
          <t>Small capacity</t>
        </is>
      </c>
      <c r="AB258" s="2" t="inlineStr">
        <is>
          <t>Commission pricing control; IP of artwork; price pressure</t>
        </is>
      </c>
      <c r="AC258" s="2" t="inlineStr">
        <is>
          <t>E05 channel/segment test (assign at wave start)</t>
        </is>
      </c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</row>
    <row r="259">
      <c r="A259" s="2" t="n">
        <v>258</v>
      </c>
      <c r="B259" s="2" t="inlineStr">
        <is>
          <t>Wave 2 — Category &amp; city expansion</t>
        </is>
      </c>
      <c r="C259" s="2" t="inlineStr">
        <is>
          <t>UPK2-DV-032</t>
        </is>
      </c>
      <c r="D259" s="2" t="inlineStr">
        <is>
          <t>Osprey Invites</t>
        </is>
      </c>
      <c r="E259" s="2" t="inlineStr">
        <is>
          <t>Digital &amp; Visual Arts</t>
        </is>
      </c>
      <c r="F259" s="2" t="inlineStr">
        <is>
          <t>DV-CALLIGRAPHY-STATIONERY</t>
        </is>
      </c>
      <c r="G259" s="2" t="inlineStr">
        <is>
          <t>Wedding &amp; Occasion</t>
        </is>
      </c>
      <c r="H259" s="2" t="inlineStr">
        <is>
          <t>Bespoke digital invitations, stationery &amp; signage</t>
        </is>
      </c>
      <c r="I259" s="2" t="inlineStr">
        <is>
          <t>Mumbai</t>
        </is>
      </c>
      <c r="J259" s="2" t="inlineStr">
        <is>
          <t>A — Emerging / High-potential</t>
        </is>
      </c>
      <c r="K259" s="2" t="inlineStr">
        <is>
          <t>Event creative studio</t>
        </is>
      </c>
      <c r="L259" s="2" t="inlineStr">
        <is>
          <t>P0</t>
        </is>
      </c>
      <c r="M259" s="2" t="inlineStr">
        <is>
          <t>P0</t>
        </is>
      </c>
      <c r="N259" s="2" t="n">
        <v>78.5</v>
      </c>
      <c r="O259" s="2" t="n">
        <v>98</v>
      </c>
      <c r="P259" s="2" t="n">
        <v>62.4</v>
      </c>
      <c r="Q259" s="2" t="n">
        <v>67</v>
      </c>
      <c r="R259" s="2" t="n">
        <v>15</v>
      </c>
      <c r="S259" s="2" t="inlineStr">
        <is>
          <t>C1-DIRECT-VERIFIED</t>
        </is>
      </c>
      <c r="T259" s="2" t="inlineStr">
        <is>
          <t>Personal 1:1 email from founder/team to published business email</t>
        </is>
      </c>
      <c r="U259" s="2" t="inlineStr">
        <is>
          <t>https://ospreyinvites.com/pages/contact</t>
        </is>
      </c>
      <c r="V259" s="2" t="inlineStr">
        <is>
          <t>2026 — 'Now accepting bespoke projects for Winter 2026 &amp; 2027' (own site)</t>
        </is>
      </c>
      <c r="W259" s="2" t="inlineStr">
        <is>
          <t>Weddings and events; digital invitations, newspapers, signage</t>
        </is>
      </c>
      <c r="X259" s="2" t="inlineStr">
        <is>
          <t>WeddingSutra (vendor listing (Mumbai))</t>
        </is>
      </c>
      <c r="Y259" s="2" t="inlineStr">
        <is>
          <t>Readiness 78 (top 3% in category) | Commercial: Weddings and events; digital invitations, newspapers, signage | Active: 2026 — 'Now accepting bespoke projects for Winter 2026 &amp; 2027' (own s… | Independent/emerging tier — fame not a factor</t>
        </is>
      </c>
      <c r="Z259" s="2" t="inlineStr">
        <is>
          <t>Lead with a specific commission (stationery/engraving). Artists who sell both work and commissioned services.</t>
        </is>
      </c>
      <c r="AA259" s="2" t="inlineStr">
        <is>
          <t>Already on Behance/Fiverr/Upwork; fears price-undercutting and another profile to maintain.</t>
        </is>
      </c>
      <c r="AB259" s="2" t="inlineStr">
        <is>
          <t>Commission pricing control; IP of artwork; price pressure</t>
        </is>
      </c>
      <c r="AC259" s="2" t="inlineStr">
        <is>
          <t>E05 channel/segment test (assign at wave start)</t>
        </is>
      </c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</row>
    <row r="260">
      <c r="A260" s="2" t="n">
        <v>259</v>
      </c>
      <c r="B260" s="2" t="inlineStr">
        <is>
          <t>Wave 2 — Category &amp; city expansion</t>
        </is>
      </c>
      <c r="C260" s="2" t="inlineStr">
        <is>
          <t>UPK2-DV-029</t>
        </is>
      </c>
      <c r="D260" s="2" t="inlineStr">
        <is>
          <t>Haraay Design Studio</t>
        </is>
      </c>
      <c r="E260" s="2" t="inlineStr">
        <is>
          <t>Digital &amp; Visual Arts</t>
        </is>
      </c>
      <c r="F260" s="2" t="inlineStr">
        <is>
          <t>DV-DESIGN-STUDIO</t>
        </is>
      </c>
      <c r="G260" s="2" t="inlineStr">
        <is>
          <t>Brand &amp; Everyday Style</t>
        </is>
      </c>
      <c r="H260" s="2" t="inlineStr">
        <is>
          <t>Brand identity, web &amp; 3D design studio</t>
        </is>
      </c>
      <c r="I260" s="2" t="inlineStr">
        <is>
          <t>Pune</t>
        </is>
      </c>
      <c r="J260" s="2" t="inlineStr">
        <is>
          <t>A — Emerging / High-potential</t>
        </is>
      </c>
      <c r="K260" s="2" t="inlineStr">
        <is>
          <t>Independent design studio</t>
        </is>
      </c>
      <c r="L260" s="2" t="inlineStr">
        <is>
          <t>P0</t>
        </is>
      </c>
      <c r="M260" s="2" t="inlineStr">
        <is>
          <t>P0</t>
        </is>
      </c>
      <c r="N260" s="2" t="n">
        <v>77</v>
      </c>
      <c r="O260" s="2" t="n">
        <v>95</v>
      </c>
      <c r="P260" s="2" t="n">
        <v>64.09999999999999</v>
      </c>
      <c r="Q260" s="2" t="n">
        <v>72</v>
      </c>
      <c r="R260" s="2" t="n">
        <v>20</v>
      </c>
      <c r="S260" s="2" t="inlineStr">
        <is>
          <t>C1-DIRECT-VERIFIED</t>
        </is>
      </c>
      <c r="T260" s="2" t="inlineStr">
        <is>
          <t>Personal 1:1 email from founder/team to published business email</t>
        </is>
      </c>
      <c r="U260" s="2" t="inlineStr">
        <is>
          <t>https://www.haraaydesignstudio.com/</t>
        </is>
      </c>
      <c r="V260" s="2" t="inlineStr">
        <is>
          <t>2026 — site ©2026; subscription-based creative partnerships offered</t>
        </is>
      </c>
      <c r="W260" s="2" t="inlineStr">
        <is>
          <t>Brand identity, web, 3D design for brands</t>
        </is>
      </c>
      <c r="X260" s="2" t="inlineStr">
        <is>
          <t>fueler.io city listicle (listed (discovery seed only))</t>
        </is>
      </c>
      <c r="Y260" s="2" t="inlineStr">
        <is>
          <t>Readiness 77 (top 6% in category) | Commercial: Brand identity, web, 3D design for brands | Active: 2026 — site ©2026; subscription-based creative partnerships offered | Independent/emerging tier — fame not a factor</t>
        </is>
      </c>
      <c r="Z260" s="2" t="inlineStr">
        <is>
          <t>Lead with a specific identity/packaging project. Design services under the studio's own name; link to labels in the Brand pod.</t>
        </is>
      </c>
      <c r="AA260" s="2" t="inlineStr">
        <is>
          <t>Already on Behance/Fiverr/Upwork; fears price-undercutting and another profile to maintain.</t>
        </is>
      </c>
      <c r="AB260" s="2" t="inlineStr">
        <is>
          <t>Commission pricing control; IP of artwork; price pressure</t>
        </is>
      </c>
      <c r="AC260" s="2" t="inlineStr">
        <is>
          <t>E05 channel/segment test (assign at wave start)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</row>
    <row r="261">
      <c r="A261" s="2" t="n">
        <v>260</v>
      </c>
      <c r="B261" s="2" t="inlineStr">
        <is>
          <t>Wave 2 — Category &amp; city expansion</t>
        </is>
      </c>
      <c r="C261" s="2" t="inlineStr">
        <is>
          <t>UPK2-DV-016</t>
        </is>
      </c>
      <c r="D261" s="2" t="inlineStr">
        <is>
          <t>Art By Rachna</t>
        </is>
      </c>
      <c r="E261" s="2" t="inlineStr">
        <is>
          <t>Digital &amp; Visual Arts</t>
        </is>
      </c>
      <c r="F261" s="2" t="inlineStr">
        <is>
          <t>DV-CALLIGRAPHY-STATIONERY</t>
        </is>
      </c>
      <c r="G261" s="2" t="inlineStr">
        <is>
          <t>Wedding &amp; Occasion</t>
        </is>
      </c>
      <c r="H261" s="2" t="inlineStr">
        <is>
          <t>Contemporary artist (painting, mixed media); calligraphy/events</t>
        </is>
      </c>
      <c r="I261" s="2" t="inlineStr">
        <is>
          <t>Mumbai</t>
        </is>
      </c>
      <c r="J261" s="2" t="inlineStr">
        <is>
          <t>B — Established Independent</t>
        </is>
      </c>
      <c r="K261" s="2" t="inlineStr">
        <is>
          <t>Independent art practice</t>
        </is>
      </c>
      <c r="L261" s="2" t="inlineStr">
        <is>
          <t>P0</t>
        </is>
      </c>
      <c r="M261" s="2" t="inlineStr">
        <is>
          <t>P0</t>
        </is>
      </c>
      <c r="N261" s="2" t="n">
        <v>73.8</v>
      </c>
      <c r="O261" s="2" t="n">
        <v>85</v>
      </c>
      <c r="P261" s="2" t="n">
        <v>61.4</v>
      </c>
      <c r="Q261" s="2" t="n">
        <v>65</v>
      </c>
      <c r="R261" s="2" t="n">
        <v>25</v>
      </c>
      <c r="S261" s="2" t="inlineStr">
        <is>
          <t>C1-DIRECT-VERIFIED</t>
        </is>
      </c>
      <c r="T261" s="2" t="inlineStr">
        <is>
          <t>1:1 message via own-website contact form</t>
        </is>
      </c>
      <c r="U261" s="2" t="inlineStr">
        <is>
          <t>https://www.artbyrachna.com/contact</t>
        </is>
      </c>
      <c r="V261" s="2" t="inlineStr">
        <is>
          <t>2026 — site references 2026</t>
        </is>
      </c>
      <c r="W261" s="2" t="inlineStr">
        <is>
          <t>Original works and studio practice; dedicated enquiry email</t>
        </is>
      </c>
      <c r="X261" s="2" t="inlineStr"/>
      <c r="Y261" s="2" t="inlineStr">
        <is>
          <t>Readiness 74 (top 16% in category) | Commercial: Original works and studio practice; dedicated enquiry email | Active: 2026 — site references 2026 | Independent/emerging tier — fame not a factor</t>
        </is>
      </c>
      <c r="Z261" s="2" t="inlineStr">
        <is>
          <t>Lead with a specific commission (stationery/engraving). Artists who sell both work and commissioned services.</t>
        </is>
      </c>
      <c r="AA261" s="2" t="inlineStr">
        <is>
          <t>Already on Behance/Fiverr/Upwork; fears price-undercutting and another profile to maintain.</t>
        </is>
      </c>
      <c r="AB261" s="2" t="inlineStr">
        <is>
          <t>Commission pricing control; IP of artwork; price pressure</t>
        </is>
      </c>
      <c r="AC261" s="2" t="inlineStr">
        <is>
          <t>E05 channel/segment test (assign at wave start)</t>
        </is>
      </c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</row>
    <row r="262">
      <c r="A262" s="2" t="n">
        <v>261</v>
      </c>
      <c r="B262" s="2" t="inlineStr">
        <is>
          <t>Wave 2 — Category &amp; city expansion</t>
        </is>
      </c>
      <c r="C262" s="2" t="inlineStr">
        <is>
          <t>UPK2-DV-041</t>
        </is>
      </c>
      <c r="D262" s="2" t="inlineStr">
        <is>
          <t>Second Thought</t>
        </is>
      </c>
      <c r="E262" s="2" t="inlineStr">
        <is>
          <t>Digital &amp; Visual Arts</t>
        </is>
      </c>
      <c r="F262" s="2" t="inlineStr">
        <is>
          <t>DV-DESIGN-STUDIO</t>
        </is>
      </c>
      <c r="G262" s="2" t="inlineStr">
        <is>
          <t>Brand &amp; Everyday Style</t>
        </is>
      </c>
      <c r="H262" s="2" t="inlineStr">
        <is>
          <t>Design-led creative agency — UI/UX, brand identity, websites</t>
        </is>
      </c>
      <c r="I262" s="2" t="inlineStr">
        <is>
          <t>Pune</t>
        </is>
      </c>
      <c r="J262" s="2" t="inlineStr">
        <is>
          <t>B — Established Independent</t>
        </is>
      </c>
      <c r="K262" s="2" t="inlineStr">
        <is>
          <t>Independent design studio</t>
        </is>
      </c>
      <c r="L262" s="2" t="inlineStr">
        <is>
          <t>P0</t>
        </is>
      </c>
      <c r="M262" s="2" t="inlineStr">
        <is>
          <t>P1</t>
        </is>
      </c>
      <c r="N262" s="2" t="n">
        <v>74.5</v>
      </c>
      <c r="O262" s="2" t="n">
        <v>88</v>
      </c>
      <c r="P262" s="2" t="n">
        <v>63.2</v>
      </c>
      <c r="Q262" s="2" t="n">
        <v>73</v>
      </c>
      <c r="R262" s="2" t="n">
        <v>20</v>
      </c>
      <c r="S262" s="2" t="inlineStr">
        <is>
          <t>C1-DIRECT-VERIFIED</t>
        </is>
      </c>
      <c r="T262" s="2" t="inlineStr">
        <is>
          <t>Personal 1:1 email from founder/team to published business email</t>
        </is>
      </c>
      <c r="U262" s="2" t="inlineStr">
        <is>
          <t>https://secondthought.in/contact</t>
        </is>
      </c>
      <c r="V262" s="2" t="inlineStr">
        <is>
          <t>2026 — site ©2026</t>
        </is>
      </c>
      <c r="W262" s="2" t="inlineStr">
        <is>
          <t>UX/UI products, brand identity, websites</t>
        </is>
      </c>
      <c r="X262" s="2" t="inlineStr">
        <is>
          <t>fueler.io city listicle (listed (discovery seed only))</t>
        </is>
      </c>
      <c r="Y262" s="2" t="inlineStr">
        <is>
          <t>Readiness 74 (top 13% in category) | Commercial: UX/UI products, brand identity, websites | Active: 2026 — site ©2026 | Independent/emerging tier — fame not a factor</t>
        </is>
      </c>
      <c r="Z262" s="2" t="inlineStr">
        <is>
          <t>Lead with a specific identity/packaging project. Design services under the studio's own name; link to labels in the Brand pod.</t>
        </is>
      </c>
      <c r="AA262" s="2" t="inlineStr">
        <is>
          <t>Already on Behance/Fiverr/Upwork; fears price-undercutting and another profile to maintain.</t>
        </is>
      </c>
      <c r="AB262" s="2" t="inlineStr">
        <is>
          <t>Commission pricing control; IP of artwork; price pressure</t>
        </is>
      </c>
      <c r="AC262" s="2" t="inlineStr">
        <is>
          <t>E05 channel/segment test (assign at wave start)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</row>
    <row r="263">
      <c r="A263" s="2" t="n">
        <v>262</v>
      </c>
      <c r="B263" s="2" t="inlineStr">
        <is>
          <t>Wave 2 — Category &amp; city expansion</t>
        </is>
      </c>
      <c r="C263" s="2" t="inlineStr">
        <is>
          <t>UPK2-DV-060</t>
        </is>
      </c>
      <c r="D263" s="2" t="inlineStr">
        <is>
          <t>Black Brick</t>
        </is>
      </c>
      <c r="E263" s="2" t="inlineStr">
        <is>
          <t>Digital &amp; Visual Arts</t>
        </is>
      </c>
      <c r="F263" s="2" t="inlineStr">
        <is>
          <t>DV-DESIGN-STUDIO</t>
        </is>
      </c>
      <c r="G263" s="2" t="inlineStr">
        <is>
          <t>Brand &amp; Everyday Style</t>
        </is>
      </c>
      <c r="H263" s="2" t="inlineStr">
        <is>
          <t>Experience design &amp; brand films studio</t>
        </is>
      </c>
      <c r="I263" s="2" t="inlineStr">
        <is>
          <t>Mumbai</t>
        </is>
      </c>
      <c r="J263" s="2" t="inlineStr">
        <is>
          <t>B — Established Independent</t>
        </is>
      </c>
      <c r="K263" s="2" t="inlineStr">
        <is>
          <t>Independent creative studio</t>
        </is>
      </c>
      <c r="L263" s="2" t="inlineStr">
        <is>
          <t>P0</t>
        </is>
      </c>
      <c r="M263" s="2" t="inlineStr">
        <is>
          <t>P1</t>
        </is>
      </c>
      <c r="N263" s="2" t="n">
        <v>69.5</v>
      </c>
      <c r="O263" s="2" t="n">
        <v>64</v>
      </c>
      <c r="P263" s="2" t="n">
        <v>62.8</v>
      </c>
      <c r="Q263" s="2" t="n">
        <v>70</v>
      </c>
      <c r="R263" s="2" t="n">
        <v>35</v>
      </c>
      <c r="S263" s="2" t="inlineStr">
        <is>
          <t>C1-DIRECT-VERIFIED</t>
        </is>
      </c>
      <c r="T263" s="2" t="inlineStr">
        <is>
          <t>Personal 1:1 email from founder/team to published business email</t>
        </is>
      </c>
      <c r="U263" s="2" t="inlineStr">
        <is>
          <t>https://www.blackbrick.in/</t>
        </is>
      </c>
      <c r="V263" s="2" t="inlineStr">
        <is>
          <t>2026 — Kyoorius Design Awards 2026 entrant (KDA gallery); site shows projects for Kalpataru, Godrej, Hiranandani</t>
        </is>
      </c>
      <c r="W263" s="2" t="inlineStr">
        <is>
          <t>Real-estate and corporate clients listed: Kalpataru, Godrej Properties, House of Hiranandani, K Raheja, WPP</t>
        </is>
      </c>
      <c r="X263" s="2" t="inlineStr">
        <is>
          <t>Kyoorius Design Awards (2026 entrant)</t>
        </is>
      </c>
      <c r="Y263" s="2" t="inlineStr">
        <is>
          <t>Readiness 70 (top 37% in category) | Commercial: Real-estate and corporate clients listed: Kalpataru, Godrej Properties, House of Hiranand… | Active: 2026 — Kyoorius Design Awards 2026 entrant (KDA gallery); site shows… | Independent/emerging tier — fame not a factor</t>
        </is>
      </c>
      <c r="Z263" s="2" t="inlineStr">
        <is>
          <t>Lead with a specific identity/packaging project. Design services under the studio's own name; link to labels in the Brand pod.</t>
        </is>
      </c>
      <c r="AA263" s="2" t="inlineStr">
        <is>
          <t>B2B real-estate focus; may not see consumer-discovery value</t>
        </is>
      </c>
      <c r="AB263" s="2" t="inlineStr">
        <is>
          <t>Commission pricing control; IP of artwork; price pressure</t>
        </is>
      </c>
      <c r="AC263" s="2" t="inlineStr">
        <is>
          <t>E05 channel/segment test (assign at wave start)</t>
        </is>
      </c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</row>
    <row r="264">
      <c r="A264" s="2" t="n">
        <v>263</v>
      </c>
      <c r="B264" s="2" t="inlineStr">
        <is>
          <t>Wave 2 — Category &amp; city expansion</t>
        </is>
      </c>
      <c r="C264" s="2" t="inlineStr">
        <is>
          <t>UPK2-DV-045</t>
        </is>
      </c>
      <c r="D264" s="2" t="inlineStr">
        <is>
          <t>Mellow Designs</t>
        </is>
      </c>
      <c r="E264" s="2" t="inlineStr">
        <is>
          <t>Digital &amp; Visual Arts</t>
        </is>
      </c>
      <c r="F264" s="2" t="inlineStr">
        <is>
          <t>DV-DESIGN-STUDIO</t>
        </is>
      </c>
      <c r="G264" s="2" t="inlineStr">
        <is>
          <t>Brand &amp; Everyday Style</t>
        </is>
      </c>
      <c r="H264" s="2" t="inlineStr">
        <is>
          <t>Branding &amp; UI/UX design studio</t>
        </is>
      </c>
      <c r="I264" s="2" t="inlineStr">
        <is>
          <t>Bengaluru</t>
        </is>
      </c>
      <c r="J264" s="2" t="inlineStr">
        <is>
          <t>B — Established Independent</t>
        </is>
      </c>
      <c r="K264" s="2" t="inlineStr">
        <is>
          <t>Independent design studio</t>
        </is>
      </c>
      <c r="L264" s="2" t="inlineStr">
        <is>
          <t>P0</t>
        </is>
      </c>
      <c r="M264" s="2" t="inlineStr">
        <is>
          <t>P1</t>
        </is>
      </c>
      <c r="N264" s="2" t="n">
        <v>73.7</v>
      </c>
      <c r="O264" s="2" t="n">
        <v>83</v>
      </c>
      <c r="P264" s="2" t="n">
        <v>62.2</v>
      </c>
      <c r="Q264" s="2" t="n">
        <v>71</v>
      </c>
      <c r="R264" s="2" t="n">
        <v>20</v>
      </c>
      <c r="S264" s="2" t="inlineStr">
        <is>
          <t>C1-DIRECT-VERIFIED</t>
        </is>
      </c>
      <c r="T264" s="2" t="inlineStr">
        <is>
          <t>Personal 1:1 email from founder/team to published business email</t>
        </is>
      </c>
      <c r="U264" s="2" t="inlineStr">
        <is>
          <t>https://www.mellowdesigns.co/</t>
        </is>
      </c>
      <c r="V264" s="2" t="inlineStr">
        <is>
          <t>2026 — site ©2026</t>
        </is>
      </c>
      <c r="W264" s="2" t="inlineStr">
        <is>
          <t>Brand and business design projects</t>
        </is>
      </c>
      <c r="X264" s="2" t="inlineStr">
        <is>
          <t>fueler.io city listicle (listed (discovery seed only))</t>
        </is>
      </c>
      <c r="Y264" s="2" t="inlineStr">
        <is>
          <t>Readiness 74 (top 18% in category) | Commercial: Brand and business design projects | Active: 2026 — site ©2026 | Independent/emerging tier — fame not a factor</t>
        </is>
      </c>
      <c r="Z264" s="2" t="inlineStr">
        <is>
          <t>Lead with a specific identity/packaging project. Design services under the studio's own name; link to labels in the Brand pod.</t>
        </is>
      </c>
      <c r="AA264" s="2" t="inlineStr">
        <is>
          <t>Already on Behance/Fiverr/Upwork; fears price-undercutting and another profile to maintain.</t>
        </is>
      </c>
      <c r="AB264" s="2" t="inlineStr">
        <is>
          <t>Commission pricing control; IP of artwork; price pressure</t>
        </is>
      </c>
      <c r="AC264" s="2" t="inlineStr">
        <is>
          <t>E05 channel/segment test (assign at wave start)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</row>
    <row r="265">
      <c r="A265" s="2" t="n">
        <v>264</v>
      </c>
      <c r="B265" s="2" t="inlineStr">
        <is>
          <t>Wave 2 — Category &amp; city expansion</t>
        </is>
      </c>
      <c r="C265" s="2" t="inlineStr">
        <is>
          <t>UPK2-DV-011</t>
        </is>
      </c>
      <c r="D265" s="2" t="inlineStr">
        <is>
          <t>Moulik Studios</t>
        </is>
      </c>
      <c r="E265" s="2" t="inlineStr">
        <is>
          <t>Digital &amp; Visual Arts</t>
        </is>
      </c>
      <c r="F265" s="2" t="inlineStr">
        <is>
          <t>DV-ARTIST-ILLUSTRATOR</t>
        </is>
      </c>
      <c r="G265" s="2" t="inlineStr">
        <is>
          <t>Home &amp; Space</t>
        </is>
      </c>
      <c r="H265" s="2" t="inlineStr">
        <is>
          <t>Artist / painter taking commissions</t>
        </is>
      </c>
      <c r="I265" s="2" t="inlineStr">
        <is>
          <t>Pune</t>
        </is>
      </c>
      <c r="J265" s="2" t="inlineStr">
        <is>
          <t>A — Emerging / High-potential</t>
        </is>
      </c>
      <c r="K265" s="2" t="inlineStr">
        <is>
          <t>Independent artist</t>
        </is>
      </c>
      <c r="L265" s="2" t="inlineStr">
        <is>
          <t>P0</t>
        </is>
      </c>
      <c r="M265" s="2" t="inlineStr">
        <is>
          <t>P0</t>
        </is>
      </c>
      <c r="N265" s="2" t="n">
        <v>73.8</v>
      </c>
      <c r="O265" s="2" t="n">
        <v>85</v>
      </c>
      <c r="P265" s="2" t="n">
        <v>58.9</v>
      </c>
      <c r="Q265" s="2" t="n">
        <v>60</v>
      </c>
      <c r="R265" s="2" t="n">
        <v>20</v>
      </c>
      <c r="S265" s="2" t="inlineStr">
        <is>
          <t>C1-DIRECT-VERIFIED</t>
        </is>
      </c>
      <c r="T265" s="2" t="inlineStr">
        <is>
          <t>1:1 message via own-website contact form</t>
        </is>
      </c>
      <c r="U265" s="2" t="inlineStr">
        <is>
          <t>https://debangshumoulik.com/contact</t>
        </is>
      </c>
      <c r="V265" s="2" t="inlineStr">
        <is>
          <t>2026 — site copyright 2026 (debangshumoulik.com)</t>
        </is>
      </c>
      <c r="W265" s="2" t="inlineStr">
        <is>
          <t>About page invites commission and collaboration inquiries and lists commissions/clients</t>
        </is>
      </c>
      <c r="X265" s="2" t="inlineStr"/>
      <c r="Y265" s="2" t="inlineStr">
        <is>
          <t>Readiness 74 (top 16% in category) | Commercial: About page invites commission and collaboration inquiries and lists commissions/clients | Active: 2026 — site copyright 2026 (debangshumoulik.com) | Independent/emerging tier — fame not a factor</t>
        </is>
      </c>
      <c r="Z265" s="2" t="inlineStr">
        <is>
          <t>Lead with a specific work or series. Selling original work and commissions under their own name.</t>
        </is>
      </c>
      <c r="AA265" s="2" t="inlineStr">
        <is>
          <t>Early-career, may prioritise gallery/Instagram sales</t>
        </is>
      </c>
      <c r="AB265" s="2" t="inlineStr">
        <is>
          <t>Commission pricing control; IP of artwork; price pressure</t>
        </is>
      </c>
      <c r="AC265" s="2" t="inlineStr">
        <is>
          <t>E05 channel/segment test (assign at wave start)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</row>
    <row r="266">
      <c r="A266" s="2" t="n">
        <v>265</v>
      </c>
      <c r="B266" s="2" t="inlineStr">
        <is>
          <t>Wave 2 — Category &amp; city expansion</t>
        </is>
      </c>
      <c r="C266" s="2" t="inlineStr">
        <is>
          <t>UPK2-DV-070</t>
        </is>
      </c>
      <c r="D266" s="2" t="inlineStr">
        <is>
          <t>Aura Design Company</t>
        </is>
      </c>
      <c r="E266" s="2" t="inlineStr">
        <is>
          <t>Digital &amp; Visual Arts</t>
        </is>
      </c>
      <c r="F266" s="2" t="inlineStr">
        <is>
          <t>DV-CALLIGRAPHY-STATIONERY</t>
        </is>
      </c>
      <c r="G266" s="2" t="inlineStr">
        <is>
          <t>Wedding &amp; Occasion</t>
        </is>
      </c>
      <c r="H266" s="2" t="inlineStr">
        <is>
          <t>Bespoke &amp; personalised stationery design</t>
        </is>
      </c>
      <c r="I266" s="2" t="inlineStr">
        <is>
          <t>Chennai</t>
        </is>
      </c>
      <c r="J266" s="2" t="inlineStr">
        <is>
          <t>B — Established Independent</t>
        </is>
      </c>
      <c r="K266" s="2" t="inlineStr">
        <is>
          <t>Stationery design studio / shop</t>
        </is>
      </c>
      <c r="L266" s="2" t="inlineStr">
        <is>
          <t>P0</t>
        </is>
      </c>
      <c r="M266" s="2" t="inlineStr">
        <is>
          <t>P1</t>
        </is>
      </c>
      <c r="N266" s="2" t="n">
        <v>72.40000000000001</v>
      </c>
      <c r="O266" s="2" t="n">
        <v>74</v>
      </c>
      <c r="P266" s="2" t="n">
        <v>60</v>
      </c>
      <c r="Q266" s="2" t="n">
        <v>66</v>
      </c>
      <c r="R266" s="2" t="n">
        <v>20</v>
      </c>
      <c r="S266" s="2" t="inlineStr">
        <is>
          <t>C1-DIRECT-VERIFIED</t>
        </is>
      </c>
      <c r="T266" s="2" t="inlineStr">
        <is>
          <t>Personal 1:1 email from founder/team to published business email</t>
        </is>
      </c>
      <c r="U266" s="2" t="inlineStr">
        <is>
          <t>https://auradesigns.co/</t>
        </is>
      </c>
      <c r="V266" s="2" t="inlineStr">
        <is>
          <t>2026 — active online store with design collections (own site)</t>
        </is>
      </c>
      <c r="W266" s="2" t="inlineStr">
        <is>
          <t>Direct-to-consumer bespoke stationery</t>
        </is>
      </c>
      <c r="X266" s="2" t="inlineStr">
        <is>
          <t>WeddingSutra (vendor listing (Chennai))</t>
        </is>
      </c>
      <c r="Y266" s="2" t="inlineStr">
        <is>
          <t>Readiness 72 (top 27% in category) | Commercial: Direct-to-consumer bespoke stationery | Active: 2026 — active online store with design collections (own site) | Independent/emerging tier — fame not a factor</t>
        </is>
      </c>
      <c r="Z266" s="2" t="inlineStr">
        <is>
          <t>Lead with a specific commission (stationery/engraving). Artists who sell both work and commissioned services.</t>
        </is>
      </c>
      <c r="AA266" s="2" t="inlineStr">
        <is>
          <t>Product-shop model rather than commissions</t>
        </is>
      </c>
      <c r="AB266" s="2" t="inlineStr">
        <is>
          <t>Commission pricing control; IP of artwork; price pressure</t>
        </is>
      </c>
      <c r="AC266" s="2" t="inlineStr">
        <is>
          <t>E05 channel/segment test (assign at wave start)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</row>
    <row r="267">
      <c r="A267" s="2" t="n">
        <v>266</v>
      </c>
      <c r="B267" s="2" t="inlineStr">
        <is>
          <t>Wave 2 — Category &amp; city expansion</t>
        </is>
      </c>
      <c r="C267" s="2" t="inlineStr">
        <is>
          <t>UPK2-DV-009</t>
        </is>
      </c>
      <c r="D267" s="2" t="inlineStr">
        <is>
          <t>Studio Berõ Jaipur</t>
        </is>
      </c>
      <c r="E267" s="2" t="inlineStr">
        <is>
          <t>Digital &amp; Visual Arts</t>
        </is>
      </c>
      <c r="F267" s="2" t="inlineStr">
        <is>
          <t>DV-ARTIST-ILLUSTRATOR</t>
        </is>
      </c>
      <c r="G267" s="2" t="inlineStr">
        <is>
          <t>Home &amp; Space</t>
        </is>
      </c>
      <c r="H267" s="2" t="inlineStr">
        <is>
          <t>Craft &amp; art workshop studio (miniature painting, block printing, blue pottery)</t>
        </is>
      </c>
      <c r="I267" s="2" t="inlineStr">
        <is>
          <t>Jaipur</t>
        </is>
      </c>
      <c r="J267" s="2" t="inlineStr">
        <is>
          <t>A — Emerging / High-potential</t>
        </is>
      </c>
      <c r="K267" s="2" t="inlineStr">
        <is>
          <t>Workshop studio</t>
        </is>
      </c>
      <c r="L267" s="2" t="inlineStr">
        <is>
          <t>P0</t>
        </is>
      </c>
      <c r="M267" s="2" t="inlineStr">
        <is>
          <t>P0</t>
        </is>
      </c>
      <c r="N267" s="2" t="n">
        <v>73.3</v>
      </c>
      <c r="O267" s="2" t="n">
        <v>81</v>
      </c>
      <c r="P267" s="2" t="n">
        <v>57.6</v>
      </c>
      <c r="Q267" s="2" t="n">
        <v>63</v>
      </c>
      <c r="R267" s="2" t="n">
        <v>10</v>
      </c>
      <c r="S267" s="2" t="inlineStr">
        <is>
          <t>C1-DIRECT-VERIFIED</t>
        </is>
      </c>
      <c r="T267" s="2" t="inlineStr">
        <is>
          <t>Personal 1:1 email from founder/team to published business email</t>
        </is>
      </c>
      <c r="U267" s="2" t="inlineStr">
        <is>
          <t>https://studioberojaipur.com/pages/contact-us</t>
        </is>
      </c>
      <c r="V267" s="2" t="inlineStr">
        <is>
          <t>2026 — booking site live</t>
        </is>
      </c>
      <c r="W267" s="2" t="inlineStr">
        <is>
          <t>Bookable paid workshops: miniature painting, block printing, blue pottery, lac bangles, old city walk (pre-booking)</t>
        </is>
      </c>
      <c r="X267" s="2" t="inlineStr"/>
      <c r="Y267" s="2" t="inlineStr">
        <is>
          <t>Readiness 73 (top 20% in category) | Commercial: Bookable paid workshops: miniature painting, block printing, blue pottery, lac bangles, o… | Active: 2026 — booking site live | Independent/emerging tier — fame not a factor</t>
        </is>
      </c>
      <c r="Z267" s="2" t="inlineStr">
        <is>
          <t>Lead with a specific work or series. Selling original work and commissions under their own name.</t>
        </is>
      </c>
      <c r="AA267" s="2" t="inlineStr">
        <is>
          <t>Tourist-experience focus rather than commissions</t>
        </is>
      </c>
      <c r="AB267" s="2" t="inlineStr">
        <is>
          <t>Commission pricing control; IP of artwork; price pressure</t>
        </is>
      </c>
      <c r="AC267" s="2" t="inlineStr">
        <is>
          <t>E05 channel/segment test (assign at wave start)</t>
        </is>
      </c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</row>
    <row r="268">
      <c r="A268" s="2" t="n">
        <v>267</v>
      </c>
      <c r="B268" s="2" t="inlineStr">
        <is>
          <t>Wave 2 — Category &amp; city expansion</t>
        </is>
      </c>
      <c r="C268" s="2" t="inlineStr">
        <is>
          <t>UPK2-DV-054</t>
        </is>
      </c>
      <c r="D268" s="2" t="inlineStr">
        <is>
          <t>PopWorks Designs</t>
        </is>
      </c>
      <c r="E268" s="2" t="inlineStr">
        <is>
          <t>Digital &amp; Visual Arts</t>
        </is>
      </c>
      <c r="F268" s="2" t="inlineStr">
        <is>
          <t>DV-DESIGN-STUDIO</t>
        </is>
      </c>
      <c r="G268" s="2" t="inlineStr">
        <is>
          <t>Brand &amp; Everyday Style</t>
        </is>
      </c>
      <c r="H268" s="2" t="inlineStr">
        <is>
          <t>Branding &amp; packaging design studio</t>
        </is>
      </c>
      <c r="I268" s="2" t="inlineStr">
        <is>
          <t>Pune</t>
        </is>
      </c>
      <c r="J268" s="2" t="inlineStr">
        <is>
          <t>B — Established Independent</t>
        </is>
      </c>
      <c r="K268" s="2" t="inlineStr">
        <is>
          <t>Independent design studio</t>
        </is>
      </c>
      <c r="L268" s="2" t="inlineStr">
        <is>
          <t>P0</t>
        </is>
      </c>
      <c r="M268" s="2" t="inlineStr">
        <is>
          <t>P1</t>
        </is>
      </c>
      <c r="N268" s="2" t="n">
        <v>71.3</v>
      </c>
      <c r="O268" s="2" t="n">
        <v>69</v>
      </c>
      <c r="P268" s="2" t="n">
        <v>59.4</v>
      </c>
      <c r="Q268" s="2" t="n">
        <v>69</v>
      </c>
      <c r="R268" s="2" t="n">
        <v>15</v>
      </c>
      <c r="S268" s="2" t="inlineStr">
        <is>
          <t>C1-DIRECT-VERIFIED</t>
        </is>
      </c>
      <c r="T268" s="2" t="inlineStr">
        <is>
          <t>Personal 1:1 email from founder/team to published business email</t>
        </is>
      </c>
      <c r="U268" s="2" t="inlineStr">
        <is>
          <t>https://popworksdesigns.com/contact/</t>
        </is>
      </c>
      <c r="V268" s="2" t="inlineStr">
        <is>
          <t>2026 — site ©2026</t>
        </is>
      </c>
      <c r="W268" s="2" t="inlineStr">
        <is>
          <t>Branding, packaging, graphics, photography</t>
        </is>
      </c>
      <c r="X268" s="2" t="inlineStr">
        <is>
          <t>fueler.io city listicle (listed (discovery seed only))</t>
        </is>
      </c>
      <c r="Y268" s="2" t="inlineStr">
        <is>
          <t>Readiness 71 (top 32% in category) | Commercial: Branding, packaging, graphics, photography | Active: 2026 — site ©2026 | Independent/emerging tier — fame not a factor</t>
        </is>
      </c>
      <c r="Z268" s="2" t="inlineStr">
        <is>
          <t>Lead with a specific identity/packaging project. Design services under the studio's own name; link to labels in the Brand pod.</t>
        </is>
      </c>
      <c r="AA268" s="2" t="inlineStr">
        <is>
          <t>Already on Behance/Fiverr/Upwork; fears price-undercutting and another profile to maintain.</t>
        </is>
      </c>
      <c r="AB268" s="2" t="inlineStr">
        <is>
          <t>Commission pricing control; IP of artwork; price pressure</t>
        </is>
      </c>
      <c r="AC268" s="2" t="inlineStr">
        <is>
          <t>E05 channel/segment test (assign at wave start)</t>
        </is>
      </c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</row>
    <row r="269">
      <c r="A269" s="2" t="n">
        <v>268</v>
      </c>
      <c r="B269" s="2" t="inlineStr">
        <is>
          <t>Wave 2 — Category &amp; city expansion</t>
        </is>
      </c>
      <c r="C269" s="2" t="inlineStr">
        <is>
          <t>UPK2-DV-056</t>
        </is>
      </c>
      <c r="D269" s="2" t="inlineStr">
        <is>
          <t>Maitri Designs</t>
        </is>
      </c>
      <c r="E269" s="2" t="inlineStr">
        <is>
          <t>Digital &amp; Visual Arts</t>
        </is>
      </c>
      <c r="F269" s="2" t="inlineStr">
        <is>
          <t>DV-DESIGN-STUDIO</t>
        </is>
      </c>
      <c r="G269" s="2" t="inlineStr">
        <is>
          <t>Brand &amp; Everyday Style</t>
        </is>
      </c>
      <c r="H269" s="2" t="inlineStr">
        <is>
          <t>Graphic &amp; web design studio</t>
        </is>
      </c>
      <c r="I269" s="2" t="inlineStr">
        <is>
          <t>Pune</t>
        </is>
      </c>
      <c r="J269" s="2" t="inlineStr">
        <is>
          <t>A — Emerging / High-potential</t>
        </is>
      </c>
      <c r="K269" s="2" t="inlineStr">
        <is>
          <t>Independent design studio</t>
        </is>
      </c>
      <c r="L269" s="2" t="inlineStr">
        <is>
          <t>P0</t>
        </is>
      </c>
      <c r="M269" s="2" t="inlineStr">
        <is>
          <t>P0</t>
        </is>
      </c>
      <c r="N269" s="2" t="n">
        <v>71.7</v>
      </c>
      <c r="O269" s="2" t="n">
        <v>71</v>
      </c>
      <c r="P269" s="2" t="n">
        <v>57</v>
      </c>
      <c r="Q269" s="2" t="n">
        <v>64</v>
      </c>
      <c r="R269" s="2" t="n">
        <v>10</v>
      </c>
      <c r="S269" s="2" t="inlineStr">
        <is>
          <t>C1-DIRECT-VERIFIED</t>
        </is>
      </c>
      <c r="T269" s="2" t="inlineStr">
        <is>
          <t>Personal 1:1 email from founder/team to published business email</t>
        </is>
      </c>
      <c r="U269" s="2" t="inlineStr">
        <is>
          <t>https://maitridesigns.com/</t>
        </is>
      </c>
      <c r="V269" s="2" t="inlineStr">
        <is>
          <t>2026 — site ©2026</t>
        </is>
      </c>
      <c r="W269" s="2" t="inlineStr">
        <is>
          <t>Websites, print reports, brand identity</t>
        </is>
      </c>
      <c r="X269" s="2" t="inlineStr">
        <is>
          <t>fueler.io city listicle (listed (discovery seed only))</t>
        </is>
      </c>
      <c r="Y269" s="2" t="inlineStr">
        <is>
          <t>Readiness 72 (top 30% in category) | Commercial: Websites, print reports, brand identity | Active: 2026 — site ©2026 | Independent/emerging tier — fame not a factor</t>
        </is>
      </c>
      <c r="Z269" s="2" t="inlineStr">
        <is>
          <t>Lead with a specific identity/packaging project. Design services under the studio's own name; link to labels in the Brand pod.</t>
        </is>
      </c>
      <c r="AA269" s="2" t="inlineStr">
        <is>
          <t>Already on Behance/Fiverr/Upwork; fears price-undercutting and another profile to maintain.</t>
        </is>
      </c>
      <c r="AB269" s="2" t="inlineStr">
        <is>
          <t>Commission pricing control; IP of artwork; price pressure</t>
        </is>
      </c>
      <c r="AC269" s="2" t="inlineStr">
        <is>
          <t>E05 channel/segment test (assign at wave start)</t>
        </is>
      </c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</row>
    <row r="270">
      <c r="A270" s="2" t="n">
        <v>269</v>
      </c>
      <c r="B270" s="2" t="inlineStr">
        <is>
          <t>Wave 2 — Category &amp; city expansion</t>
        </is>
      </c>
      <c r="C270" s="2" t="inlineStr">
        <is>
          <t>UPK2-DV-059</t>
        </is>
      </c>
      <c r="D270" s="2" t="inlineStr">
        <is>
          <t>Paper &amp; Pixel</t>
        </is>
      </c>
      <c r="E270" s="2" t="inlineStr">
        <is>
          <t>Digital &amp; Visual Arts</t>
        </is>
      </c>
      <c r="F270" s="2" t="inlineStr">
        <is>
          <t>DV-CALLIGRAPHY-STATIONERY</t>
        </is>
      </c>
      <c r="G270" s="2" t="inlineStr">
        <is>
          <t>Wedding &amp; Occasion</t>
        </is>
      </c>
      <c r="H270" s="2" t="inlineStr">
        <is>
          <t>Custom invitations &amp; luxury stationery</t>
        </is>
      </c>
      <c r="I270" s="2" t="inlineStr">
        <is>
          <t>Bengaluru</t>
        </is>
      </c>
      <c r="J270" s="2" t="inlineStr">
        <is>
          <t>A — Emerging / High-potential</t>
        </is>
      </c>
      <c r="K270" s="2" t="inlineStr">
        <is>
          <t>Stationery design studio / shop</t>
        </is>
      </c>
      <c r="L270" s="2" t="inlineStr">
        <is>
          <t>P0</t>
        </is>
      </c>
      <c r="M270" s="2" t="inlineStr">
        <is>
          <t>P1</t>
        </is>
      </c>
      <c r="N270" s="2" t="n">
        <v>72.5</v>
      </c>
      <c r="O270" s="2" t="n">
        <v>76</v>
      </c>
      <c r="P270" s="2" t="n">
        <v>58.2</v>
      </c>
      <c r="Q270" s="2" t="n">
        <v>63</v>
      </c>
      <c r="R270" s="2" t="n">
        <v>15</v>
      </c>
      <c r="S270" s="2" t="inlineStr">
        <is>
          <t>C1-DIRECT-VERIFIED</t>
        </is>
      </c>
      <c r="T270" s="2" t="inlineStr">
        <is>
          <t>Personal 1:1 email from founder/team to published business email</t>
        </is>
      </c>
      <c r="U270" s="2" t="inlineStr">
        <is>
          <t>https://paperandpixel.in/pages/contact</t>
        </is>
      </c>
      <c r="V270" s="2" t="inlineStr">
        <is>
          <t>2026 — active online store (own site)</t>
        </is>
      </c>
      <c r="W270" s="2" t="inlineStr">
        <is>
          <t>Custom invitations, gifting stationery</t>
        </is>
      </c>
      <c r="X270" s="2" t="inlineStr">
        <is>
          <t>WeddingSutra (vendor listing (Bangalore))</t>
        </is>
      </c>
      <c r="Y270" s="2" t="inlineStr">
        <is>
          <t>Readiness 72 (top 25% in category) | Commercial: Custom invitations, gifting stationery | Active: 2026 — active online store (own site) | Independent/emerging tier — fame not a factor</t>
        </is>
      </c>
      <c r="Z270" s="2" t="inlineStr">
        <is>
          <t>Lead with a specific commission (stationery/engraving). Artists who sell both work and commissioned services.</t>
        </is>
      </c>
      <c r="AA270" s="2" t="inlineStr">
        <is>
          <t>Product-shop model</t>
        </is>
      </c>
      <c r="AB270" s="2" t="inlineStr">
        <is>
          <t>Commission pricing control; IP of artwork; price pressure</t>
        </is>
      </c>
      <c r="AC270" s="2" t="inlineStr">
        <is>
          <t>E05 channel/segment test (assign at wave start)</t>
        </is>
      </c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</row>
    <row r="271">
      <c r="A271" s="2" t="n">
        <v>270</v>
      </c>
      <c r="B271" s="2" t="inlineStr">
        <is>
          <t>Wave 2 — Category &amp; city expansion</t>
        </is>
      </c>
      <c r="C271" s="2" t="inlineStr">
        <is>
          <t>UPK2-DV-008</t>
        </is>
      </c>
      <c r="D271" s="2" t="inlineStr">
        <is>
          <t>Alicia Souza</t>
        </is>
      </c>
      <c r="E271" s="2" t="inlineStr">
        <is>
          <t>Digital &amp; Visual Arts</t>
        </is>
      </c>
      <c r="F271" s="2" t="inlineStr">
        <is>
          <t>DV-ARTIST-ILLUSTRATOR</t>
        </is>
      </c>
      <c r="G271" s="2" t="inlineStr">
        <is>
          <t>Home &amp; Space</t>
        </is>
      </c>
      <c r="H271" s="2" t="inlineStr">
        <is>
          <t>Illustrator with product store</t>
        </is>
      </c>
      <c r="I271" s="2" t="inlineStr">
        <is>
          <t>Bengaluru</t>
        </is>
      </c>
      <c r="J271" s="2" t="inlineStr">
        <is>
          <t>C — Strong Mid-tier</t>
        </is>
      </c>
      <c r="K271" s="2" t="inlineStr">
        <is>
          <t>Illustrator-led D2C store</t>
        </is>
      </c>
      <c r="L271" s="2" t="inlineStr">
        <is>
          <t>P0</t>
        </is>
      </c>
      <c r="M271" s="2" t="inlineStr">
        <is>
          <t>P1</t>
        </is>
      </c>
      <c r="N271" s="2" t="n">
        <v>74.40000000000001</v>
      </c>
      <c r="O271" s="2" t="n">
        <v>87</v>
      </c>
      <c r="P271" s="2" t="n">
        <v>74.8</v>
      </c>
      <c r="Q271" s="2" t="n">
        <v>82</v>
      </c>
      <c r="R271" s="2" t="n">
        <v>65</v>
      </c>
      <c r="S271" s="2" t="inlineStr">
        <is>
          <t>C1-DIRECT-VERIFIED</t>
        </is>
      </c>
      <c r="T271" s="2" t="inlineStr">
        <is>
          <t>Personal 1:1 email from founder/team to published business email</t>
        </is>
      </c>
      <c r="U271" s="2" t="inlineStr">
        <is>
          <t>https://aliciasouza.com/pages/contact</t>
        </is>
      </c>
      <c r="V271" s="2" t="inlineStr">
        <is>
          <t>2026 — store live (aliciasouza.com)</t>
        </is>
      </c>
      <c r="W271" s="2" t="inlineStr">
        <is>
          <t>Runs online store of illustrated products with international shipping</t>
        </is>
      </c>
      <c r="X271" s="2" t="inlineStr"/>
      <c r="Y271" s="2" t="inlineStr">
        <is>
          <t>Readiness 74 (top 14% in category) | Commercial: Runs online store of illustrated products with international shipping | Active: 2026 — store live (aliciasouza.com)</t>
        </is>
      </c>
      <c r="Z271" s="2" t="inlineStr">
        <is>
          <t>Lead with a specific work or series. Selling original work and commissions under their own name.</t>
        </is>
      </c>
      <c r="AA271" s="2" t="inlineStr">
        <is>
          <t>Own established store and audience</t>
        </is>
      </c>
      <c r="AB271" s="2" t="inlineStr">
        <is>
          <t>Commission pricing control; IP of artwork; price pressure</t>
        </is>
      </c>
      <c r="AC271" s="2" t="inlineStr">
        <is>
          <t>E05 channel/segment test (assign at wave start)</t>
        </is>
      </c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</row>
    <row r="272">
      <c r="A272" s="2" t="n">
        <v>271</v>
      </c>
      <c r="B272" s="2" t="inlineStr">
        <is>
          <t>Wave 2 — Category &amp; city expansion</t>
        </is>
      </c>
      <c r="C272" s="2" t="inlineStr">
        <is>
          <t>UPK2-DV-034</t>
        </is>
      </c>
      <c r="D272" s="2" t="inlineStr">
        <is>
          <t>Presentable</t>
        </is>
      </c>
      <c r="E272" s="2" t="inlineStr">
        <is>
          <t>Digital &amp; Visual Arts</t>
        </is>
      </c>
      <c r="F272" s="2" t="inlineStr">
        <is>
          <t>DV-DESIGN-STUDIO</t>
        </is>
      </c>
      <c r="G272" s="2" t="inlineStr">
        <is>
          <t>Brand &amp; Everyday Style</t>
        </is>
      </c>
      <c r="H272" s="2" t="inlineStr">
        <is>
          <t>Brand identity, packaging &amp; celebration design studio</t>
        </is>
      </c>
      <c r="I272" s="2" t="inlineStr">
        <is>
          <t>Delhi NCR</t>
        </is>
      </c>
      <c r="J272" s="2" t="inlineStr">
        <is>
          <t>B — Established Independent</t>
        </is>
      </c>
      <c r="K272" s="2" t="inlineStr">
        <is>
          <t>Independent design studio</t>
        </is>
      </c>
      <c r="L272" s="2" t="inlineStr">
        <is>
          <t>P0</t>
        </is>
      </c>
      <c r="M272" s="2" t="inlineStr">
        <is>
          <t>P1</t>
        </is>
      </c>
      <c r="N272" s="2" t="n">
        <v>75.8</v>
      </c>
      <c r="O272" s="2" t="n">
        <v>93</v>
      </c>
      <c r="P272" s="2" t="n">
        <v>69</v>
      </c>
      <c r="Q272" s="2" t="n">
        <v>77</v>
      </c>
      <c r="R272" s="2" t="n">
        <v>40</v>
      </c>
      <c r="S272" s="2" t="inlineStr">
        <is>
          <t>C1-DIRECT-VERIFIED</t>
        </is>
      </c>
      <c r="T272" s="2" t="inlineStr">
        <is>
          <t>Personal 1:1 email from founder/team to published business email</t>
        </is>
      </c>
      <c r="U272" s="2" t="inlineStr">
        <is>
          <t>https://www.makepresentable.com/contact</t>
        </is>
      </c>
      <c r="V272" s="2" t="inlineStr">
        <is>
          <t>2026-08 — 'vial' packaging/identity project featured on desicreative.com</t>
        </is>
      </c>
      <c r="W272" s="2" t="inlineStr">
        <is>
          <t>Lifestyle and celebration brands; features in The Dieline, Pentawards (per own profile)</t>
        </is>
      </c>
      <c r="X272" s="2" t="inlineStr">
        <is>
          <t>desicreative.com (project feature 2026)</t>
        </is>
      </c>
      <c r="Y272" s="2" t="inlineStr">
        <is>
          <t>Readiness 76 (top 8% in category) | Commercial: Lifestyle and celebration brands; features in The Dieline, Pentawards (per own profile) | Active: 2026-08 — 'vial' packaging/identity project featured on desicreative.… | Independent/emerging tier — fame not a factor</t>
        </is>
      </c>
      <c r="Z272" s="2" t="inlineStr">
        <is>
          <t>Lead with a specific identity/packaging project. Design services under the studio's own name; link to labels in the Brand pod.</t>
        </is>
      </c>
      <c r="AA272" s="2" t="inlineStr">
        <is>
          <t>Established reputation; may not need discovery</t>
        </is>
      </c>
      <c r="AB272" s="2" t="inlineStr">
        <is>
          <t>Commission pricing control; IP of artwork; price pressure</t>
        </is>
      </c>
      <c r="AC272" s="2" t="inlineStr">
        <is>
          <t>E05 channel/segment test (assign at wave start)</t>
        </is>
      </c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</row>
    <row r="273">
      <c r="A273" s="2" t="n">
        <v>272</v>
      </c>
      <c r="B273" s="2" t="inlineStr">
        <is>
          <t>Wave 2 — Category &amp; city expansion</t>
        </is>
      </c>
      <c r="C273" s="2" t="inlineStr">
        <is>
          <t>UPK-BM-009</t>
        </is>
      </c>
      <c r="D273" s="2" t="inlineStr">
        <is>
          <t>Chhaya Shankar Makeovers</t>
        </is>
      </c>
      <c r="E273" s="2" t="inlineStr">
        <is>
          <t>Beauty &amp; Makeup</t>
        </is>
      </c>
      <c r="F273" s="2" t="inlineStr">
        <is>
          <t>BM-STUDIO</t>
        </is>
      </c>
      <c r="G273" s="2" t="inlineStr">
        <is>
          <t>Wedding &amp; Occasion</t>
        </is>
      </c>
      <c r="H273" s="2" t="inlineStr">
        <is>
          <t>Makeup Studio &amp; Academy</t>
        </is>
      </c>
      <c r="I273" s="2" t="inlineStr">
        <is>
          <t>Jaipur</t>
        </is>
      </c>
      <c r="J273" s="2" t="inlineStr">
        <is>
          <t>B — Established Independent</t>
        </is>
      </c>
      <c r="K273" s="2" t="inlineStr">
        <is>
          <t>Micro studio (2-10)</t>
        </is>
      </c>
      <c r="L273" s="2" t="inlineStr">
        <is>
          <t>P1</t>
        </is>
      </c>
      <c r="M273" s="2" t="inlineStr">
        <is>
          <t>P0</t>
        </is>
      </c>
      <c r="N273" s="2" t="n">
        <v>67.90000000000001</v>
      </c>
      <c r="O273" s="2" t="n">
        <v>68</v>
      </c>
      <c r="P273" s="2" t="n">
        <v>67.40000000000001</v>
      </c>
      <c r="Q273" s="2" t="n">
        <v>68</v>
      </c>
      <c r="R273" s="2" t="n">
        <v>65</v>
      </c>
      <c r="S273" s="2" t="inlineStr">
        <is>
          <t>C1-DIRECT-VERIFIED</t>
        </is>
      </c>
      <c r="T273" s="2" t="inlineStr">
        <is>
          <t>1:1 message via own-website contact form</t>
        </is>
      </c>
      <c r="U273" s="2" t="inlineStr">
        <is>
          <t>https://chhayashankar.com/contact</t>
        </is>
      </c>
      <c r="V273" s="2" t="inlineStr">
        <is>
          <t>2025 — 'Best Bridal Makeup Artists in Jaipur 2025' blog post on own site</t>
        </is>
      </c>
      <c r="W273" s="2" t="inlineStr">
        <is>
          <t>Own site: unisex salon &amp; makeup studio, bridal/party makeup, makeup academy; 2025 blog content</t>
        </is>
      </c>
      <c r="X273" s="2" t="inlineStr"/>
      <c r="Y273" s="2" t="inlineStr">
        <is>
          <t>Readiness 68 (top 33% in category) | Commercial: Own site: unisex salon &amp; makeup studio, bridal/party makeup, makeup academy; 2025 blog co… | Active: 2025 — 'Best Bridal Makeup Artists in Jaipur 2025' blog post on own s… | Independent/emerging tier — fame not a factor</t>
        </is>
      </c>
      <c r="Z273" s="2" t="inlineStr">
        <is>
          <t>Lead with the studio's body of work and team. Ask how bookings arrive today. Service/booking availability at launch is being confirmed (EV-09).</t>
        </is>
      </c>
      <c r="AA273" s="2" t="inlineStr">
        <is>
          <t>May view marketplace as competitor to own SEO</t>
        </is>
      </c>
      <c r="AB273" s="2" t="inlineStr">
        <is>
          <t>Bookings already via wedding portals/Instagram; off-platform client contact (SP-4a open); peak-season time</t>
        </is>
      </c>
      <c r="AC273" s="2" t="inlineStr">
        <is>
          <t>E05 channel/segment test (assign at wave start)</t>
        </is>
      </c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</row>
    <row r="274">
      <c r="A274" s="2" t="n">
        <v>273</v>
      </c>
      <c r="B274" s="2" t="inlineStr">
        <is>
          <t>Wave 2 — Category &amp; city expansion</t>
        </is>
      </c>
      <c r="C274" s="2" t="inlineStr">
        <is>
          <t>UPK-BM-001</t>
        </is>
      </c>
      <c r="D274" s="2" t="inlineStr">
        <is>
          <t>Brioso</t>
        </is>
      </c>
      <c r="E274" s="2" t="inlineStr">
        <is>
          <t>Beauty &amp; Makeup</t>
        </is>
      </c>
      <c r="F274" s="2" t="inlineStr">
        <is>
          <t>BM-STUDIO</t>
        </is>
      </c>
      <c r="G274" s="2" t="inlineStr">
        <is>
          <t>Wedding &amp; Occasion</t>
        </is>
      </c>
      <c r="H274" s="2" t="inlineStr">
        <is>
          <t>Bridal &amp; Commercial Makeup Artist / Hairstylist</t>
        </is>
      </c>
      <c r="I274" s="2" t="inlineStr">
        <is>
          <t>Pune</t>
        </is>
      </c>
      <c r="J274" s="2" t="inlineStr">
        <is>
          <t>A — Emerging / High-potential</t>
        </is>
      </c>
      <c r="K274" s="2" t="inlineStr">
        <is>
          <t>Micro studio (2-10)</t>
        </is>
      </c>
      <c r="L274" s="2" t="inlineStr">
        <is>
          <t>P1</t>
        </is>
      </c>
      <c r="M274" s="2" t="inlineStr">
        <is>
          <t>P0</t>
        </is>
      </c>
      <c r="N274" s="2" t="n">
        <v>73.59999999999999</v>
      </c>
      <c r="O274" s="2" t="n">
        <v>95</v>
      </c>
      <c r="P274" s="2" t="n">
        <v>65.2</v>
      </c>
      <c r="Q274" s="2" t="n">
        <v>68</v>
      </c>
      <c r="R274" s="2" t="n">
        <v>40</v>
      </c>
      <c r="S274" s="2" t="inlineStr">
        <is>
          <t>C1-DIRECT-VERIFIED</t>
        </is>
      </c>
      <c r="T274" s="2" t="inlineStr">
        <is>
          <t>Personal 1:1 email from founder/team to published business email</t>
        </is>
      </c>
      <c r="U274" s="2" t="inlineStr">
        <is>
          <t>https://brioso.in/</t>
        </is>
      </c>
      <c r="V274" s="2" t="inlineStr">
        <is>
          <t>2025/2026 — blog post 'Wedding Makeup Trends 2026' on site</t>
        </is>
      </c>
      <c r="W274" s="2" t="inlineStr">
        <is>
          <t>Website enquiry form; bridal makeover packages; commercial/beauty shoot packages</t>
        </is>
      </c>
      <c r="X274" s="2" t="inlineStr"/>
      <c r="Y274" s="2" t="inlineStr">
        <is>
          <t>Readiness 74 (top 6% in category) | Commercial: Website enquiry form; bridal makeover packages; commercial/beauty shoot packages | Active: 2025/2026 — blog post 'Wedding Makeup Trends 2026' on site | Independent/emerging tier — fame not a factor</t>
        </is>
      </c>
      <c r="Z274" s="2" t="inlineStr">
        <is>
          <t>Lead with the studio's body of work and team. Ask how bookings arrive today. Service/booking availability at launch is being confirmed (EV-09).</t>
        </is>
      </c>
      <c r="AA274" s="2" t="inlineStr">
        <is>
          <t>Small business may be wary of listing fees</t>
        </is>
      </c>
      <c r="AB274" s="2" t="inlineStr">
        <is>
          <t>Bookings already via wedding portals/Instagram; off-platform client contact (SP-4a open); peak-season time</t>
        </is>
      </c>
      <c r="AC274" s="2" t="inlineStr">
        <is>
          <t>E05 channel/segment test (assign at wave start)</t>
        </is>
      </c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</row>
    <row r="275">
      <c r="A275" s="2" t="n">
        <v>274</v>
      </c>
      <c r="B275" s="2" t="inlineStr">
        <is>
          <t>Wave 2 — Category &amp; city expansion</t>
        </is>
      </c>
      <c r="C275" s="2" t="inlineStr">
        <is>
          <t>UPK2-BM-026</t>
        </is>
      </c>
      <c r="D275" s="2" t="inlineStr">
        <is>
          <t>Sayoni's Makeover Artistry</t>
        </is>
      </c>
      <c r="E275" s="2" t="inlineStr">
        <is>
          <t>Beauty &amp; Makeup</t>
        </is>
      </c>
      <c r="F275" s="2" t="inlineStr">
        <is>
          <t>BM-STUDIO</t>
        </is>
      </c>
      <c r="G275" s="2" t="inlineStr">
        <is>
          <t>Wedding &amp; Occasion</t>
        </is>
      </c>
      <c r="H275" s="2" t="inlineStr">
        <is>
          <t>Bridal MUA Studio</t>
        </is>
      </c>
      <c r="I275" s="2" t="inlineStr">
        <is>
          <t>Kolkata</t>
        </is>
      </c>
      <c r="J275" s="2" t="inlineStr">
        <is>
          <t>B — Established Independent</t>
        </is>
      </c>
      <c r="K275" s="2" t="inlineStr">
        <is>
          <t>Studio</t>
        </is>
      </c>
      <c r="L275" s="2" t="inlineStr">
        <is>
          <t>P1</t>
        </is>
      </c>
      <c r="M275" s="2" t="inlineStr">
        <is>
          <t>P0</t>
        </is>
      </c>
      <c r="N275" s="2" t="n">
        <v>73.7</v>
      </c>
      <c r="O275" s="2" t="n">
        <v>95</v>
      </c>
      <c r="P275" s="2" t="n">
        <v>62.6</v>
      </c>
      <c r="Q275" s="2" t="n">
        <v>69</v>
      </c>
      <c r="R275" s="2" t="n">
        <v>25</v>
      </c>
      <c r="S275" s="2" t="inlineStr">
        <is>
          <t>C1-DIRECT-VERIFIED</t>
        </is>
      </c>
      <c r="T275" s="2" t="inlineStr">
        <is>
          <t>Personal 1:1 email from founder/team to published business email</t>
        </is>
      </c>
      <c r="U275" s="2" t="inlineStr">
        <is>
          <t>https://sayonismakeover.com/</t>
        </is>
      </c>
      <c r="V275" s="2" t="inlineStr">
        <is>
          <t>2024-10 — site dateModified; 2026 copyright</t>
        </is>
      </c>
      <c r="W275" s="2" t="inlineStr">
        <is>
          <t>7+ yrs; 300+ brides (site); Behala studio</t>
        </is>
      </c>
      <c r="X275" s="2" t="inlineStr"/>
      <c r="Y275" s="2" t="inlineStr">
        <is>
          <t>Readiness 74 (top 6% in category) | Commercial: 7+ yrs; 300+ brides (site); Behala studio | Active: 2024-10 — site dateModified; 2026 copyright | Independent/emerging tier — fame not a factor</t>
        </is>
      </c>
      <c r="Z275" s="2" t="inlineStr">
        <is>
          <t>Lead with the studio's body of work and team. Ask how bookings arrive today. Service/booking availability at launch is being confirmed (EV-09).</t>
        </is>
      </c>
      <c r="AA275" s="2" t="inlineStr">
        <is>
          <t>Already gets leads via own site, Google and Instagram</t>
        </is>
      </c>
      <c r="AB275" s="2" t="inlineStr">
        <is>
          <t>Bookings already via wedding portals/Instagram; off-platform client contact (SP-4a open); peak-season time</t>
        </is>
      </c>
      <c r="AC275" s="2" t="inlineStr">
        <is>
          <t>E05 channel/segment test (assign at wave start)</t>
        </is>
      </c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</row>
    <row r="276">
      <c r="A276" s="2" t="n">
        <v>275</v>
      </c>
      <c r="B276" s="2" t="inlineStr">
        <is>
          <t>Wave 2 — Category &amp; city expansion</t>
        </is>
      </c>
      <c r="C276" s="2" t="inlineStr">
        <is>
          <t>UPK2-BM-035</t>
        </is>
      </c>
      <c r="D276" s="2" t="inlineStr">
        <is>
          <t>Yellora (Magic Touches)</t>
        </is>
      </c>
      <c r="E276" s="2" t="inlineStr">
        <is>
          <t>Beauty &amp; Makeup</t>
        </is>
      </c>
      <c r="F276" s="2" t="inlineStr">
        <is>
          <t>BM-STUDIO</t>
        </is>
      </c>
      <c r="G276" s="2" t="inlineStr">
        <is>
          <t>Wedding &amp; Occasion</t>
        </is>
      </c>
      <c r="H276" s="2" t="inlineStr">
        <is>
          <t>Bridal &amp; Party Makeup Services</t>
        </is>
      </c>
      <c r="I276" s="2" t="inlineStr">
        <is>
          <t>Chennai</t>
        </is>
      </c>
      <c r="J276" s="2" t="inlineStr">
        <is>
          <t>B — Established Independent</t>
        </is>
      </c>
      <c r="K276" s="2" t="inlineStr">
        <is>
          <t>Studio</t>
        </is>
      </c>
      <c r="L276" s="2" t="inlineStr">
        <is>
          <t>P1</t>
        </is>
      </c>
      <c r="M276" s="2" t="inlineStr">
        <is>
          <t>P0</t>
        </is>
      </c>
      <c r="N276" s="2" t="n">
        <v>70.90000000000001</v>
      </c>
      <c r="O276" s="2" t="n">
        <v>87</v>
      </c>
      <c r="P276" s="2" t="n">
        <v>61.4</v>
      </c>
      <c r="Q276" s="2" t="n">
        <v>70</v>
      </c>
      <c r="R276" s="2" t="n">
        <v>25</v>
      </c>
      <c r="S276" s="2" t="inlineStr">
        <is>
          <t>C1-DIRECT-VERIFIED</t>
        </is>
      </c>
      <c r="T276" s="2" t="inlineStr">
        <is>
          <t>Personal 1:1 email from founder/team to published business email</t>
        </is>
      </c>
      <c r="U276" s="2" t="inlineStr">
        <is>
          <t>https://yelloramakeover.com/</t>
        </is>
      </c>
      <c r="V276" s="2" t="inlineStr">
        <is>
          <t>2025-01 — site dateModified</t>
        </is>
      </c>
      <c r="W276" s="2" t="inlineStr">
        <is>
          <t>Bridal/party services; saree pre-pleating sold as services on site shop</t>
        </is>
      </c>
      <c r="X276" s="2" t="inlineStr"/>
      <c r="Y276" s="2" t="inlineStr">
        <is>
          <t>Readiness 71 (top 14% in category) | Commercial: Bridal/party services; saree pre-pleating sold as services on site shop | Active: 2025-01 — site dateModified | Independent/emerging tier — fame not a factor</t>
        </is>
      </c>
      <c r="Z276" s="2" t="inlineStr">
        <is>
          <t>Lead with the studio's body of work and team. Ask how bookings arrive today. Service/booking availability at launch is being confirmed (EV-09).</t>
        </is>
      </c>
      <c r="AA276" s="2" t="inlineStr">
        <is>
          <t>Already gets leads via own site, Google and Instagram</t>
        </is>
      </c>
      <c r="AB276" s="2" t="inlineStr">
        <is>
          <t>Bookings already via wedding portals/Instagram; off-platform client contact (SP-4a open); peak-season time</t>
        </is>
      </c>
      <c r="AC276" s="2" t="inlineStr">
        <is>
          <t>E05 channel/segment test (assign at wave start)</t>
        </is>
      </c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</row>
    <row r="277">
      <c r="A277" s="2" t="n">
        <v>276</v>
      </c>
      <c r="B277" s="2" t="inlineStr">
        <is>
          <t>Wave 2 — Category &amp; city expansion</t>
        </is>
      </c>
      <c r="C277" s="2" t="inlineStr">
        <is>
          <t>UPK2-BM-056</t>
        </is>
      </c>
      <c r="D277" s="2" t="inlineStr">
        <is>
          <t>Shehzeen Makeup and Hair</t>
        </is>
      </c>
      <c r="E277" s="2" t="inlineStr">
        <is>
          <t>Beauty &amp; Makeup</t>
        </is>
      </c>
      <c r="F277" s="2" t="inlineStr">
        <is>
          <t>BM-INDEPENDENT-MUA</t>
        </is>
      </c>
      <c r="G277" s="2" t="inlineStr">
        <is>
          <t>Wedding &amp; Occasion</t>
        </is>
      </c>
      <c r="H277" s="2" t="inlineStr">
        <is>
          <t>Bridal &amp; Celebrity Hair and Makeup</t>
        </is>
      </c>
      <c r="I277" s="2" t="inlineStr">
        <is>
          <t>Mumbai</t>
        </is>
      </c>
      <c r="J277" s="2" t="inlineStr">
        <is>
          <t>B — Established Independent</t>
        </is>
      </c>
      <c r="K277" s="2" t="inlineStr">
        <is>
          <t>Independent professional</t>
        </is>
      </c>
      <c r="L277" s="2" t="inlineStr">
        <is>
          <t>P1</t>
        </is>
      </c>
      <c r="M277" s="2" t="inlineStr">
        <is>
          <t>P0</t>
        </is>
      </c>
      <c r="N277" s="2" t="n">
        <v>66.3</v>
      </c>
      <c r="O277" s="2" t="n">
        <v>57</v>
      </c>
      <c r="P277" s="2" t="n">
        <v>59.6</v>
      </c>
      <c r="Q277" s="2" t="n">
        <v>68</v>
      </c>
      <c r="R277" s="2" t="n">
        <v>30</v>
      </c>
      <c r="S277" s="2" t="inlineStr">
        <is>
          <t>C3-PRO-SOCIAL</t>
        </is>
      </c>
      <c r="T277" s="2" t="inlineStr">
        <is>
          <t>1:1 Instagram DM from Uepaki professional account</t>
        </is>
      </c>
      <c r="U277" s="2" t="inlineStr">
        <is>
          <t>https://www.instagram.com/shehzeenmakeupandhair?igsh=MTZ4Y2M4bmpoaGJjNA==</t>
        </is>
      </c>
      <c r="V277" s="2" t="inlineStr">
        <is>
          <t>2025-09 — WeddingSutra vendor profile last modified (page metadata)</t>
        </is>
      </c>
      <c r="W277" s="2" t="inlineStr">
        <is>
          <t>10+ yrs bridal &amp; celebrity (per WS, 2025-09)</t>
        </is>
      </c>
      <c r="X277" s="2" t="inlineStr">
        <is>
          <t>WeddingSutra (Vendor showcase profile (Makeup Artists))</t>
        </is>
      </c>
      <c r="Y277" s="2" t="inlineStr">
        <is>
          <t>Readiness 66 (top 44% in category) | Commercial: 10+ yrs bridal &amp; celebrity (per WS, 2025-09) | Active: 2025-09 — WeddingSutra vendor profile last modified (page metadata) | Independent/emerging tier — fame not a factor</t>
        </is>
      </c>
      <c r="Z277" s="2" t="inlineStr">
        <is>
          <t>Lead with their bridal portfolio. Ask how bookings arrive today. Be explicit that service/booking availability at launch is being confirmed (EV-09).</t>
        </is>
      </c>
      <c r="AA277" s="2" t="inlineStr">
        <is>
          <t>Bookings already flow via Instagram/WhatsApp and wedding portals</t>
        </is>
      </c>
      <c r="AB277" s="2" t="inlineStr">
        <is>
          <t>Bookings already via wedding portals/Instagram; off-platform client contact (SP-4a open); peak-season time</t>
        </is>
      </c>
      <c r="AC277" s="2" t="inlineStr">
        <is>
          <t>E05 channel/segment test (assign at wave start)</t>
        </is>
      </c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</row>
    <row r="278">
      <c r="A278" s="2" t="n">
        <v>277</v>
      </c>
      <c r="B278" s="2" t="inlineStr">
        <is>
          <t>Wave 2 — Category &amp; city expansion</t>
        </is>
      </c>
      <c r="C278" s="2" t="inlineStr">
        <is>
          <t>UPK2-BM-054</t>
        </is>
      </c>
      <c r="D278" s="2" t="inlineStr">
        <is>
          <t>Enthral by Dhwani</t>
        </is>
      </c>
      <c r="E278" s="2" t="inlineStr">
        <is>
          <t>Beauty &amp; Makeup</t>
        </is>
      </c>
      <c r="F278" s="2" t="inlineStr">
        <is>
          <t>BM-INDEPENDENT-MUA</t>
        </is>
      </c>
      <c r="G278" s="2" t="inlineStr">
        <is>
          <t>Wedding &amp; Occasion</t>
        </is>
      </c>
      <c r="H278" s="2" t="inlineStr">
        <is>
          <t>Bridal Makeup Artist (hair &amp; makeup)</t>
        </is>
      </c>
      <c r="I278" s="2" t="inlineStr">
        <is>
          <t>Mumbai</t>
        </is>
      </c>
      <c r="J278" s="2" t="inlineStr">
        <is>
          <t>B — Established Independent</t>
        </is>
      </c>
      <c r="K278" s="2" t="inlineStr">
        <is>
          <t>Independent professional</t>
        </is>
      </c>
      <c r="L278" s="2" t="inlineStr">
        <is>
          <t>P1</t>
        </is>
      </c>
      <c r="M278" s="2" t="inlineStr">
        <is>
          <t>P0</t>
        </is>
      </c>
      <c r="N278" s="2" t="n">
        <v>66.3</v>
      </c>
      <c r="O278" s="2" t="n">
        <v>57</v>
      </c>
      <c r="P278" s="2" t="n">
        <v>59.6</v>
      </c>
      <c r="Q278" s="2" t="n">
        <v>68</v>
      </c>
      <c r="R278" s="2" t="n">
        <v>30</v>
      </c>
      <c r="S278" s="2" t="inlineStr">
        <is>
          <t>C3-PRO-SOCIAL</t>
        </is>
      </c>
      <c r="T278" s="2" t="inlineStr">
        <is>
          <t>1:1 Instagram DM from Uepaki professional account</t>
        </is>
      </c>
      <c r="U278" s="2" t="inlineStr">
        <is>
          <t>https://www.instagram.com/enthralbydhwani/?hl=en</t>
        </is>
      </c>
      <c r="V278" s="2" t="inlineStr">
        <is>
          <t>2025-10 — WeddingSutra vendor profile last modified (page metadata)</t>
        </is>
      </c>
      <c r="W278" s="2" t="inlineStr">
        <is>
          <t>7 yrs bridal (per WS bio)</t>
        </is>
      </c>
      <c r="X278" s="2" t="inlineStr">
        <is>
          <t>WeddingSutra (Vendor showcase profile (Makeup Artists))</t>
        </is>
      </c>
      <c r="Y278" s="2" t="inlineStr">
        <is>
          <t>Readiness 66 (top 44% in category) | Commercial: 7 yrs bridal (per WS bio) | Active: 2025-10 — WeddingSutra vendor profile last modified (page metadata) | Independent/emerging tier — fame not a factor</t>
        </is>
      </c>
      <c r="Z278" s="2" t="inlineStr">
        <is>
          <t>Lead with their bridal portfolio. Ask how bookings arrive today. Be explicit that service/booking availability at launch is being confirmed (EV-09).</t>
        </is>
      </c>
      <c r="AA278" s="2" t="inlineStr">
        <is>
          <t>Bookings already flow via Instagram/WhatsApp and wedding portals</t>
        </is>
      </c>
      <c r="AB278" s="2" t="inlineStr">
        <is>
          <t>Bookings already via wedding portals/Instagram; off-platform client contact (SP-4a open); peak-season time</t>
        </is>
      </c>
      <c r="AC278" s="2" t="inlineStr">
        <is>
          <t>E05 channel/segment test (assign at wave start)</t>
        </is>
      </c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</row>
    <row r="279">
      <c r="A279" s="2" t="n">
        <v>278</v>
      </c>
      <c r="B279" s="2" t="inlineStr">
        <is>
          <t>Wave 2 — Category &amp; city expansion</t>
        </is>
      </c>
      <c r="C279" s="2" t="inlineStr">
        <is>
          <t>UPK2-BM-055</t>
        </is>
      </c>
      <c r="D279" s="2" t="inlineStr">
        <is>
          <t>Makeup by Komal Hiire</t>
        </is>
      </c>
      <c r="E279" s="2" t="inlineStr">
        <is>
          <t>Beauty &amp; Makeup</t>
        </is>
      </c>
      <c r="F279" s="2" t="inlineStr">
        <is>
          <t>BM-INDEPENDENT-MUA</t>
        </is>
      </c>
      <c r="G279" s="2" t="inlineStr">
        <is>
          <t>Wedding &amp; Occasion</t>
        </is>
      </c>
      <c r="H279" s="2" t="inlineStr">
        <is>
          <t>Bridal Makeup Artist (hair &amp; makeup)</t>
        </is>
      </c>
      <c r="I279" s="2" t="inlineStr">
        <is>
          <t>Mumbai</t>
        </is>
      </c>
      <c r="J279" s="2" t="inlineStr">
        <is>
          <t>B — Established Independent</t>
        </is>
      </c>
      <c r="K279" s="2" t="inlineStr">
        <is>
          <t>Independent professional</t>
        </is>
      </c>
      <c r="L279" s="2" t="inlineStr">
        <is>
          <t>P1</t>
        </is>
      </c>
      <c r="M279" s="2" t="inlineStr">
        <is>
          <t>P0</t>
        </is>
      </c>
      <c r="N279" s="2" t="n">
        <v>66.3</v>
      </c>
      <c r="O279" s="2" t="n">
        <v>57</v>
      </c>
      <c r="P279" s="2" t="n">
        <v>59.6</v>
      </c>
      <c r="Q279" s="2" t="n">
        <v>68</v>
      </c>
      <c r="R279" s="2" t="n">
        <v>30</v>
      </c>
      <c r="S279" s="2" t="inlineStr">
        <is>
          <t>C3-PRO-SOCIAL</t>
        </is>
      </c>
      <c r="T279" s="2" t="inlineStr">
        <is>
          <t>1:1 Instagram DM from Uepaki professional account</t>
        </is>
      </c>
      <c r="U279" s="2" t="inlineStr">
        <is>
          <t>https://www.instagram.com/makeupbykomalhiire/?hl=en</t>
        </is>
      </c>
      <c r="V279" s="2" t="inlineStr">
        <is>
          <t>2025-10 — WeddingSutra vendor profile last modified (page metadata)</t>
        </is>
      </c>
      <c r="W279" s="2" t="inlineStr">
        <is>
          <t>7+ yrs; Mumbai &amp; destination weddings; YouTube channel (per WS)</t>
        </is>
      </c>
      <c r="X279" s="2" t="inlineStr">
        <is>
          <t>WeddingSutra (Vendor showcase profile (Makeup Artists))</t>
        </is>
      </c>
      <c r="Y279" s="2" t="inlineStr">
        <is>
          <t>Readiness 66 (top 44% in category) | Commercial: 7+ yrs; Mumbai &amp; destination weddings; YouTube channel (per WS) | Active: 2025-10 — WeddingSutra vendor profile last modified (page metadata) | Independent/emerging tier — fame not a factor</t>
        </is>
      </c>
      <c r="Z279" s="2" t="inlineStr">
        <is>
          <t>Lead with their bridal portfolio. Ask how bookings arrive today. Be explicit that service/booking availability at launch is being confirmed (EV-09).</t>
        </is>
      </c>
      <c r="AA279" s="2" t="inlineStr">
        <is>
          <t>Bookings already flow via Instagram/WhatsApp and wedding portals</t>
        </is>
      </c>
      <c r="AB279" s="2" t="inlineStr">
        <is>
          <t>Bookings already via wedding portals/Instagram; off-platform client contact (SP-4a open); peak-season time</t>
        </is>
      </c>
      <c r="AC279" s="2" t="inlineStr">
        <is>
          <t>E05 channel/segment test (assign at wave start)</t>
        </is>
      </c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</row>
    <row r="280">
      <c r="A280" s="2" t="n">
        <v>279</v>
      </c>
      <c r="B280" s="2" t="inlineStr">
        <is>
          <t>Wave 2 — Category &amp; city expansion</t>
        </is>
      </c>
      <c r="C280" s="2" t="inlineStr">
        <is>
          <t>UPK2-BM-063</t>
        </is>
      </c>
      <c r="D280" s="2" t="inlineStr">
        <is>
          <t>Priyaa's Makeover</t>
        </is>
      </c>
      <c r="E280" s="2" t="inlineStr">
        <is>
          <t>Beauty &amp; Makeup</t>
        </is>
      </c>
      <c r="F280" s="2" t="inlineStr">
        <is>
          <t>BM-INDEPENDENT-MUA</t>
        </is>
      </c>
      <c r="G280" s="2" t="inlineStr">
        <is>
          <t>Wedding &amp; Occasion</t>
        </is>
      </c>
      <c r="H280" s="2" t="inlineStr">
        <is>
          <t>Bridal, Fashion &amp; Editorial MUA</t>
        </is>
      </c>
      <c r="I280" s="2" t="inlineStr">
        <is>
          <t>Pune</t>
        </is>
      </c>
      <c r="J280" s="2" t="inlineStr">
        <is>
          <t>B — Established Independent</t>
        </is>
      </c>
      <c r="K280" s="2" t="inlineStr">
        <is>
          <t>Independent professional</t>
        </is>
      </c>
      <c r="L280" s="2" t="inlineStr">
        <is>
          <t>P1</t>
        </is>
      </c>
      <c r="M280" s="2" t="inlineStr">
        <is>
          <t>P0</t>
        </is>
      </c>
      <c r="N280" s="2" t="n">
        <v>66.3</v>
      </c>
      <c r="O280" s="2" t="n">
        <v>57</v>
      </c>
      <c r="P280" s="2" t="n">
        <v>59.6</v>
      </c>
      <c r="Q280" s="2" t="n">
        <v>68</v>
      </c>
      <c r="R280" s="2" t="n">
        <v>30</v>
      </c>
      <c r="S280" s="2" t="inlineStr">
        <is>
          <t>C3-PRO-SOCIAL</t>
        </is>
      </c>
      <c r="T280" s="2" t="inlineStr">
        <is>
          <t>1:1 Instagram DM from Uepaki professional account</t>
        </is>
      </c>
      <c r="U280" s="2" t="inlineStr">
        <is>
          <t>https://www.instagram.com/priyaas_makeoverpune/</t>
        </is>
      </c>
      <c r="V280" s="2" t="inlineStr">
        <is>
          <t>2025-05 — WeddingSutra vendor profile last modified (page metadata)</t>
        </is>
      </c>
      <c r="W280" s="2" t="inlineStr">
        <is>
          <t>7+ yrs bridal/fashion/editorial; HD &amp; airbrush (per WS, 2025-05)</t>
        </is>
      </c>
      <c r="X280" s="2" t="inlineStr">
        <is>
          <t>WeddingSutra (Vendor showcase profile (Makeup Artists))</t>
        </is>
      </c>
      <c r="Y280" s="2" t="inlineStr">
        <is>
          <t>Readiness 66 (top 44% in category) | Commercial: 7+ yrs bridal/fashion/editorial; HD &amp; airbrush (per WS, 2025-05) | Active: 2025-05 — WeddingSutra vendor profile last modified (page metadata) | Independent/emerging tier — fame not a factor</t>
        </is>
      </c>
      <c r="Z280" s="2" t="inlineStr">
        <is>
          <t>Lead with their bridal portfolio. Ask how bookings arrive today. Be explicit that service/booking availability at launch is being confirmed (EV-09).</t>
        </is>
      </c>
      <c r="AA280" s="2" t="inlineStr">
        <is>
          <t>Bookings already flow via Instagram/WhatsApp and wedding portals</t>
        </is>
      </c>
      <c r="AB280" s="2" t="inlineStr">
        <is>
          <t>Bookings already via wedding portals/Instagram; off-platform client contact (SP-4a open); peak-season time</t>
        </is>
      </c>
      <c r="AC280" s="2" t="inlineStr">
        <is>
          <t>E05 channel/segment test (assign at wave start)</t>
        </is>
      </c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</row>
    <row r="281">
      <c r="A281" s="2" t="n">
        <v>280</v>
      </c>
      <c r="B281" s="2" t="inlineStr">
        <is>
          <t>Wave 2 — Category &amp; city expansion</t>
        </is>
      </c>
      <c r="C281" s="2" t="inlineStr">
        <is>
          <t>UPK2-BM-087</t>
        </is>
      </c>
      <c r="D281" s="2" t="inlineStr">
        <is>
          <t>MK Glamm Makeup Studio</t>
        </is>
      </c>
      <c r="E281" s="2" t="inlineStr">
        <is>
          <t>Beauty &amp; Makeup</t>
        </is>
      </c>
      <c r="F281" s="2" t="inlineStr">
        <is>
          <t>BM-STUDIO</t>
        </is>
      </c>
      <c r="G281" s="2" t="inlineStr">
        <is>
          <t>Wedding &amp; Occasion</t>
        </is>
      </c>
      <c r="H281" s="2" t="inlineStr">
        <is>
          <t>Bridal Makeup Studio</t>
        </is>
      </c>
      <c r="I281" s="2" t="inlineStr">
        <is>
          <t>Chandigarh</t>
        </is>
      </c>
      <c r="J281" s="2" t="inlineStr">
        <is>
          <t>B — Established Independent</t>
        </is>
      </c>
      <c r="K281" s="2" t="inlineStr">
        <is>
          <t>Makeup studio</t>
        </is>
      </c>
      <c r="L281" s="2" t="inlineStr">
        <is>
          <t>P1</t>
        </is>
      </c>
      <c r="M281" s="2" t="inlineStr">
        <is>
          <t>P1</t>
        </is>
      </c>
      <c r="N281" s="2" t="n">
        <v>67.7</v>
      </c>
      <c r="O281" s="2" t="n">
        <v>67</v>
      </c>
      <c r="P281" s="2" t="n">
        <v>54.8</v>
      </c>
      <c r="Q281" s="2" t="n">
        <v>60</v>
      </c>
      <c r="R281" s="2" t="n">
        <v>15</v>
      </c>
      <c r="S281" s="2" t="inlineStr">
        <is>
          <t>C3-PRO-SOCIAL</t>
        </is>
      </c>
      <c r="T281" s="2" t="inlineStr">
        <is>
          <t>1:1 Instagram DM from Uepaki professional account</t>
        </is>
      </c>
      <c r="U281" s="2" t="inlineStr">
        <is>
          <t>https://mkglamm.com/</t>
        </is>
      </c>
      <c r="V281" s="2" t="inlineStr">
        <is>
          <t>2026 booking slots advertised on site</t>
        </is>
      </c>
      <c r="W281" s="2" t="inlineStr">
        <is>
          <t>Sector 91 Mohali; site cites WeddingWire India 2023 award; 'Book your 2026 bridal slot'</t>
        </is>
      </c>
      <c r="X281" s="2" t="inlineStr">
        <is>
          <t>Own website (First-party site)</t>
        </is>
      </c>
      <c r="Y281" s="2" t="inlineStr">
        <is>
          <t>Readiness 68 (top 34% in category) | Commercial: Sector 91 Mohali; site cites WeddingWire India 2023 award; 'Book your 2026 bridal slot' | Active: 2026 booking slots advertised on site | Independent/emerging tier — fame not a factor</t>
        </is>
      </c>
      <c r="Z281" s="2" t="inlineStr">
        <is>
          <t>Lead with the studio's body of work and team. Ask how bookings arrive today. Service/booking availability at launch is being confirmed (EV-09).</t>
        </is>
      </c>
      <c r="AA281" s="2" t="inlineStr">
        <is>
          <t>—</t>
        </is>
      </c>
      <c r="AB281" s="2" t="inlineStr">
        <is>
          <t>Bookings already via wedding portals/Instagram; off-platform client contact (SP-4a open); peak-season time</t>
        </is>
      </c>
      <c r="AC281" s="2" t="inlineStr">
        <is>
          <t>E05 channel/segment test (assign at wave start)</t>
        </is>
      </c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</row>
    <row r="282">
      <c r="A282" s="2" t="n">
        <v>281</v>
      </c>
      <c r="B282" s="2" t="inlineStr">
        <is>
          <t>Wave 2 — Category &amp; city expansion</t>
        </is>
      </c>
      <c r="C282" s="2" t="inlineStr">
        <is>
          <t>UPK2-BM-114</t>
        </is>
      </c>
      <c r="D282" s="2" t="inlineStr">
        <is>
          <t>Silverine Salon</t>
        </is>
      </c>
      <c r="E282" s="2" t="inlineStr">
        <is>
          <t>Beauty &amp; Makeup</t>
        </is>
      </c>
      <c r="F282" s="2" t="inlineStr">
        <is>
          <t>BM-STUDIO</t>
        </is>
      </c>
      <c r="G282" s="2" t="inlineStr">
        <is>
          <t>Wedding &amp; Occasion</t>
        </is>
      </c>
      <c r="H282" s="2" t="inlineStr">
        <is>
          <t>Bridal Makeup Salon</t>
        </is>
      </c>
      <c r="I282" s="2" t="inlineStr">
        <is>
          <t>Jaipur</t>
        </is>
      </c>
      <c r="J282" s="2" t="inlineStr">
        <is>
          <t>B — Established Independent</t>
        </is>
      </c>
      <c r="K282" s="2" t="inlineStr">
        <is>
          <t>Salon</t>
        </is>
      </c>
      <c r="L282" s="2" t="inlineStr">
        <is>
          <t>P1</t>
        </is>
      </c>
      <c r="M282" s="2" t="inlineStr">
        <is>
          <t>P1</t>
        </is>
      </c>
      <c r="N282" s="2" t="n">
        <v>65.09999999999999</v>
      </c>
      <c r="O282" s="2" t="n">
        <v>49</v>
      </c>
      <c r="P282" s="2" t="n">
        <v>51.4</v>
      </c>
      <c r="Q282" s="2" t="n">
        <v>56</v>
      </c>
      <c r="R282" s="2" t="n">
        <v>10</v>
      </c>
      <c r="S282" s="2" t="inlineStr">
        <is>
          <t>C1-DIRECT-VERIFIED</t>
        </is>
      </c>
      <c r="T282" s="2" t="inlineStr">
        <is>
          <t>Personal 1:1 email from founder/team to published business email</t>
        </is>
      </c>
      <c r="U282" s="2" t="inlineStr">
        <is>
          <t>https://silverinesalon.in/</t>
        </is>
      </c>
      <c r="V282" s="2" t="inlineStr">
        <is>
          <t>2026 — site copyright 2026</t>
        </is>
      </c>
      <c r="W282" s="2" t="inlineStr">
        <is>
          <t>Vaishali Nagar; destination/outdoor bridal makeup; celebrity makeup artist bridal page</t>
        </is>
      </c>
      <c r="X282" s="2" t="inlineStr">
        <is>
          <t>Own website (First-party site)</t>
        </is>
      </c>
      <c r="Y282" s="2" t="inlineStr">
        <is>
          <t>Readiness 65 | Commercial: Vaishali Nagar; destination/outdoor bridal makeup; celebrity makeup artist bridal page | Active: 2026 — site copyright 2026 | Independent/emerging tier — fame not a factor</t>
        </is>
      </c>
      <c r="Z282" s="2" t="inlineStr">
        <is>
          <t>Lead with the studio's body of work and team. Ask how bookings arrive today. Service/booking availability at launch is being confirmed (EV-09).</t>
        </is>
      </c>
      <c r="AA282" s="2" t="inlineStr">
        <is>
          <t>Salon business</t>
        </is>
      </c>
      <c r="AB282" s="2" t="inlineStr">
        <is>
          <t>Bookings already via wedding portals/Instagram; off-platform client contact (SP-4a open); peak-season time</t>
        </is>
      </c>
      <c r="AC282" s="2" t="inlineStr">
        <is>
          <t>E05 channel/segment test (assign at wave start)</t>
        </is>
      </c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</row>
    <row r="283">
      <c r="A283" s="2" t="n">
        <v>282</v>
      </c>
      <c r="B283" s="2" t="inlineStr">
        <is>
          <t>Wave 2 — Category &amp; city expansion</t>
        </is>
      </c>
      <c r="C283" s="2" t="inlineStr">
        <is>
          <t>UPK2-BM-074</t>
        </is>
      </c>
      <c r="D283" s="2" t="inlineStr">
        <is>
          <t>Makeup by Areebah Gani</t>
        </is>
      </c>
      <c r="E283" s="2" t="inlineStr">
        <is>
          <t>Beauty &amp; Makeup</t>
        </is>
      </c>
      <c r="F283" s="2" t="inlineStr">
        <is>
          <t>BM-INDEPENDENT-MUA</t>
        </is>
      </c>
      <c r="G283" s="2" t="inlineStr">
        <is>
          <t>Wedding &amp; Occasion</t>
        </is>
      </c>
      <c r="H283" s="2" t="inlineStr">
        <is>
          <t>Bridal, Editorial &amp; Hair Artist</t>
        </is>
      </c>
      <c r="I283" s="2" t="inlineStr">
        <is>
          <t>Mumbai</t>
        </is>
      </c>
      <c r="J283" s="2" t="inlineStr">
        <is>
          <t>B — Established Independent</t>
        </is>
      </c>
      <c r="K283" s="2" t="inlineStr">
        <is>
          <t>Independent professional</t>
        </is>
      </c>
      <c r="L283" s="2" t="inlineStr">
        <is>
          <t>P1</t>
        </is>
      </c>
      <c r="M283" s="2" t="inlineStr">
        <is>
          <t>P1</t>
        </is>
      </c>
      <c r="N283" s="2" t="n">
        <v>66.90000000000001</v>
      </c>
      <c r="O283" s="2" t="n">
        <v>62</v>
      </c>
      <c r="P283" s="2" t="n">
        <v>58.4</v>
      </c>
      <c r="Q283" s="2" t="n">
        <v>63</v>
      </c>
      <c r="R283" s="2" t="n">
        <v>30</v>
      </c>
      <c r="S283" s="2" t="inlineStr">
        <is>
          <t>C3-PRO-SOCIAL</t>
        </is>
      </c>
      <c r="T283" s="2" t="inlineStr">
        <is>
          <t>1:1 Instagram DM from Uepaki professional account</t>
        </is>
      </c>
      <c r="U283" s="2" t="inlineStr">
        <is>
          <t>https://www.instagram.com/makeupbyareebahgani/</t>
        </is>
      </c>
      <c r="V283" s="2" t="inlineStr">
        <is>
          <t>2025-02 — WeddingSutra vendor profile last modified (page metadata)</t>
        </is>
      </c>
      <c r="W283" s="2" t="inlineStr">
        <is>
          <t>Bridal party packages; editorial/high-fashion shoots; runs workshops (per WS bio); based Mumbai &amp; Bangalore</t>
        </is>
      </c>
      <c r="X283" s="2" t="inlineStr">
        <is>
          <t>WeddingSutra (Vendor showcase profile (Makeup Artists))</t>
        </is>
      </c>
      <c r="Y283" s="2" t="inlineStr">
        <is>
          <t>Readiness 67 (top 39% in category) | Commercial: Bridal party packages; editorial/high-fashion shoots; runs workshops (per WS bio); based… | Active: 2025-02 — WeddingSutra vendor profile last modified (page metadata) | Independent/emerging tier — fame not a factor</t>
        </is>
      </c>
      <c r="Z283" s="2" t="inlineStr">
        <is>
          <t>Lead with their bridal portfolio. Ask how bookings arrive today. Be explicit that service/booking availability at launch is being confirmed (EV-09).</t>
        </is>
      </c>
      <c r="AA283" s="2" t="inlineStr">
        <is>
          <t>Bookings already flow via Instagram/WhatsApp and wedding portals</t>
        </is>
      </c>
      <c r="AB283" s="2" t="inlineStr">
        <is>
          <t>Bookings already via wedding portals/Instagram; off-platform client contact (SP-4a open); peak-season time</t>
        </is>
      </c>
      <c r="AC283" s="2" t="inlineStr">
        <is>
          <t>E05 channel/segment test (assign at wave start)</t>
        </is>
      </c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</row>
    <row r="284">
      <c r="A284" s="2" t="n">
        <v>283</v>
      </c>
      <c r="B284" s="2" t="inlineStr">
        <is>
          <t>Wave 2 — Category &amp; city expansion</t>
        </is>
      </c>
      <c r="C284" s="2" t="inlineStr">
        <is>
          <t>UPK2-BM-078</t>
        </is>
      </c>
      <c r="D284" s="2" t="inlineStr">
        <is>
          <t>VK Makeup Studio &amp; Academy</t>
        </is>
      </c>
      <c r="E284" s="2" t="inlineStr">
        <is>
          <t>Beauty &amp; Makeup</t>
        </is>
      </c>
      <c r="F284" s="2" t="inlineStr">
        <is>
          <t>BM-INDEPENDENT-MUA</t>
        </is>
      </c>
      <c r="G284" s="2" t="inlineStr">
        <is>
          <t>Wedding &amp; Occasion</t>
        </is>
      </c>
      <c r="H284" s="2" t="inlineStr">
        <is>
          <t>Bridal Makeup Artist</t>
        </is>
      </c>
      <c r="I284" s="2" t="inlineStr">
        <is>
          <t>Jaipur</t>
        </is>
      </c>
      <c r="J284" s="2" t="inlineStr">
        <is>
          <t>B — Established Independent</t>
        </is>
      </c>
      <c r="K284" s="2" t="inlineStr">
        <is>
          <t>Independent artist</t>
        </is>
      </c>
      <c r="L284" s="2" t="inlineStr">
        <is>
          <t>P1</t>
        </is>
      </c>
      <c r="M284" s="2" t="inlineStr">
        <is>
          <t>P0</t>
        </is>
      </c>
      <c r="N284" s="2" t="n">
        <v>67.59999999999999</v>
      </c>
      <c r="O284" s="2" t="n">
        <v>67</v>
      </c>
      <c r="P284" s="2" t="n">
        <v>55.5</v>
      </c>
      <c r="Q284" s="2" t="n">
        <v>59</v>
      </c>
      <c r="R284" s="2" t="n">
        <v>20</v>
      </c>
      <c r="S284" s="2" t="inlineStr">
        <is>
          <t>C3-PRO-SOCIAL</t>
        </is>
      </c>
      <c r="T284" s="2" t="inlineStr">
        <is>
          <t>1:1 Instagram DM from Uepaki professional account</t>
        </is>
      </c>
      <c r="U284" s="2" t="inlineStr">
        <is>
          <t>https://www.instagram.com/teamvaibhikumawat/?hl=en</t>
        </is>
      </c>
      <c r="V284" s="2" t="inlineStr">
        <is>
          <t>2026-09 — WeddingSutra profile dated</t>
        </is>
      </c>
      <c r="W284" s="2" t="inlineStr">
        <is>
          <t>8+ years; bridal, fashion, creative, editorial (WS)</t>
        </is>
      </c>
      <c r="X284" s="2" t="inlineStr">
        <is>
          <t>WeddingSutra (Vendor showcase profile)</t>
        </is>
      </c>
      <c r="Y284" s="2" t="inlineStr">
        <is>
          <t>Readiness 68 (top 34% in category) | Commercial: 8+ years; bridal, fashion, creative, editorial (WS) | Active: 2026-09 — WeddingSutra profile dated | Independent/emerging tier — fame not a factor</t>
        </is>
      </c>
      <c r="Z284" s="2" t="inlineStr">
        <is>
          <t>Lead with their bridal portfolio. Ask how bookings arrive today. Be explicit that service/booking availability at launch is being confirmed (EV-09).</t>
        </is>
      </c>
      <c r="AA284" s="2" t="inlineStr">
        <is>
          <t>Bookings largely via Instagram/referrals</t>
        </is>
      </c>
      <c r="AB284" s="2" t="inlineStr">
        <is>
          <t>Bookings already via wedding portals/Instagram; off-platform client contact (SP-4a open); peak-season time</t>
        </is>
      </c>
      <c r="AC284" s="2" t="inlineStr">
        <is>
          <t>E05 channel/segment test (assign at wave start)</t>
        </is>
      </c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</row>
    <row r="285">
      <c r="A285" s="2" t="n">
        <v>284</v>
      </c>
      <c r="B285" s="2" t="inlineStr">
        <is>
          <t>Wave 2 — Category &amp; city expansion</t>
        </is>
      </c>
      <c r="C285" s="2" t="inlineStr">
        <is>
          <t>UPK2-BM-060</t>
        </is>
      </c>
      <c r="D285" s="2" t="inlineStr">
        <is>
          <t>MUA Shrruti Saraff</t>
        </is>
      </c>
      <c r="E285" s="2" t="inlineStr">
        <is>
          <t>Beauty &amp; Makeup</t>
        </is>
      </c>
      <c r="F285" s="2" t="inlineStr">
        <is>
          <t>BM-INDEPENDENT-MUA</t>
        </is>
      </c>
      <c r="G285" s="2" t="inlineStr">
        <is>
          <t>Wedding &amp; Occasion</t>
        </is>
      </c>
      <c r="H285" s="2" t="inlineStr">
        <is>
          <t>Bridal Makeup Artist</t>
        </is>
      </c>
      <c r="I285" s="2" t="inlineStr">
        <is>
          <t>Jaipur</t>
        </is>
      </c>
      <c r="J285" s="2" t="inlineStr">
        <is>
          <t>B — Established Independent</t>
        </is>
      </c>
      <c r="K285" s="2" t="inlineStr">
        <is>
          <t>Independent artist</t>
        </is>
      </c>
      <c r="L285" s="2" t="inlineStr">
        <is>
          <t>P1</t>
        </is>
      </c>
      <c r="M285" s="2" t="inlineStr">
        <is>
          <t>P0</t>
        </is>
      </c>
      <c r="N285" s="2" t="n">
        <v>67.59999999999999</v>
      </c>
      <c r="O285" s="2" t="n">
        <v>67</v>
      </c>
      <c r="P285" s="2" t="n">
        <v>57</v>
      </c>
      <c r="Q285" s="2" t="n">
        <v>64</v>
      </c>
      <c r="R285" s="2" t="n">
        <v>20</v>
      </c>
      <c r="S285" s="2" t="inlineStr">
        <is>
          <t>C3-PRO-SOCIAL</t>
        </is>
      </c>
      <c r="T285" s="2" t="inlineStr">
        <is>
          <t>1:1 Instagram DM from Uepaki professional account</t>
        </is>
      </c>
      <c r="U285" s="2" t="inlineStr">
        <is>
          <t>https://www.instagram.com/makeupbyshrrutisaraff/</t>
        </is>
      </c>
      <c r="V285" s="2" t="inlineStr">
        <is>
          <t>2026-06 — WeddingSutra profile dated</t>
        </is>
      </c>
      <c r="W285" s="2" t="inlineStr">
        <is>
          <t>Luxury bridal &amp; destination weddings (WS)</t>
        </is>
      </c>
      <c r="X285" s="2" t="inlineStr">
        <is>
          <t>WeddingSutra (Vendor showcase profile)</t>
        </is>
      </c>
      <c r="Y285" s="2" t="inlineStr">
        <is>
          <t>Readiness 68 (top 34% in category) | Commercial: Luxury bridal &amp; destination weddings (WS) | Active: 2026-06 — WeddingSutra profile dated | Independent/emerging tier — fame not a factor</t>
        </is>
      </c>
      <c r="Z285" s="2" t="inlineStr">
        <is>
          <t>Lead with their bridal portfolio. Ask how bookings arrive today. Be explicit that service/booking availability at launch is being confirmed (EV-09).</t>
        </is>
      </c>
      <c r="AA285" s="2" t="inlineStr">
        <is>
          <t>Bookings largely via Instagram/referrals</t>
        </is>
      </c>
      <c r="AB285" s="2" t="inlineStr">
        <is>
          <t>Bookings already via wedding portals/Instagram; off-platform client contact (SP-4a open); peak-season time</t>
        </is>
      </c>
      <c r="AC285" s="2" t="inlineStr">
        <is>
          <t>E05 channel/segment test (assign at wave start)</t>
        </is>
      </c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</row>
    <row r="286">
      <c r="A286" s="2" t="n">
        <v>285</v>
      </c>
      <c r="B286" s="2" t="inlineStr">
        <is>
          <t>Wave 2 — Category &amp; city expansion</t>
        </is>
      </c>
      <c r="C286" s="2" t="inlineStr">
        <is>
          <t>UPK2-BM-088</t>
        </is>
      </c>
      <c r="D286" s="2" t="inlineStr">
        <is>
          <t>Jyoti Sachdeva Makeup</t>
        </is>
      </c>
      <c r="E286" s="2" t="inlineStr">
        <is>
          <t>Beauty &amp; Makeup</t>
        </is>
      </c>
      <c r="F286" s="2" t="inlineStr">
        <is>
          <t>BM-INDEPENDENT-MUA</t>
        </is>
      </c>
      <c r="G286" s="2" t="inlineStr">
        <is>
          <t>Wedding &amp; Occasion</t>
        </is>
      </c>
      <c r="H286" s="2" t="inlineStr">
        <is>
          <t>Celebrity &amp; Bridal Makeup Artist</t>
        </is>
      </c>
      <c r="I286" s="2" t="inlineStr">
        <is>
          <t>Chandigarh</t>
        </is>
      </c>
      <c r="J286" s="2" t="inlineStr">
        <is>
          <t>B — Established Independent</t>
        </is>
      </c>
      <c r="K286" s="2" t="inlineStr">
        <is>
          <t>Independent artist</t>
        </is>
      </c>
      <c r="L286" s="2" t="inlineStr">
        <is>
          <t>P1</t>
        </is>
      </c>
      <c r="M286" s="2" t="inlineStr">
        <is>
          <t>P0</t>
        </is>
      </c>
      <c r="N286" s="2" t="n">
        <v>70.5</v>
      </c>
      <c r="O286" s="2" t="n">
        <v>87</v>
      </c>
      <c r="P286" s="2" t="n">
        <v>55</v>
      </c>
      <c r="Q286" s="2" t="n">
        <v>59</v>
      </c>
      <c r="R286" s="2" t="n">
        <v>10</v>
      </c>
      <c r="S286" s="2" t="inlineStr">
        <is>
          <t>C1-DIRECT-VERIFIED</t>
        </is>
      </c>
      <c r="T286" s="2" t="inlineStr">
        <is>
          <t>1:1 message via own-website contact form</t>
        </is>
      </c>
      <c r="U286" s="2" t="inlineStr">
        <is>
          <t>https://jyotisachdeva.com/</t>
        </is>
      </c>
      <c r="V286" s="2" t="inlineStr">
        <is>
          <t>Site live 2026-10 (no dated content)</t>
        </is>
      </c>
      <c r="W286" s="2" t="inlineStr">
        <is>
          <t>Panchkula; on-location bridal, trials by appointment; hair &amp; nail art</t>
        </is>
      </c>
      <c r="X286" s="2" t="inlineStr">
        <is>
          <t>Own website (First-party site)</t>
        </is>
      </c>
      <c r="Y286" s="2" t="inlineStr">
        <is>
          <t>Readiness 70 (top 14% in category) | Commercial: Panchkula; on-location bridal, trials by appointment; hair &amp; nail art | Active: Site live 2026-10 (no dated content) | Independent/emerging tier — fame not a factor</t>
        </is>
      </c>
      <c r="Z286" s="2" t="inlineStr">
        <is>
          <t>Lead with their bridal portfolio. Ask how bookings arrive today. Be explicit that service/booking availability at launch is being confirmed (EV-09).</t>
        </is>
      </c>
      <c r="AA286" s="2" t="inlineStr">
        <is>
          <t>—</t>
        </is>
      </c>
      <c r="AB286" s="2" t="inlineStr">
        <is>
          <t>Bookings already via wedding portals/Instagram; off-platform client contact (SP-4a open); peak-season time</t>
        </is>
      </c>
      <c r="AC286" s="2" t="inlineStr">
        <is>
          <t>E05 channel/segment test (assign at wave start)</t>
        </is>
      </c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</row>
    <row r="287">
      <c r="A287" s="2" t="n">
        <v>286</v>
      </c>
      <c r="B287" s="2" t="inlineStr">
        <is>
          <t>Wave 2 — Category &amp; city expansion</t>
        </is>
      </c>
      <c r="C287" s="2" t="inlineStr">
        <is>
          <t>UPK2-BM-069</t>
        </is>
      </c>
      <c r="D287" s="2" t="inlineStr">
        <is>
          <t>Anuradha Makeup Artist</t>
        </is>
      </c>
      <c r="E287" s="2" t="inlineStr">
        <is>
          <t>Beauty &amp; Makeup</t>
        </is>
      </c>
      <c r="F287" s="2" t="inlineStr">
        <is>
          <t>BM-INDEPENDENT-MUA</t>
        </is>
      </c>
      <c r="G287" s="2" t="inlineStr">
        <is>
          <t>Wedding &amp; Occasion</t>
        </is>
      </c>
      <c r="H287" s="2" t="inlineStr">
        <is>
          <t>At-home Bridal &amp; Party MUA</t>
        </is>
      </c>
      <c r="I287" s="2" t="inlineStr">
        <is>
          <t>Mumbai</t>
        </is>
      </c>
      <c r="J287" s="2" t="inlineStr">
        <is>
          <t>A — Emerging / High-potential</t>
        </is>
      </c>
      <c r="K287" s="2" t="inlineStr">
        <is>
          <t>Independent professional</t>
        </is>
      </c>
      <c r="L287" s="2" t="inlineStr">
        <is>
          <t>P1</t>
        </is>
      </c>
      <c r="M287" s="2" t="inlineStr">
        <is>
          <t>P0</t>
        </is>
      </c>
      <c r="N287" s="2" t="n">
        <v>67.5</v>
      </c>
      <c r="O287" s="2" t="n">
        <v>66</v>
      </c>
      <c r="P287" s="2" t="n">
        <v>53.4</v>
      </c>
      <c r="Q287" s="2" t="n">
        <v>59</v>
      </c>
      <c r="R287" s="2" t="n">
        <v>10</v>
      </c>
      <c r="S287" s="2" t="inlineStr">
        <is>
          <t>C3-PRO-SOCIAL</t>
        </is>
      </c>
      <c r="T287" s="2" t="inlineStr">
        <is>
          <t>1:1 Instagram DM from Uepaki professional account</t>
        </is>
      </c>
      <c r="U287" s="2" t="inlineStr">
        <is>
          <t>https://anuradhamakeupartist.com/</t>
        </is>
      </c>
      <c r="V287" s="2" t="inlineStr">
        <is>
          <t>2026 — site content</t>
        </is>
      </c>
      <c r="W287" s="2" t="inlineStr">
        <is>
          <t>50+ brides; pricing published (site)</t>
        </is>
      </c>
      <c r="X287" s="2" t="inlineStr"/>
      <c r="Y287" s="2" t="inlineStr">
        <is>
          <t>Readiness 68 (top 35% in category) | Commercial: 50+ brides; pricing published (site) | Active: 2026 — site content | Independent/emerging tier — fame not a factor</t>
        </is>
      </c>
      <c r="Z287" s="2" t="inlineStr">
        <is>
          <t>Lead with their bridal portfolio. Ask how bookings arrive today. Be explicit that service/booking availability at launch is being confirmed (EV-09).</t>
        </is>
      </c>
      <c r="AA287" s="2" t="inlineStr">
        <is>
          <t>Already gets leads via own site, Google and Instagram</t>
        </is>
      </c>
      <c r="AB287" s="2" t="inlineStr">
        <is>
          <t>Bookings already via wedding portals/Instagram; off-platform client contact (SP-4a open); peak-season time</t>
        </is>
      </c>
      <c r="AC287" s="2" t="inlineStr">
        <is>
          <t>E05 channel/segment test (assign at wave start)</t>
        </is>
      </c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</row>
    <row r="288">
      <c r="A288" s="2" t="n">
        <v>287</v>
      </c>
      <c r="B288" s="2" t="inlineStr">
        <is>
          <t>Wave 2 — Category &amp; city expansion</t>
        </is>
      </c>
      <c r="C288" s="2" t="inlineStr">
        <is>
          <t>UPK-CM-006</t>
        </is>
      </c>
      <c r="D288" s="2" t="inlineStr">
        <is>
          <t>Trumatter</t>
        </is>
      </c>
      <c r="E288" s="2" t="inlineStr">
        <is>
          <t>Content &amp; Media</t>
        </is>
      </c>
      <c r="F288" s="2" t="inlineStr">
        <is>
          <t>CM-BLOGGER-WRITER</t>
        </is>
      </c>
      <c r="G288" s="2" t="inlineStr">
        <is>
          <t>Brand &amp; Everyday Style</t>
        </is>
      </c>
      <c r="H288" s="2" t="inlineStr">
        <is>
          <t>Home Decor &amp; Interior Styling Creator</t>
        </is>
      </c>
      <c r="I288" s="2" t="inlineStr">
        <is>
          <t>Bengaluru</t>
        </is>
      </c>
      <c r="J288" s="2" t="inlineStr">
        <is>
          <t>B — Established Independent</t>
        </is>
      </c>
      <c r="K288" s="2" t="inlineStr">
        <is>
          <t>Creator</t>
        </is>
      </c>
      <c r="L288" s="2" t="inlineStr">
        <is>
          <t>P1</t>
        </is>
      </c>
      <c r="M288" s="2" t="inlineStr">
        <is>
          <t>P1</t>
        </is>
      </c>
      <c r="N288" s="2" t="n">
        <v>66.90000000000001</v>
      </c>
      <c r="O288" s="2" t="n">
        <v>66</v>
      </c>
      <c r="P288" s="2" t="n">
        <v>60.6</v>
      </c>
      <c r="Q288" s="2" t="n">
        <v>64</v>
      </c>
      <c r="R288" s="2" t="n">
        <v>40</v>
      </c>
      <c r="S288" s="2" t="inlineStr">
        <is>
          <t>C1-DIRECT-VERIFIED</t>
        </is>
      </c>
      <c r="T288" s="2" t="inlineStr">
        <is>
          <t>1:1 message via own-website contact form</t>
        </is>
      </c>
      <c r="U288" s="2" t="inlineStr">
        <is>
          <t>https://trumatter.in/</t>
        </is>
      </c>
      <c r="V288" s="2" t="inlineStr">
        <is>
          <t>2025 — blog post 'Fall Tablescape Ideas for 2025' on trumatter.in [V2]</t>
        </is>
      </c>
      <c r="W288" s="2" t="inlineStr">
        <is>
          <t>Public creator media kit (Elev8or) listing rates/services for brand collaborations; also runs a product account per media kit</t>
        </is>
      </c>
      <c r="X288" s="2" t="inlineStr">
        <is>
          <t>Elev8or (Profile/portfolio)</t>
        </is>
      </c>
      <c r="Y288" s="2" t="inlineStr">
        <is>
          <t>Readiness 67 (top 35% in category) | Commercial: Public creator media kit (Elev8or) listing rates/services for brand collaborations; also… | Active: 2025 — blog post 'Fall Tablescape Ideas for 2025' on trumatter.in [V2] | Independent/emerging tier — fame not a factor</t>
        </is>
      </c>
      <c r="Z288" s="2" t="inlineStr">
        <is>
          <t>Lead with their writing/beat. Content work as a professional service for brands; clients, not audience.</t>
        </is>
      </c>
      <c r="AA288" s="2" t="inlineStr">
        <is>
          <t>Already gets brand work via direct DMs/agencies</t>
        </is>
      </c>
      <c r="AB288" s="2" t="inlineStr">
        <is>
          <t>Work via agencies/creator platforms; wants proof brands/clients are present</t>
        </is>
      </c>
      <c r="AC288" s="2" t="inlineStr">
        <is>
          <t>E05 channel/segment test (assign at wave start)</t>
        </is>
      </c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</row>
    <row r="289">
      <c r="A289" s="2" t="n">
        <v>288</v>
      </c>
      <c r="B289" s="2" t="inlineStr">
        <is>
          <t>Wave 2 — Category &amp; city expansion</t>
        </is>
      </c>
      <c r="C289" s="2" t="inlineStr">
        <is>
          <t>UPK2-CM-022</t>
        </is>
      </c>
      <c r="D289" s="2" t="inlineStr">
        <is>
          <t>Rohit Dassani</t>
        </is>
      </c>
      <c r="E289" s="2" t="inlineStr">
        <is>
          <t>Content &amp; Media</t>
        </is>
      </c>
      <c r="F289" s="2" t="inlineStr">
        <is>
          <t>CM-BLOGGER-WRITER</t>
        </is>
      </c>
      <c r="G289" s="2" t="inlineStr">
        <is>
          <t>Brand &amp; Everyday Style</t>
        </is>
      </c>
      <c r="H289" s="2" t="inlineStr">
        <is>
          <t>Food blogger, photographer &amp; reviewer</t>
        </is>
      </c>
      <c r="I289" s="2" t="inlineStr">
        <is>
          <t>Bengaluru</t>
        </is>
      </c>
      <c r="J289" s="2" t="inlineStr">
        <is>
          <t>B — Established Independent</t>
        </is>
      </c>
      <c r="K289" s="2" t="inlineStr">
        <is>
          <t>Independent creator/blog</t>
        </is>
      </c>
      <c r="L289" s="2" t="inlineStr">
        <is>
          <t>P1</t>
        </is>
      </c>
      <c r="M289" s="2" t="inlineStr">
        <is>
          <t>P0</t>
        </is>
      </c>
      <c r="N289" s="2" t="n">
        <v>67.3</v>
      </c>
      <c r="O289" s="2" t="n">
        <v>72</v>
      </c>
      <c r="P289" s="2" t="n">
        <v>57.6</v>
      </c>
      <c r="Q289" s="2" t="n">
        <v>63</v>
      </c>
      <c r="R289" s="2" t="n">
        <v>25</v>
      </c>
      <c r="S289" s="2" t="inlineStr">
        <is>
          <t>C1-DIRECT-VERIFIED</t>
        </is>
      </c>
      <c r="T289" s="2" t="inlineStr">
        <is>
          <t>1:1 message via own-website contact form</t>
        </is>
      </c>
      <c r="U289" s="2" t="inlineStr">
        <is>
          <t>https://www.rohitdassani.com/contact</t>
        </is>
      </c>
      <c r="V289" s="2" t="inlineStr">
        <is>
          <t>2025 — posts dated 2025</t>
        </is>
      </c>
      <c r="W289" s="2" t="inlineStr">
        <is>
          <t>Restaurant/food reviews and experiences; contact page</t>
        </is>
      </c>
      <c r="X289" s="2" t="inlineStr">
        <is>
          <t>Feedspot (Listed in Indian food blogs)</t>
        </is>
      </c>
      <c r="Y289" s="2" t="inlineStr">
        <is>
          <t>Readiness 67 (top 29% in category) | Commercial: Restaurant/food reviews and experiences; contact page | Active: 2025 — posts dated 2025 | Independent/emerging tier — fame not a factor</t>
        </is>
      </c>
      <c r="Z289" s="2" t="inlineStr">
        <is>
          <t>Lead with their writing/beat. Content work as a professional service for brands; clients, not audience.</t>
        </is>
      </c>
      <c r="AA289" s="2" t="inlineStr">
        <is>
          <t>Works through agencies/creator platforms; wants evidence brands are on the platform.</t>
        </is>
      </c>
      <c r="AB289" s="2" t="inlineStr">
        <is>
          <t>Work via agencies/creator platforms; wants proof brands/clients are present</t>
        </is>
      </c>
      <c r="AC289" s="2" t="inlineStr">
        <is>
          <t>E05 channel/segment test (assign at wave start)</t>
        </is>
      </c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</row>
    <row r="290">
      <c r="A290" s="2" t="n">
        <v>289</v>
      </c>
      <c r="B290" s="2" t="inlineStr">
        <is>
          <t>Wave 2 — Category &amp; city expansion</t>
        </is>
      </c>
      <c r="C290" s="2" t="inlineStr">
        <is>
          <t>UPK2-CM-054</t>
        </is>
      </c>
      <c r="D290" s="2" t="inlineStr">
        <is>
          <t>Vishal Malhotra</t>
        </is>
      </c>
      <c r="E290" s="2" t="inlineStr">
        <is>
          <t>Content &amp; Media</t>
        </is>
      </c>
      <c r="F290" s="2" t="inlineStr">
        <is>
          <t>CM-EMCEE-HOST</t>
        </is>
      </c>
      <c r="G290" s="2" t="inlineStr">
        <is>
          <t>Wedding &amp; Occasion</t>
        </is>
      </c>
      <c r="H290" s="2" t="inlineStr">
        <is>
          <t>Wedding &amp; event emcee / anchor</t>
        </is>
      </c>
      <c r="I290" s="2" t="inlineStr">
        <is>
          <t>Mumbai</t>
        </is>
      </c>
      <c r="J290" s="2" t="inlineStr">
        <is>
          <t>A — Emerging / High-potential</t>
        </is>
      </c>
      <c r="K290" s="2" t="inlineStr">
        <is>
          <t>Independent professional</t>
        </is>
      </c>
      <c r="L290" s="2" t="inlineStr">
        <is>
          <t>P1</t>
        </is>
      </c>
      <c r="M290" s="2" t="inlineStr">
        <is>
          <t>P0</t>
        </is>
      </c>
      <c r="N290" s="2" t="n">
        <v>70.90000000000001</v>
      </c>
      <c r="O290" s="2" t="n">
        <v>89</v>
      </c>
      <c r="P290" s="2" t="n">
        <v>56.2</v>
      </c>
      <c r="Q290" s="2" t="n">
        <v>59</v>
      </c>
      <c r="R290" s="2" t="n">
        <v>15</v>
      </c>
      <c r="S290" s="2" t="inlineStr">
        <is>
          <t>C3-PRO-SOCIAL</t>
        </is>
      </c>
      <c r="T290" s="2" t="inlineStr">
        <is>
          <t>1:1 Instagram DM from Uepaki professional account</t>
        </is>
      </c>
      <c r="U290" s="2" t="inlineStr">
        <is>
          <t>https://www.instagram.com/anchorvishalmalhotra</t>
        </is>
      </c>
      <c r="V290" s="2" t="inlineStr">
        <is>
          <t>2026-09 — WeddingSutra vendor profile updated; carries WeddingSutra Favorites 2026 badge</t>
        </is>
      </c>
      <c r="W290" s="2" t="inlineStr">
        <is>
          <t>Listed by WeddingSutra as a wedding emcee serving Mumbai; WedMeGood lists starting price ₹1,25,000 and 0 reviews</t>
        </is>
      </c>
      <c r="X290" s="2" t="inlineStr">
        <is>
          <t>WeddingSutra (vendor showcase profile (Emcees)); WedMeGood (vendor profile (Lite listing; 0 reviews))</t>
        </is>
      </c>
      <c r="Y290" s="2" t="inlineStr">
        <is>
          <t>Readiness 71 (top 12% in category) | Commercial: Listed by WeddingSutra as a wedding emcee serving Mumbai; WedMeGood lists starting price… | Active: 2026-09 — WeddingSutra vendor profile updated; carries WeddingSutra F… | Marketplace-familiar: WeddingSutra); WedMeGood) | Independent/emerging tier — fame not a factor</t>
        </is>
      </c>
      <c r="Z290" s="2" t="inlineStr">
        <is>
          <t>Lead with the event formats they host. Services as a professional; clients, not followers.</t>
        </is>
      </c>
      <c r="AA290" s="2" t="inlineStr">
        <is>
          <t>Gets bookings via Instagram and wedding marketplaces already; may see another profile as low priority.</t>
        </is>
      </c>
      <c r="AB290" s="2" t="inlineStr">
        <is>
          <t>Work via agencies/creator platforms; wants proof brands/clients are present</t>
        </is>
      </c>
      <c r="AC290" s="2" t="inlineStr">
        <is>
          <t>E05 channel/segment test (assign at wave start)</t>
        </is>
      </c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</row>
    <row r="291">
      <c r="A291" s="2" t="n">
        <v>290</v>
      </c>
      <c r="B291" s="2" t="inlineStr">
        <is>
          <t>Wave 2 — Category &amp; city expansion</t>
        </is>
      </c>
      <c r="C291" s="2" t="inlineStr">
        <is>
          <t>UPK2-CM-055</t>
        </is>
      </c>
      <c r="D291" s="2" t="inlineStr">
        <is>
          <t>Lamhe by Digital Aakaar</t>
        </is>
      </c>
      <c r="E291" s="2" t="inlineStr">
        <is>
          <t>Content &amp; Media</t>
        </is>
      </c>
      <c r="F291" s="2" t="inlineStr">
        <is>
          <t>CM-CONTENT-CREATOR</t>
        </is>
      </c>
      <c r="G291" s="2" t="inlineStr">
        <is>
          <t>Wedding &amp; Occasion</t>
        </is>
      </c>
      <c r="H291" s="2" t="inlineStr">
        <is>
          <t>Wedding content creator (reels/BTS)</t>
        </is>
      </c>
      <c r="I291" s="2" t="inlineStr">
        <is>
          <t>Mumbai</t>
        </is>
      </c>
      <c r="J291" s="2" t="inlineStr">
        <is>
          <t>A — Emerging / High-potential</t>
        </is>
      </c>
      <c r="K291" s="2" t="inlineStr">
        <is>
          <t>Small studio</t>
        </is>
      </c>
      <c r="L291" s="2" t="inlineStr">
        <is>
          <t>P1</t>
        </is>
      </c>
      <c r="M291" s="2" t="inlineStr">
        <is>
          <t>P0</t>
        </is>
      </c>
      <c r="N291" s="2" t="n">
        <v>67.8</v>
      </c>
      <c r="O291" s="2" t="n">
        <v>74</v>
      </c>
      <c r="P291" s="2" t="n">
        <v>55.8</v>
      </c>
      <c r="Q291" s="2" t="n">
        <v>63</v>
      </c>
      <c r="R291" s="2" t="n">
        <v>15</v>
      </c>
      <c r="S291" s="2" t="inlineStr">
        <is>
          <t>C3-PRO-SOCIAL</t>
        </is>
      </c>
      <c r="T291" s="2" t="inlineStr">
        <is>
          <t>1:1 Instagram DM from Uepaki professional account</t>
        </is>
      </c>
      <c r="U291" s="2" t="inlineStr">
        <is>
          <t>https://lamhebydigitalaakaar.com</t>
        </is>
      </c>
      <c r="V291" s="2" t="inlineStr">
        <is>
          <t>2026-07 — WeddingSutra vendor profile updated; carries WeddingSutra Favorites 2026 badge</t>
        </is>
      </c>
      <c r="W291" s="2" t="inlineStr">
        <is>
          <t>Listed by WeddingSutra as a wedding content creator serving Mumbai</t>
        </is>
      </c>
      <c r="X291" s="2" t="inlineStr">
        <is>
          <t>WeddingSutra (vendor showcase profile (Wedding Content Creators))</t>
        </is>
      </c>
      <c r="Y291" s="2" t="inlineStr">
        <is>
          <t>Readiness 68 (top 27% in category) | Commercial: Listed by WeddingSutra as a wedding content creator serving Mumbai | Active: 2026-07 — WeddingSutra vendor profile updated; carries WeddingSutra F… | Independent/emerging tier — fame not a factor</t>
        </is>
      </c>
      <c r="Z291" s="2" t="inlineStr">
        <is>
          <t>Lead with a specific piece of content work. Content production as a professional service for clients; never follower language.</t>
        </is>
      </c>
      <c r="AA291" s="2" t="inlineStr">
        <is>
          <t>Gets bookings via Instagram and wedding marketplaces already; may see another profile as low priority.</t>
        </is>
      </c>
      <c r="AB291" s="2" t="inlineStr">
        <is>
          <t>Work via agencies/creator platforms; wants proof brands/clients are present</t>
        </is>
      </c>
      <c r="AC291" s="2" t="inlineStr">
        <is>
          <t>E05 channel/segment test (assign at wave start)</t>
        </is>
      </c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</row>
    <row r="292">
      <c r="A292" s="2" t="n">
        <v>291</v>
      </c>
      <c r="B292" s="2" t="inlineStr">
        <is>
          <t>Wave 2 — Category &amp; city expansion</t>
        </is>
      </c>
      <c r="C292" s="2" t="inlineStr">
        <is>
          <t>UPK2-CM-064</t>
        </is>
      </c>
      <c r="D292" s="2" t="inlineStr">
        <is>
          <t>Yash Bhatia</t>
        </is>
      </c>
      <c r="E292" s="2" t="inlineStr">
        <is>
          <t>Content &amp; Media</t>
        </is>
      </c>
      <c r="F292" s="2" t="inlineStr">
        <is>
          <t>CM-EMCEE-HOST</t>
        </is>
      </c>
      <c r="G292" s="2" t="inlineStr">
        <is>
          <t>Wedding &amp; Occasion</t>
        </is>
      </c>
      <c r="H292" s="2" t="inlineStr">
        <is>
          <t>Wedding &amp; event emcee / anchor</t>
        </is>
      </c>
      <c r="I292" s="2" t="inlineStr">
        <is>
          <t>Mumbai</t>
        </is>
      </c>
      <c r="J292" s="2" t="inlineStr">
        <is>
          <t>A — Emerging / High-potential</t>
        </is>
      </c>
      <c r="K292" s="2" t="inlineStr">
        <is>
          <t>Independent professional</t>
        </is>
      </c>
      <c r="L292" s="2" t="inlineStr">
        <is>
          <t>P1</t>
        </is>
      </c>
      <c r="M292" s="2" t="inlineStr">
        <is>
          <t>P0</t>
        </is>
      </c>
      <c r="N292" s="2" t="n">
        <v>67.2</v>
      </c>
      <c r="O292" s="2" t="n">
        <v>71</v>
      </c>
      <c r="P292" s="2" t="n">
        <v>55.2</v>
      </c>
      <c r="Q292" s="2" t="n">
        <v>62</v>
      </c>
      <c r="R292" s="2" t="n">
        <v>15</v>
      </c>
      <c r="S292" s="2" t="inlineStr">
        <is>
          <t>C3-PRO-SOCIAL</t>
        </is>
      </c>
      <c r="T292" s="2" t="inlineStr">
        <is>
          <t>1:1 Instagram DM from Uepaki professional account</t>
        </is>
      </c>
      <c r="U292" s="2" t="inlineStr">
        <is>
          <t>https://anchoryashbhatia.com</t>
        </is>
      </c>
      <c r="V292" s="2" t="inlineStr">
        <is>
          <t>2026-07 — WeddingSutra vendor profile updated; carries WeddingSutra Favorites 2026 badge</t>
        </is>
      </c>
      <c r="W292" s="2" t="inlineStr">
        <is>
          <t>Listed by WeddingSutra as a wedding emcee serving Mumbai, Jaipur, Udaipur and Goa</t>
        </is>
      </c>
      <c r="X292" s="2" t="inlineStr">
        <is>
          <t>WeddingSutra (vendor showcase profile (Emcees))</t>
        </is>
      </c>
      <c r="Y292" s="2" t="inlineStr">
        <is>
          <t>Readiness 67 (top 30% in category) | Commercial: Listed by WeddingSutra as a wedding emcee serving Mumbai, Jaipur, Udaipur and Goa | Active: 2026-07 — WeddingSutra vendor profile updated; carries WeddingSutra F… | Independent/emerging tier — fame not a factor</t>
        </is>
      </c>
      <c r="Z292" s="2" t="inlineStr">
        <is>
          <t>Lead with the event formats they host. Services as a professional; clients, not followers.</t>
        </is>
      </c>
      <c r="AA292" s="2" t="inlineStr">
        <is>
          <t>Gets bookings via Instagram and wedding marketplaces already; may see another profile as low priority.</t>
        </is>
      </c>
      <c r="AB292" s="2" t="inlineStr">
        <is>
          <t>Work via agencies/creator platforms; wants proof brands/clients are present</t>
        </is>
      </c>
      <c r="AC292" s="2" t="inlineStr">
        <is>
          <t>E05 channel/segment test (assign at wave start)</t>
        </is>
      </c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</row>
    <row r="293">
      <c r="A293" s="2" t="n">
        <v>292</v>
      </c>
      <c r="B293" s="2" t="inlineStr">
        <is>
          <t>Wave 2 — Category &amp; city expansion</t>
        </is>
      </c>
      <c r="C293" s="2" t="inlineStr">
        <is>
          <t>UPK2-CM-103</t>
        </is>
      </c>
      <c r="D293" s="2" t="inlineStr">
        <is>
          <t>Shot Stories</t>
        </is>
      </c>
      <c r="E293" s="2" t="inlineStr">
        <is>
          <t>Content &amp; Media</t>
        </is>
      </c>
      <c r="F293" s="2" t="inlineStr">
        <is>
          <t>CM-CONTENT-CREATOR</t>
        </is>
      </c>
      <c r="G293" s="2" t="inlineStr">
        <is>
          <t>Wedding &amp; Occasion</t>
        </is>
      </c>
      <c r="H293" s="2" t="inlineStr">
        <is>
          <t>Wedding content creator (reels/BTS)</t>
        </is>
      </c>
      <c r="I293" s="2" t="inlineStr">
        <is>
          <t>Kolkata</t>
        </is>
      </c>
      <c r="J293" s="2" t="inlineStr">
        <is>
          <t>A — Emerging / High-potential</t>
        </is>
      </c>
      <c r="K293" s="2" t="inlineStr">
        <is>
          <t>Small studio</t>
        </is>
      </c>
      <c r="L293" s="2" t="inlineStr">
        <is>
          <t>P1</t>
        </is>
      </c>
      <c r="M293" s="2" t="inlineStr">
        <is>
          <t>P0</t>
        </is>
      </c>
      <c r="N293" s="2" t="n">
        <v>67.8</v>
      </c>
      <c r="O293" s="2" t="n">
        <v>74</v>
      </c>
      <c r="P293" s="2" t="n">
        <v>54.9</v>
      </c>
      <c r="Q293" s="2" t="n">
        <v>60</v>
      </c>
      <c r="R293" s="2" t="n">
        <v>15</v>
      </c>
      <c r="S293" s="2" t="inlineStr">
        <is>
          <t>C3-PRO-SOCIAL</t>
        </is>
      </c>
      <c r="T293" s="2" t="inlineStr">
        <is>
          <t>1:1 Instagram DM from Uepaki professional account</t>
        </is>
      </c>
      <c r="U293" s="2" t="inlineStr">
        <is>
          <t>https://www.instagram.com/shotstories.bts</t>
        </is>
      </c>
      <c r="V293" s="2" t="inlineStr">
        <is>
          <t>2026-07 — WeddingSutra vendor profile updated; carries WeddingSutra Favorites 2026 badge</t>
        </is>
      </c>
      <c r="W293" s="2" t="inlineStr">
        <is>
          <t>Listed by WeddingSutra as a wedding content creator serving Kolkata</t>
        </is>
      </c>
      <c r="X293" s="2" t="inlineStr">
        <is>
          <t>WeddingSutra (vendor showcase profile (Wedding Content Creators))</t>
        </is>
      </c>
      <c r="Y293" s="2" t="inlineStr">
        <is>
          <t>Readiness 68 (top 27% in category) | Commercial: Listed by WeddingSutra as a wedding content creator serving Kolkata | Active: 2026-07 — WeddingSutra vendor profile updated; carries WeddingSutra F… | Independent/emerging tier — fame not a factor</t>
        </is>
      </c>
      <c r="Z293" s="2" t="inlineStr">
        <is>
          <t>Lead with a specific piece of content work. Content production as a professional service for clients; never follower language.</t>
        </is>
      </c>
      <c r="AA293" s="2" t="inlineStr">
        <is>
          <t>Gets bookings via Instagram and wedding marketplaces already; may see another profile as low priority.</t>
        </is>
      </c>
      <c r="AB293" s="2" t="inlineStr">
        <is>
          <t>Work via agencies/creator platforms; wants proof brands/clients are present</t>
        </is>
      </c>
      <c r="AC293" s="2" t="inlineStr">
        <is>
          <t>E05 channel/segment test (assign at wave start)</t>
        </is>
      </c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</row>
    <row r="294">
      <c r="A294" s="2" t="n">
        <v>293</v>
      </c>
      <c r="B294" s="2" t="inlineStr">
        <is>
          <t>Wave 2 — Category &amp; city expansion</t>
        </is>
      </c>
      <c r="C294" s="2" t="inlineStr">
        <is>
          <t>UPK2-CM-066</t>
        </is>
      </c>
      <c r="D294" s="2" t="inlineStr">
        <is>
          <t>Ashutosh Agarwal</t>
        </is>
      </c>
      <c r="E294" s="2" t="inlineStr">
        <is>
          <t>Content &amp; Media</t>
        </is>
      </c>
      <c r="F294" s="2" t="inlineStr">
        <is>
          <t>CM-EMCEE-HOST</t>
        </is>
      </c>
      <c r="G294" s="2" t="inlineStr">
        <is>
          <t>Wedding &amp; Occasion</t>
        </is>
      </c>
      <c r="H294" s="2" t="inlineStr">
        <is>
          <t>Wedding &amp; event emcee / anchor</t>
        </is>
      </c>
      <c r="I294" s="2" t="inlineStr">
        <is>
          <t>Pune</t>
        </is>
      </c>
      <c r="J294" s="2" t="inlineStr">
        <is>
          <t>A — Emerging / High-potential</t>
        </is>
      </c>
      <c r="K294" s="2" t="inlineStr">
        <is>
          <t>Independent professional</t>
        </is>
      </c>
      <c r="L294" s="2" t="inlineStr">
        <is>
          <t>P1</t>
        </is>
      </c>
      <c r="M294" s="2" t="inlineStr">
        <is>
          <t>P0</t>
        </is>
      </c>
      <c r="N294" s="2" t="n">
        <v>71.5</v>
      </c>
      <c r="O294" s="2" t="n">
        <v>89</v>
      </c>
      <c r="P294" s="2" t="n">
        <v>56.6</v>
      </c>
      <c r="Q294" s="2" t="n">
        <v>59</v>
      </c>
      <c r="R294" s="2" t="n">
        <v>16</v>
      </c>
      <c r="S294" s="2" t="inlineStr">
        <is>
          <t>C3-PRO-SOCIAL</t>
        </is>
      </c>
      <c r="T294" s="2" t="inlineStr">
        <is>
          <t>1:1 Instagram DM from Uepaki professional account</t>
        </is>
      </c>
      <c r="U294" s="2" t="inlineStr">
        <is>
          <t>https://www.instagram.com/ashu.agarwal09</t>
        </is>
      </c>
      <c r="V294" s="2" t="inlineStr">
        <is>
          <t>2026-06 — WeddingSutra vendor profile updated; latest WedMeGood review 2020-09-17</t>
        </is>
      </c>
      <c r="W294" s="2" t="inlineStr">
        <is>
          <t>Listed by WeddingSutra as a wedding emcee serving Pune, Lonavala; WedMeGood lists starting price ₹50,000 and 4 reviews</t>
        </is>
      </c>
      <c r="X294" s="2" t="inlineStr">
        <is>
          <t>WeddingSutra (vendor showcase profile (Emcees)); WedMeGood (vendor profile (Lite listing; 4 reviews))</t>
        </is>
      </c>
      <c r="Y294" s="2" t="inlineStr">
        <is>
          <t>Readiness 72 (top 12% in category) | Commercial: Listed by WeddingSutra as a wedding emcee serving Pune, Lonavala; WedMeGood lists startin… | Active: 2026-06 — WeddingSutra vendor profile updated; latest WedMeGood revie… | Marketplace-familiar: WeddingSutra); WedMeGood) | Independent/emerging tier — fame not a factor</t>
        </is>
      </c>
      <c r="Z294" s="2" t="inlineStr">
        <is>
          <t>Lead with the event formats they host. Services as a professional; clients, not followers.</t>
        </is>
      </c>
      <c r="AA294" s="2" t="inlineStr">
        <is>
          <t>Gets bookings via Instagram and wedding marketplaces already; may see another profile as low priority.</t>
        </is>
      </c>
      <c r="AB294" s="2" t="inlineStr">
        <is>
          <t>Work via agencies/creator platforms; wants proof brands/clients are present</t>
        </is>
      </c>
      <c r="AC294" s="2" t="inlineStr">
        <is>
          <t>E05 channel/segment test (assign at wave start)</t>
        </is>
      </c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</row>
    <row r="295">
      <c r="A295" s="2" t="n">
        <v>294</v>
      </c>
      <c r="B295" s="2" t="inlineStr">
        <is>
          <t>Wave 2 — Category &amp; city expansion</t>
        </is>
      </c>
      <c r="C295" s="2" t="inlineStr">
        <is>
          <t>UPK2-CM-091</t>
        </is>
      </c>
      <c r="D295" s="2" t="inlineStr">
        <is>
          <t>Deepali Vijay</t>
        </is>
      </c>
      <c r="E295" s="2" t="inlineStr">
        <is>
          <t>Content &amp; Media</t>
        </is>
      </c>
      <c r="F295" s="2" t="inlineStr">
        <is>
          <t>CM-EMCEE-HOST</t>
        </is>
      </c>
      <c r="G295" s="2" t="inlineStr">
        <is>
          <t>Wedding &amp; Occasion</t>
        </is>
      </c>
      <c r="H295" s="2" t="inlineStr">
        <is>
          <t>Wedding &amp; event emcee / anchor</t>
        </is>
      </c>
      <c r="I295" s="2" t="inlineStr">
        <is>
          <t>Jaipur</t>
        </is>
      </c>
      <c r="J295" s="2" t="inlineStr">
        <is>
          <t>A — Emerging / High-potential</t>
        </is>
      </c>
      <c r="K295" s="2" t="inlineStr">
        <is>
          <t>Independent professional</t>
        </is>
      </c>
      <c r="L295" s="2" t="inlineStr">
        <is>
          <t>P1</t>
        </is>
      </c>
      <c r="M295" s="2" t="inlineStr">
        <is>
          <t>P0</t>
        </is>
      </c>
      <c r="N295" s="2" t="n">
        <v>67.2</v>
      </c>
      <c r="O295" s="2" t="n">
        <v>71</v>
      </c>
      <c r="P295" s="2" t="n">
        <v>54.3</v>
      </c>
      <c r="Q295" s="2" t="n">
        <v>59</v>
      </c>
      <c r="R295" s="2" t="n">
        <v>15</v>
      </c>
      <c r="S295" s="2" t="inlineStr">
        <is>
          <t>C3-PRO-SOCIAL</t>
        </is>
      </c>
      <c r="T295" s="2" t="inlineStr">
        <is>
          <t>1:1 Instagram DM from Uepaki professional account</t>
        </is>
      </c>
      <c r="U295" s="2" t="inlineStr">
        <is>
          <t>https://www.instagram.com/deepalivijaye</t>
        </is>
      </c>
      <c r="V295" s="2" t="inlineStr">
        <is>
          <t>2026-08 — WeddingSutra vendor profile updated; carries WeddingSutra Favorites 2026 badge</t>
        </is>
      </c>
      <c r="W295" s="2" t="inlineStr">
        <is>
          <t>Listed by WeddingSutra as a wedding emcee serving Jaipur, Delhi, Udaipur, Jodhpur &amp; Mumbai</t>
        </is>
      </c>
      <c r="X295" s="2" t="inlineStr">
        <is>
          <t>WeddingSutra (vendor showcase profile (Emcees))</t>
        </is>
      </c>
      <c r="Y295" s="2" t="inlineStr">
        <is>
          <t>Readiness 67 (top 30% in category) | Commercial: Listed by WeddingSutra as a wedding emcee serving Jaipur, Delhi, Udaipur, Jodhpur &amp; Mumbai | Active: 2026-08 — WeddingSutra vendor profile updated; carries WeddingSutra F… | Independent/emerging tier — fame not a factor</t>
        </is>
      </c>
      <c r="Z295" s="2" t="inlineStr">
        <is>
          <t>Lead with the event formats they host. Services as a professional; clients, not followers.</t>
        </is>
      </c>
      <c r="AA295" s="2" t="inlineStr">
        <is>
          <t>Gets bookings via Instagram and wedding marketplaces already; may see another profile as low priority.</t>
        </is>
      </c>
      <c r="AB295" s="2" t="inlineStr">
        <is>
          <t>Work via agencies/creator platforms; wants proof brands/clients are present</t>
        </is>
      </c>
      <c r="AC295" s="2" t="inlineStr">
        <is>
          <t>E05 channel/segment test (assign at wave start)</t>
        </is>
      </c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</row>
    <row r="296">
      <c r="A296" s="2" t="n">
        <v>295</v>
      </c>
      <c r="B296" s="2" t="inlineStr">
        <is>
          <t>Wave 2 — Category &amp; city expansion</t>
        </is>
      </c>
      <c r="C296" s="2" t="inlineStr">
        <is>
          <t>UPK2-CM-079</t>
        </is>
      </c>
      <c r="D296" s="2" t="inlineStr">
        <is>
          <t>Jay Karmani (Anchor JK)</t>
        </is>
      </c>
      <c r="E296" s="2" t="inlineStr">
        <is>
          <t>Content &amp; Media</t>
        </is>
      </c>
      <c r="F296" s="2" t="inlineStr">
        <is>
          <t>CM-EMCEE-HOST</t>
        </is>
      </c>
      <c r="G296" s="2" t="inlineStr">
        <is>
          <t>Wedding &amp; Occasion</t>
        </is>
      </c>
      <c r="H296" s="2" t="inlineStr">
        <is>
          <t>Wedding &amp; event emcee / anchor</t>
        </is>
      </c>
      <c r="I296" s="2" t="inlineStr">
        <is>
          <t>Mumbai</t>
        </is>
      </c>
      <c r="J296" s="2" t="inlineStr">
        <is>
          <t>A — Emerging / High-potential</t>
        </is>
      </c>
      <c r="K296" s="2" t="inlineStr">
        <is>
          <t>Independent professional</t>
        </is>
      </c>
      <c r="L296" s="2" t="inlineStr">
        <is>
          <t>P1</t>
        </is>
      </c>
      <c r="M296" s="2" t="inlineStr">
        <is>
          <t>P0</t>
        </is>
      </c>
      <c r="N296" s="2" t="n">
        <v>66.3</v>
      </c>
      <c r="O296" s="2" t="n">
        <v>61</v>
      </c>
      <c r="P296" s="2" t="n">
        <v>54.2</v>
      </c>
      <c r="Q296" s="2" t="n">
        <v>60</v>
      </c>
      <c r="R296" s="2" t="n">
        <v>15</v>
      </c>
      <c r="S296" s="2" t="inlineStr">
        <is>
          <t>C3-PRO-SOCIAL</t>
        </is>
      </c>
      <c r="T296" s="2" t="inlineStr">
        <is>
          <t>1:1 Instagram DM from Uepaki professional account</t>
        </is>
      </c>
      <c r="U296" s="2" t="inlineStr">
        <is>
          <t>https://anchorjay.com</t>
        </is>
      </c>
      <c r="V296" s="2" t="inlineStr">
        <is>
          <t>2026-09 — WeddingSutra vendor profile updated</t>
        </is>
      </c>
      <c r="W296" s="2" t="inlineStr">
        <is>
          <t>Listed by WeddingSutra as a wedding emcee serving Mumbai</t>
        </is>
      </c>
      <c r="X296" s="2" t="inlineStr">
        <is>
          <t>WeddingSutra (vendor showcase profile (Emcees))</t>
        </is>
      </c>
      <c r="Y296" s="2" t="inlineStr">
        <is>
          <t>Readiness 66 (top 40% in category) | Commercial: Listed by WeddingSutra as a wedding emcee serving Mumbai | Active: 2026-09 — WeddingSutra vendor profile updated | Independent/emerging tier — fame not a factor</t>
        </is>
      </c>
      <c r="Z296" s="2" t="inlineStr">
        <is>
          <t>Lead with the event formats they host. Services as a professional; clients, not followers.</t>
        </is>
      </c>
      <c r="AA296" s="2" t="inlineStr">
        <is>
          <t>Gets bookings via Instagram and wedding marketplaces already; may see another profile as low priority.</t>
        </is>
      </c>
      <c r="AB296" s="2" t="inlineStr">
        <is>
          <t>Work via agencies/creator platforms; wants proof brands/clients are present</t>
        </is>
      </c>
      <c r="AC296" s="2" t="inlineStr">
        <is>
          <t>E05 channel/segment test (assign at wave start)</t>
        </is>
      </c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</row>
    <row r="297">
      <c r="A297" s="2" t="n">
        <v>296</v>
      </c>
      <c r="B297" s="2" t="inlineStr">
        <is>
          <t>Wave 2 — Category &amp; city expansion</t>
        </is>
      </c>
      <c r="C297" s="2" t="inlineStr">
        <is>
          <t>UPK2-CM-119</t>
        </is>
      </c>
      <c r="D297" s="2" t="inlineStr">
        <is>
          <t>Mr. Bakshi</t>
        </is>
      </c>
      <c r="E297" s="2" t="inlineStr">
        <is>
          <t>Content &amp; Media</t>
        </is>
      </c>
      <c r="F297" s="2" t="inlineStr">
        <is>
          <t>CM-EMCEE-HOST</t>
        </is>
      </c>
      <c r="G297" s="2" t="inlineStr">
        <is>
          <t>Wedding &amp; Occasion</t>
        </is>
      </c>
      <c r="H297" s="2" t="inlineStr">
        <is>
          <t>Wedding &amp; event emcee / anchor</t>
        </is>
      </c>
      <c r="I297" s="2" t="inlineStr">
        <is>
          <t>Mumbai</t>
        </is>
      </c>
      <c r="J297" s="2" t="inlineStr">
        <is>
          <t>A — Emerging / High-potential</t>
        </is>
      </c>
      <c r="K297" s="2" t="inlineStr">
        <is>
          <t>Independent professional</t>
        </is>
      </c>
      <c r="L297" s="2" t="inlineStr">
        <is>
          <t>P1</t>
        </is>
      </c>
      <c r="M297" s="2" t="inlineStr">
        <is>
          <t>P0</t>
        </is>
      </c>
      <c r="N297" s="2" t="n">
        <v>66.3</v>
      </c>
      <c r="O297" s="2" t="n">
        <v>61</v>
      </c>
      <c r="P297" s="2" t="n">
        <v>53.2</v>
      </c>
      <c r="Q297" s="2" t="n">
        <v>57</v>
      </c>
      <c r="R297" s="2" t="n">
        <v>15</v>
      </c>
      <c r="S297" s="2" t="inlineStr">
        <is>
          <t>C3-PRO-SOCIAL</t>
        </is>
      </c>
      <c r="T297" s="2" t="inlineStr">
        <is>
          <t>1:1 Instagram DM from Uepaki professional account</t>
        </is>
      </c>
      <c r="U297" s="2" t="inlineStr">
        <is>
          <t>https://www.instagram.com/anchormrbakshi</t>
        </is>
      </c>
      <c r="V297" s="2" t="inlineStr">
        <is>
          <t>2026-09 — WeddingSutra vendor profile updated</t>
        </is>
      </c>
      <c r="W297" s="2" t="inlineStr">
        <is>
          <t>Listed by WeddingSutra as a wedding emcee serving Mumbai</t>
        </is>
      </c>
      <c r="X297" s="2" t="inlineStr">
        <is>
          <t>WeddingSutra (vendor showcase profile (Emcees))</t>
        </is>
      </c>
      <c r="Y297" s="2" t="inlineStr">
        <is>
          <t>Readiness 66 (top 40% in category) | Commercial: Listed by WeddingSutra as a wedding emcee serving Mumbai | Active: 2026-09 — WeddingSutra vendor profile updated | Independent/emerging tier — fame not a factor</t>
        </is>
      </c>
      <c r="Z297" s="2" t="inlineStr">
        <is>
          <t>Lead with the event formats they host. Services as a professional; clients, not followers.</t>
        </is>
      </c>
      <c r="AA297" s="2" t="inlineStr">
        <is>
          <t>Gets bookings via Instagram and wedding marketplaces already; may see another profile as low priority.</t>
        </is>
      </c>
      <c r="AB297" s="2" t="inlineStr">
        <is>
          <t>Work via agencies/creator platforms; wants proof brands/clients are present</t>
        </is>
      </c>
      <c r="AC297" s="2" t="inlineStr">
        <is>
          <t>E05 channel/segment test (assign at wave start)</t>
        </is>
      </c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</row>
    <row r="298">
      <c r="A298" s="2" t="n">
        <v>297</v>
      </c>
      <c r="B298" s="2" t="inlineStr">
        <is>
          <t>Wave 2 — Category &amp; city expansion</t>
        </is>
      </c>
      <c r="C298" s="2" t="inlineStr">
        <is>
          <t>UPK2-CM-110</t>
        </is>
      </c>
      <c r="D298" s="2" t="inlineStr">
        <is>
          <t>Bhavya Chauhan</t>
        </is>
      </c>
      <c r="E298" s="2" t="inlineStr">
        <is>
          <t>Content &amp; Media</t>
        </is>
      </c>
      <c r="F298" s="2" t="inlineStr">
        <is>
          <t>CM-EMCEE-HOST</t>
        </is>
      </c>
      <c r="G298" s="2" t="inlineStr">
        <is>
          <t>Wedding &amp; Occasion</t>
        </is>
      </c>
      <c r="H298" s="2" t="inlineStr">
        <is>
          <t>Wedding &amp; event emcee / anchor</t>
        </is>
      </c>
      <c r="I298" s="2" t="inlineStr">
        <is>
          <t>Mumbai</t>
        </is>
      </c>
      <c r="J298" s="2" t="inlineStr">
        <is>
          <t>A — Emerging / High-potential</t>
        </is>
      </c>
      <c r="K298" s="2" t="inlineStr">
        <is>
          <t>Independent professional</t>
        </is>
      </c>
      <c r="L298" s="2" t="inlineStr">
        <is>
          <t>P1</t>
        </is>
      </c>
      <c r="M298" s="2" t="inlineStr">
        <is>
          <t>P0</t>
        </is>
      </c>
      <c r="N298" s="2" t="n">
        <v>66.3</v>
      </c>
      <c r="O298" s="2" t="n">
        <v>61</v>
      </c>
      <c r="P298" s="2" t="n">
        <v>53.2</v>
      </c>
      <c r="Q298" s="2" t="n">
        <v>57</v>
      </c>
      <c r="R298" s="2" t="n">
        <v>15</v>
      </c>
      <c r="S298" s="2" t="inlineStr">
        <is>
          <t>C3-PRO-SOCIAL</t>
        </is>
      </c>
      <c r="T298" s="2" t="inlineStr">
        <is>
          <t>1:1 Instagram DM from Uepaki professional account</t>
        </is>
      </c>
      <c r="U298" s="2" t="inlineStr">
        <is>
          <t>https://www.instagram.com/bhavyachauhan.24</t>
        </is>
      </c>
      <c r="V298" s="2" t="inlineStr">
        <is>
          <t>2026-09 — WeddingSutra vendor profile updated</t>
        </is>
      </c>
      <c r="W298" s="2" t="inlineStr">
        <is>
          <t>Listed by WeddingSutra as a wedding emcee serving Mumbai</t>
        </is>
      </c>
      <c r="X298" s="2" t="inlineStr">
        <is>
          <t>WeddingSutra (vendor showcase profile (Emcees))</t>
        </is>
      </c>
      <c r="Y298" s="2" t="inlineStr">
        <is>
          <t>Readiness 66 (top 40% in category) | Commercial: Listed by WeddingSutra as a wedding emcee serving Mumbai | Active: 2026-09 — WeddingSutra vendor profile updated | Independent/emerging tier — fame not a factor</t>
        </is>
      </c>
      <c r="Z298" s="2" t="inlineStr">
        <is>
          <t>Lead with the event formats they host. Services as a professional; clients, not followers.</t>
        </is>
      </c>
      <c r="AA298" s="2" t="inlineStr">
        <is>
          <t>Gets bookings via Instagram and wedding marketplaces already; may see another profile as low priority.</t>
        </is>
      </c>
      <c r="AB298" s="2" t="inlineStr">
        <is>
          <t>Work via agencies/creator platforms; wants proof brands/clients are present</t>
        </is>
      </c>
      <c r="AC298" s="2" t="inlineStr">
        <is>
          <t>E05 channel/segment test (assign at wave start)</t>
        </is>
      </c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</row>
    <row r="299">
      <c r="A299" s="2" t="n">
        <v>298</v>
      </c>
      <c r="B299" s="2" t="inlineStr">
        <is>
          <t>Wave 2 — Category &amp; city expansion</t>
        </is>
      </c>
      <c r="C299" s="2" t="inlineStr">
        <is>
          <t>UPK2-CM-116</t>
        </is>
      </c>
      <c r="D299" s="2" t="inlineStr">
        <is>
          <t>Aman Maheshwari</t>
        </is>
      </c>
      <c r="E299" s="2" t="inlineStr">
        <is>
          <t>Content &amp; Media</t>
        </is>
      </c>
      <c r="F299" s="2" t="inlineStr">
        <is>
          <t>CM-EMCEE-HOST</t>
        </is>
      </c>
      <c r="G299" s="2" t="inlineStr">
        <is>
          <t>Wedding &amp; Occasion</t>
        </is>
      </c>
      <c r="H299" s="2" t="inlineStr">
        <is>
          <t>Wedding &amp; event emcee / anchor</t>
        </is>
      </c>
      <c r="I299" s="2" t="inlineStr">
        <is>
          <t>Jaipur</t>
        </is>
      </c>
      <c r="J299" s="2" t="inlineStr">
        <is>
          <t>A — Emerging / High-potential</t>
        </is>
      </c>
      <c r="K299" s="2" t="inlineStr">
        <is>
          <t>Independent professional</t>
        </is>
      </c>
      <c r="L299" s="2" t="inlineStr">
        <is>
          <t>P1</t>
        </is>
      </c>
      <c r="M299" s="2" t="inlineStr">
        <is>
          <t>P0</t>
        </is>
      </c>
      <c r="N299" s="2" t="n">
        <v>66.3</v>
      </c>
      <c r="O299" s="2" t="n">
        <v>61</v>
      </c>
      <c r="P299" s="2" t="n">
        <v>53.2</v>
      </c>
      <c r="Q299" s="2" t="n">
        <v>57</v>
      </c>
      <c r="R299" s="2" t="n">
        <v>15</v>
      </c>
      <c r="S299" s="2" t="inlineStr">
        <is>
          <t>C3-PRO-SOCIAL</t>
        </is>
      </c>
      <c r="T299" s="2" t="inlineStr">
        <is>
          <t>1:1 Instagram DM from Uepaki professional account</t>
        </is>
      </c>
      <c r="U299" s="2" t="inlineStr">
        <is>
          <t>https://www.instagram.com/aman_maheshwari06</t>
        </is>
      </c>
      <c r="V299" s="2" t="inlineStr">
        <is>
          <t>2026-09 — WeddingSutra vendor profile updated</t>
        </is>
      </c>
      <c r="W299" s="2" t="inlineStr">
        <is>
          <t>Listed by WeddingSutra as a wedding emcee serving Mumbai and Jaipur</t>
        </is>
      </c>
      <c r="X299" s="2" t="inlineStr">
        <is>
          <t>WeddingSutra (vendor showcase profile (Emcees))</t>
        </is>
      </c>
      <c r="Y299" s="2" t="inlineStr">
        <is>
          <t>Readiness 66 (top 40% in category) | Commercial: Listed by WeddingSutra as a wedding emcee serving Mumbai and Jaipur | Active: 2026-09 — WeddingSutra vendor profile updated | Independent/emerging tier — fame not a factor</t>
        </is>
      </c>
      <c r="Z299" s="2" t="inlineStr">
        <is>
          <t>Lead with the event formats they host. Services as a professional; clients, not followers.</t>
        </is>
      </c>
      <c r="AA299" s="2" t="inlineStr">
        <is>
          <t>Gets bookings via Instagram and wedding marketplaces already; may see another profile as low priority.</t>
        </is>
      </c>
      <c r="AB299" s="2" t="inlineStr">
        <is>
          <t>Work via agencies/creator platforms; wants proof brands/clients are present</t>
        </is>
      </c>
      <c r="AC299" s="2" t="inlineStr">
        <is>
          <t>E05 channel/segment test (assign at wave start)</t>
        </is>
      </c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</row>
    <row r="300">
      <c r="A300" s="2" t="n">
        <v>299</v>
      </c>
      <c r="B300" s="2" t="inlineStr">
        <is>
          <t>Wave 2 — Category &amp; city expansion</t>
        </is>
      </c>
      <c r="C300" s="2" t="inlineStr">
        <is>
          <t>UPK2-CM-094</t>
        </is>
      </c>
      <c r="D300" s="2" t="inlineStr">
        <is>
          <t>Socially Vivahit</t>
        </is>
      </c>
      <c r="E300" s="2" t="inlineStr">
        <is>
          <t>Content &amp; Media</t>
        </is>
      </c>
      <c r="F300" s="2" t="inlineStr">
        <is>
          <t>CM-CONTENT-CREATOR</t>
        </is>
      </c>
      <c r="G300" s="2" t="inlineStr">
        <is>
          <t>Wedding &amp; Occasion</t>
        </is>
      </c>
      <c r="H300" s="2" t="inlineStr">
        <is>
          <t>Wedding content creator (reels/BTS)</t>
        </is>
      </c>
      <c r="I300" s="2" t="inlineStr">
        <is>
          <t>Pune</t>
        </is>
      </c>
      <c r="J300" s="2" t="inlineStr">
        <is>
          <t>A — Emerging / High-potential</t>
        </is>
      </c>
      <c r="K300" s="2" t="inlineStr">
        <is>
          <t>Small studio</t>
        </is>
      </c>
      <c r="L300" s="2" t="inlineStr">
        <is>
          <t>P1</t>
        </is>
      </c>
      <c r="M300" s="2" t="inlineStr">
        <is>
          <t>P0</t>
        </is>
      </c>
      <c r="N300" s="2" t="n">
        <v>67.8</v>
      </c>
      <c r="O300" s="2" t="n">
        <v>74</v>
      </c>
      <c r="P300" s="2" t="n">
        <v>54.9</v>
      </c>
      <c r="Q300" s="2" t="n">
        <v>60</v>
      </c>
      <c r="R300" s="2" t="n">
        <v>15</v>
      </c>
      <c r="S300" s="2" t="inlineStr">
        <is>
          <t>C3-PRO-SOCIAL</t>
        </is>
      </c>
      <c r="T300" s="2" t="inlineStr">
        <is>
          <t>1:1 Instagram DM from Uepaki professional account</t>
        </is>
      </c>
      <c r="U300" s="2" t="inlineStr">
        <is>
          <t>https://www.instagram.com/sociallyvivahit</t>
        </is>
      </c>
      <c r="V300" s="2" t="inlineStr">
        <is>
          <t>2026-06 — WeddingSutra vendor profile updated; carries WeddingSutra Favorites 2026 badge</t>
        </is>
      </c>
      <c r="W300" s="2" t="inlineStr">
        <is>
          <t>Listed by WeddingSutra as a wedding content creator serving Pune</t>
        </is>
      </c>
      <c r="X300" s="2" t="inlineStr">
        <is>
          <t>WeddingSutra (vendor showcase profile (Wedding Content Creators))</t>
        </is>
      </c>
      <c r="Y300" s="2" t="inlineStr">
        <is>
          <t>Readiness 68 (top 27% in category) | Commercial: Listed by WeddingSutra as a wedding content creator serving Pune | Active: 2026-06 — WeddingSutra vendor profile updated; carries WeddingSutra F… | Independent/emerging tier — fame not a factor</t>
        </is>
      </c>
      <c r="Z300" s="2" t="inlineStr">
        <is>
          <t>Lead with a specific piece of content work. Content production as a professional service for clients; never follower language.</t>
        </is>
      </c>
      <c r="AA300" s="2" t="inlineStr">
        <is>
          <t>Gets bookings via Instagram and wedding marketplaces already; may see another profile as low priority.</t>
        </is>
      </c>
      <c r="AB300" s="2" t="inlineStr">
        <is>
          <t>Work via agencies/creator platforms; wants proof brands/clients are present</t>
        </is>
      </c>
      <c r="AC300" s="2" t="inlineStr">
        <is>
          <t>E05 channel/segment test (assign at wave start)</t>
        </is>
      </c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</row>
    <row r="301">
      <c r="A301" s="2" t="n">
        <v>300</v>
      </c>
      <c r="B301" s="2" t="inlineStr">
        <is>
          <t>Wave 2 — Category &amp; city expansion</t>
        </is>
      </c>
      <c r="C301" s="2" t="inlineStr">
        <is>
          <t>UPK2-CM-128</t>
        </is>
      </c>
      <c r="D301" s="2" t="inlineStr">
        <is>
          <t>Vows Stories</t>
        </is>
      </c>
      <c r="E301" s="2" t="inlineStr">
        <is>
          <t>Content &amp; Media</t>
        </is>
      </c>
      <c r="F301" s="2" t="inlineStr">
        <is>
          <t>CM-CONTENT-CREATOR</t>
        </is>
      </c>
      <c r="G301" s="2" t="inlineStr">
        <is>
          <t>Wedding &amp; Occasion</t>
        </is>
      </c>
      <c r="H301" s="2" t="inlineStr">
        <is>
          <t>Wedding content creator (reels/BTS)</t>
        </is>
      </c>
      <c r="I301" s="2" t="inlineStr">
        <is>
          <t>Ahmedabad</t>
        </is>
      </c>
      <c r="J301" s="2" t="inlineStr">
        <is>
          <t>A — Emerging / High-potential</t>
        </is>
      </c>
      <c r="K301" s="2" t="inlineStr">
        <is>
          <t>Small studio</t>
        </is>
      </c>
      <c r="L301" s="2" t="inlineStr">
        <is>
          <t>P1</t>
        </is>
      </c>
      <c r="M301" s="2" t="inlineStr">
        <is>
          <t>P0</t>
        </is>
      </c>
      <c r="N301" s="2" t="n">
        <v>67</v>
      </c>
      <c r="O301" s="2" t="n">
        <v>67</v>
      </c>
      <c r="P301" s="2" t="n">
        <v>53.9</v>
      </c>
      <c r="Q301" s="2" t="n">
        <v>58</v>
      </c>
      <c r="R301" s="2" t="n">
        <v>15</v>
      </c>
      <c r="S301" s="2" t="inlineStr">
        <is>
          <t>C3-PRO-SOCIAL</t>
        </is>
      </c>
      <c r="T301" s="2" t="inlineStr">
        <is>
          <t>1:1 Instagram DM from Uepaki professional account</t>
        </is>
      </c>
      <c r="U301" s="2" t="inlineStr">
        <is>
          <t>https://www.instagram.com/_vowstoriesofficial_</t>
        </is>
      </c>
      <c r="V301" s="2" t="inlineStr">
        <is>
          <t>2026-06 — WeddingSutra vendor profile updated</t>
        </is>
      </c>
      <c r="W301" s="2" t="inlineStr">
        <is>
          <t>Listed by WeddingSutra as a wedding content creator serving Ahmedabad</t>
        </is>
      </c>
      <c r="X301" s="2" t="inlineStr">
        <is>
          <t>WeddingSutra (vendor showcase profile (Wedding Content Creators))</t>
        </is>
      </c>
      <c r="Y301" s="2" t="inlineStr">
        <is>
          <t>Readiness 67 (top 34% in category) | Commercial: Listed by WeddingSutra as a wedding content creator serving Ahmedabad | Active: 2026-06 — WeddingSutra vendor profile updated | Independent/emerging tier — fame not a factor</t>
        </is>
      </c>
      <c r="Z301" s="2" t="inlineStr">
        <is>
          <t>Lead with a specific piece of content work. Content production as a professional service for clients; never follower language.</t>
        </is>
      </c>
      <c r="AA301" s="2" t="inlineStr">
        <is>
          <t>Gets bookings via Instagram and wedding marketplaces already; may see another profile as low priority.</t>
        </is>
      </c>
      <c r="AB301" s="2" t="inlineStr">
        <is>
          <t>Work via agencies/creator platforms; wants proof brands/clients are present</t>
        </is>
      </c>
      <c r="AC301" s="2" t="inlineStr">
        <is>
          <t>E05 channel/segment test (assign at wave start)</t>
        </is>
      </c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</row>
  </sheetData>
  <autoFilter ref="A1:AX301"/>
  <dataValidations count="1">
    <dataValidation sqref="AE2:AE301" showDropDown="0" showInputMessage="0" showErrorMessage="0" allowBlank="1" type="list">
      <formula1>STAGES!$A$2:$A$18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Stage (dropdown values)</t>
        </is>
      </c>
      <c r="B1" t="inlineStr">
        <is>
          <t>Counts when — see UEPAKI_ACQUISITION_FUNNEL_AND_KPI_FRAMEWORK.md</t>
        </is>
      </c>
    </row>
    <row r="2">
      <c r="A2" t="inlineStr">
        <is>
          <t>0 Prospect</t>
        </is>
      </c>
      <c r="B2" t="inlineStr">
        <is>
          <t>Record exists in master</t>
        </is>
      </c>
    </row>
    <row r="3">
      <c r="A3" t="inlineStr">
        <is>
          <t>1 Contactable</t>
        </is>
      </c>
      <c r="B3" t="inlineStr">
        <is>
          <t>Verified C1/C3 route re-checked on outreach day</t>
        </is>
      </c>
    </row>
    <row r="4">
      <c r="A4" t="inlineStr">
        <is>
          <t>2 Contacted</t>
        </is>
      </c>
      <c r="B4" t="inlineStr">
        <is>
          <t>1:1 human-written message sent</t>
        </is>
      </c>
    </row>
    <row r="5">
      <c r="A5" t="inlineStr">
        <is>
          <t>3 Delivered</t>
        </is>
      </c>
      <c r="B5" t="inlineStr">
        <is>
          <t>No bounce/failure within 48h</t>
        </is>
      </c>
    </row>
    <row r="6">
      <c r="A6" t="inlineStr">
        <is>
          <t>4 Engaged</t>
        </is>
      </c>
      <c r="B6" t="inlineStr">
        <is>
          <t>Any human reply within 21 days (incl. no)</t>
        </is>
      </c>
    </row>
    <row r="7">
      <c r="A7" t="inlineStr">
        <is>
          <t>5 Interested</t>
        </is>
      </c>
      <c r="B7" t="inlineStr">
        <is>
          <t>Positive intent: asks about joining / agrees to call / asks for terms</t>
        </is>
      </c>
    </row>
    <row r="8">
      <c r="A8" t="inlineStr">
        <is>
          <t>6 Info requested</t>
        </is>
      </c>
      <c r="B8" t="inlineStr">
        <is>
          <t>Terms/steps sent on request, or call held</t>
        </is>
      </c>
    </row>
    <row r="9">
      <c r="A9" t="inlineStr">
        <is>
          <t>7 Registration started</t>
        </is>
      </c>
      <c r="B9" t="inlineStr">
        <is>
          <t>Seller account exists for their identity</t>
        </is>
      </c>
    </row>
    <row r="10">
      <c r="A10" t="inlineStr">
        <is>
          <t>8 Registration completed</t>
        </is>
      </c>
      <c r="B10" t="inlineStr">
        <is>
          <t>Flow finished incl. ₹1 + GST web charge</t>
        </is>
      </c>
    </row>
    <row r="11">
      <c r="A11" t="inlineStr">
        <is>
          <t>9 KYC/Approved</t>
        </is>
      </c>
      <c r="B11" t="inlineStr">
        <is>
          <t>Approved to sell under current checks (confirm live checks)</t>
        </is>
      </c>
    </row>
    <row r="12">
      <c r="A12" t="inlineStr">
        <is>
          <t>10 Profile completed</t>
        </is>
      </c>
      <c r="B12" t="inlineStr">
        <is>
          <t>Meets profile standard incl. consent-to-be-named recorded</t>
        </is>
      </c>
    </row>
    <row r="13">
      <c r="A13" t="inlineStr">
        <is>
          <t>11 First listing</t>
        </is>
      </c>
      <c r="B13" t="inlineStr">
        <is>
          <t>≥1 product/service/design listing visible to customers</t>
        </is>
      </c>
    </row>
    <row r="14">
      <c r="A14" t="inlineStr">
        <is>
          <t>12 Activated</t>
        </is>
      </c>
      <c r="B14" t="inlineStr">
        <is>
          <t>Approved + profile + first listing + payout details complete</t>
        </is>
      </c>
    </row>
    <row r="15">
      <c r="A15" t="inlineStr">
        <is>
          <t>13 First enquiry/order/booking</t>
        </is>
      </c>
      <c r="B15" t="inlineStr">
        <is>
          <t>First genuine customer enquiry/order/booking via Uepaki</t>
        </is>
      </c>
    </row>
    <row r="16">
      <c r="A16" t="inlineStr">
        <is>
          <t>X Declined</t>
        </is>
      </c>
      <c r="B16" t="inlineStr">
        <is>
          <t>Said no — suppress permanently</t>
        </is>
      </c>
    </row>
    <row r="17">
      <c r="A17" t="inlineStr">
        <is>
          <t>X Do-not-contact</t>
        </is>
      </c>
      <c r="B17" t="inlineStr">
        <is>
          <t>Asked not to be contacted / complained — suppress</t>
        </is>
      </c>
    </row>
    <row r="18">
      <c r="A18" t="inlineStr">
        <is>
          <t>X Bounced/undeliverable</t>
        </is>
      </c>
      <c r="B18" t="inlineStr">
        <is>
          <t>Route failed — back to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Composition</t>
        </is>
      </c>
    </row>
    <row r="3">
      <c r="A3" s="5" t="inlineStr">
        <is>
          <t>Category</t>
        </is>
      </c>
    </row>
    <row r="4">
      <c r="A4" t="inlineStr">
        <is>
          <t>Beauty &amp; Makeup</t>
        </is>
      </c>
      <c r="B4" t="n">
        <v>70</v>
      </c>
      <c r="C4" s="6">
        <f>B4/300</f>
        <v/>
      </c>
    </row>
    <row r="5">
      <c r="A5" t="inlineStr">
        <is>
          <t>Fashion &amp; Lifestyle</t>
        </is>
      </c>
      <c r="B5" t="n">
        <v>65</v>
      </c>
      <c r="C5" s="6">
        <f>B5/300</f>
        <v/>
      </c>
    </row>
    <row r="6">
      <c r="A6" t="inlineStr">
        <is>
          <t>Space &amp; Design</t>
        </is>
      </c>
      <c r="B6" t="n">
        <v>53</v>
      </c>
      <c r="C6" s="6">
        <f>B6/300</f>
        <v/>
      </c>
    </row>
    <row r="7">
      <c r="A7" t="inlineStr">
        <is>
          <t>Lens &amp; Motion</t>
        </is>
      </c>
      <c r="B7" t="n">
        <v>52</v>
      </c>
      <c r="C7" s="6">
        <f>B7/300</f>
        <v/>
      </c>
    </row>
    <row r="8">
      <c r="A8" t="inlineStr">
        <is>
          <t>Content &amp; Media</t>
        </is>
      </c>
      <c r="B8" t="n">
        <v>35</v>
      </c>
      <c r="C8" s="6">
        <f>B8/300</f>
        <v/>
      </c>
    </row>
    <row r="9">
      <c r="A9" t="inlineStr">
        <is>
          <t>Digital &amp; Visual Arts</t>
        </is>
      </c>
      <c r="B9" t="n">
        <v>25</v>
      </c>
      <c r="C9" s="6">
        <f>B9/300</f>
        <v/>
      </c>
    </row>
    <row r="11">
      <c r="A11" s="5" t="inlineStr">
        <is>
          <t>City</t>
        </is>
      </c>
    </row>
    <row r="12">
      <c r="A12" t="inlineStr">
        <is>
          <t>Delhi NCR</t>
        </is>
      </c>
      <c r="B12" t="n">
        <v>93</v>
      </c>
      <c r="C12" s="6">
        <f>B12/300</f>
        <v/>
      </c>
    </row>
    <row r="13">
      <c r="A13" t="inlineStr">
        <is>
          <t>Mumbai</t>
        </is>
      </c>
      <c r="B13" t="n">
        <v>77</v>
      </c>
      <c r="C13" s="6">
        <f>B13/300</f>
        <v/>
      </c>
    </row>
    <row r="14">
      <c r="A14" t="inlineStr">
        <is>
          <t>Bengaluru</t>
        </is>
      </c>
      <c r="B14" t="n">
        <v>28</v>
      </c>
      <c r="C14" s="6">
        <f>B14/300</f>
        <v/>
      </c>
    </row>
    <row r="15">
      <c r="A15" t="inlineStr">
        <is>
          <t>Jaipur</t>
        </is>
      </c>
      <c r="B15" t="n">
        <v>23</v>
      </c>
      <c r="C15" s="6">
        <f>B15/300</f>
        <v/>
      </c>
    </row>
    <row r="16">
      <c r="A16" t="inlineStr">
        <is>
          <t>Pune</t>
        </is>
      </c>
      <c r="B16" t="n">
        <v>20</v>
      </c>
      <c r="C16" s="6">
        <f>B16/300</f>
        <v/>
      </c>
    </row>
    <row r="17">
      <c r="A17" t="inlineStr">
        <is>
          <t>Chandigarh</t>
        </is>
      </c>
      <c r="B17" t="n">
        <v>17</v>
      </c>
      <c r="C17" s="6">
        <f>B17/300</f>
        <v/>
      </c>
    </row>
    <row r="18">
      <c r="A18" t="inlineStr">
        <is>
          <t>Hyderabad</t>
        </is>
      </c>
      <c r="B18" t="n">
        <v>14</v>
      </c>
      <c r="C18" s="6">
        <f>B18/300</f>
        <v/>
      </c>
    </row>
    <row r="19">
      <c r="A19" t="inlineStr">
        <is>
          <t>Kolkata</t>
        </is>
      </c>
      <c r="B19" t="n">
        <v>11</v>
      </c>
      <c r="C19" s="6">
        <f>B19/300</f>
        <v/>
      </c>
    </row>
    <row r="20">
      <c r="A20" t="inlineStr">
        <is>
          <t>Chennai</t>
        </is>
      </c>
      <c r="B20" t="n">
        <v>9</v>
      </c>
      <c r="C20" s="6">
        <f>B20/300</f>
        <v/>
      </c>
    </row>
    <row r="21">
      <c r="A21" t="inlineStr">
        <is>
          <t>Ahmedabad</t>
        </is>
      </c>
      <c r="B21" t="n">
        <v>8</v>
      </c>
      <c r="C21" s="6">
        <f>B21/300</f>
        <v/>
      </c>
    </row>
    <row r="23">
      <c r="A23" s="5" t="inlineStr">
        <is>
          <t>Segment</t>
        </is>
      </c>
    </row>
    <row r="24">
      <c r="A24" t="inlineStr">
        <is>
          <t>BM-INDEPENDENT-MUA</t>
        </is>
      </c>
      <c r="B24" t="n">
        <v>40</v>
      </c>
      <c r="C24" s="6">
        <f>B24/300</f>
        <v/>
      </c>
    </row>
    <row r="25">
      <c r="A25" t="inlineStr">
        <is>
          <t>LM-WEDDING</t>
        </is>
      </c>
      <c r="B25" t="n">
        <v>31</v>
      </c>
      <c r="C25" s="6">
        <f>B25/300</f>
        <v/>
      </c>
    </row>
    <row r="26">
      <c r="A26" t="inlineStr">
        <is>
          <t>FL-OCCASION-BRIDAL</t>
        </is>
      </c>
      <c r="B26" t="n">
        <v>24</v>
      </c>
      <c r="C26" s="6">
        <f>B26/300</f>
        <v/>
      </c>
    </row>
    <row r="27">
      <c r="A27" t="inlineStr">
        <is>
          <t>BM-STUDIO</t>
        </is>
      </c>
      <c r="B27" t="n">
        <v>23</v>
      </c>
      <c r="C27" s="6">
        <f>B27/300</f>
        <v/>
      </c>
    </row>
    <row r="28">
      <c r="A28" t="inlineStr">
        <is>
          <t>SD-ARCHITECTURE</t>
        </is>
      </c>
      <c r="B28" t="n">
        <v>19</v>
      </c>
      <c r="C28" s="6">
        <f>B28/300</f>
        <v/>
      </c>
    </row>
    <row r="29">
      <c r="A29" t="inlineStr">
        <is>
          <t>SD-INTERIOR</t>
        </is>
      </c>
      <c r="B29" t="n">
        <v>19</v>
      </c>
      <c r="C29" s="6">
        <f>B29/300</f>
        <v/>
      </c>
    </row>
    <row r="30">
      <c r="A30" t="inlineStr">
        <is>
          <t>CM-EMCEE-HOST</t>
        </is>
      </c>
      <c r="B30" t="n">
        <v>17</v>
      </c>
      <c r="C30" s="6">
        <f>B30/300</f>
        <v/>
      </c>
    </row>
    <row r="31">
      <c r="A31" t="inlineStr">
        <is>
          <t>FL-CONTEMPORARY</t>
        </is>
      </c>
      <c r="B31" t="n">
        <v>16</v>
      </c>
      <c r="C31" s="6">
        <f>B31/300</f>
        <v/>
      </c>
    </row>
    <row r="32">
      <c r="A32" t="inlineStr">
        <is>
          <t>SD-PRODUCT-MAKER</t>
        </is>
      </c>
      <c r="B32" t="n">
        <v>15</v>
      </c>
      <c r="C32" s="6">
        <f>B32/300</f>
        <v/>
      </c>
    </row>
    <row r="33">
      <c r="A33" t="inlineStr">
        <is>
          <t>LM-ARCH-INTERIOR</t>
        </is>
      </c>
      <c r="B33" t="n">
        <v>14</v>
      </c>
      <c r="C33" s="6">
        <f>B33/300</f>
        <v/>
      </c>
    </row>
    <row r="34">
      <c r="A34" t="inlineStr">
        <is>
          <t>FL-JEWELLERY</t>
        </is>
      </c>
      <c r="B34" t="n">
        <v>11</v>
      </c>
      <c r="C34" s="6">
        <f>B34/300</f>
        <v/>
      </c>
    </row>
    <row r="35">
      <c r="A35" t="inlineStr">
        <is>
          <t>DV-DESIGN-STUDIO</t>
        </is>
      </c>
      <c r="B35" t="n">
        <v>10</v>
      </c>
      <c r="C35" s="6">
        <f>B35/300</f>
        <v/>
      </c>
    </row>
    <row r="36">
      <c r="A36" t="inlineStr">
        <is>
          <t>CM-CONTENT-CREATOR</t>
        </is>
      </c>
      <c r="B36" t="n">
        <v>9</v>
      </c>
      <c r="C36" s="6">
        <f>B36/300</f>
        <v/>
      </c>
    </row>
    <row r="37">
      <c r="A37" t="inlineStr">
        <is>
          <t>CM-BLOGGER-WRITER</t>
        </is>
      </c>
      <c r="B37" t="n">
        <v>8</v>
      </c>
      <c r="C37" s="6">
        <f>B37/300</f>
        <v/>
      </c>
    </row>
    <row r="38">
      <c r="A38" t="inlineStr">
        <is>
          <t>DV-CALLIGRAPHY-STATIONERY</t>
        </is>
      </c>
      <c r="B38" t="n">
        <v>8</v>
      </c>
      <c r="C38" s="6">
        <f>B38/300</f>
        <v/>
      </c>
    </row>
    <row r="39">
      <c r="A39" t="inlineStr">
        <is>
          <t>BM-MEHENDI</t>
        </is>
      </c>
      <c r="B39" t="n">
        <v>7</v>
      </c>
      <c r="C39" s="6">
        <f>B39/300</f>
        <v/>
      </c>
    </row>
    <row r="40">
      <c r="A40" t="inlineStr">
        <is>
          <t>FL-ACCESSORIES</t>
        </is>
      </c>
      <c r="B40" t="n">
        <v>7</v>
      </c>
      <c r="C40" s="6">
        <f>B40/300</f>
        <v/>
      </c>
    </row>
    <row r="41">
      <c r="A41" t="inlineStr">
        <is>
          <t>LM-COMMERCIAL-FASHION</t>
        </is>
      </c>
      <c r="B41" t="n">
        <v>7</v>
      </c>
      <c r="C41" s="6">
        <f>B41/300</f>
        <v/>
      </c>
    </row>
    <row r="42">
      <c r="A42" t="inlineStr">
        <is>
          <t>FL-MENSWEAR</t>
        </is>
      </c>
      <c r="B42" t="n">
        <v>7</v>
      </c>
      <c r="C42" s="6">
        <f>B42/300</f>
        <v/>
      </c>
    </row>
    <row r="43">
      <c r="A43" t="inlineStr">
        <is>
          <t>DV-ARTIST-ILLUSTRATOR</t>
        </is>
      </c>
      <c r="B43" t="n">
        <v>7</v>
      </c>
      <c r="C43" s="6">
        <f>B43/300</f>
        <v/>
      </c>
    </row>
    <row r="44">
      <c r="A44" t="inlineStr">
        <is>
          <t>CM-PRODUCTION</t>
        </is>
      </c>
      <c r="B44" t="n">
        <v>1</v>
      </c>
      <c r="C44" s="6">
        <f>B44/300</f>
        <v/>
      </c>
    </row>
    <row r="46">
      <c r="A46" s="5" t="inlineStr">
        <is>
          <t>Ecosystem Pod</t>
        </is>
      </c>
    </row>
    <row r="47">
      <c r="A47" t="inlineStr">
        <is>
          <t>Wedding &amp; Occasion</t>
        </is>
      </c>
      <c r="B47" t="n">
        <v>177</v>
      </c>
      <c r="C47" s="6">
        <f>B47/300</f>
        <v/>
      </c>
    </row>
    <row r="48">
      <c r="A48" t="inlineStr">
        <is>
          <t>Home &amp; Space</t>
        </is>
      </c>
      <c r="B48" t="n">
        <v>74</v>
      </c>
      <c r="C48" s="6">
        <f>B48/300</f>
        <v/>
      </c>
    </row>
    <row r="49">
      <c r="A49" t="inlineStr">
        <is>
          <t>Brand &amp; Everyday Style</t>
        </is>
      </c>
      <c r="B49" t="n">
        <v>49</v>
      </c>
      <c r="C49" s="6">
        <f>B49/300</f>
        <v/>
      </c>
    </row>
    <row r="51">
      <c r="A51" s="5" t="inlineStr">
        <is>
          <t>Tier</t>
        </is>
      </c>
    </row>
    <row r="52">
      <c r="A52" t="inlineStr">
        <is>
          <t>B — Established Independent</t>
        </is>
      </c>
      <c r="B52" t="n">
        <v>173</v>
      </c>
      <c r="C52" s="6">
        <f>B52/300</f>
        <v/>
      </c>
    </row>
    <row r="53">
      <c r="A53" t="inlineStr">
        <is>
          <t>C — Strong Mid-tier</t>
        </is>
      </c>
      <c r="B53" t="n">
        <v>82</v>
      </c>
      <c r="C53" s="6">
        <f>B53/300</f>
        <v/>
      </c>
    </row>
    <row r="54">
      <c r="A54" t="inlineStr">
        <is>
          <t>A — Emerging / High-potential</t>
        </is>
      </c>
      <c r="B54" t="n">
        <v>45</v>
      </c>
      <c r="C54" s="6">
        <f>B54/300</f>
        <v/>
      </c>
    </row>
    <row r="56">
      <c r="A56" s="5" t="inlineStr">
        <is>
          <t>Contact Class</t>
        </is>
      </c>
    </row>
    <row r="57">
      <c r="A57" t="inlineStr">
        <is>
          <t>C1-DIRECT-VERIFIED</t>
        </is>
      </c>
      <c r="B57" t="n">
        <v>256</v>
      </c>
      <c r="C57" s="6">
        <f>B57/300</f>
        <v/>
      </c>
    </row>
    <row r="58">
      <c r="A58" t="inlineStr">
        <is>
          <t>C3-PRO-SOCIAL</t>
        </is>
      </c>
      <c r="B58" t="n">
        <v>44</v>
      </c>
      <c r="C58" s="6">
        <f>B58/300</f>
        <v/>
      </c>
    </row>
    <row r="60">
      <c r="A60" s="5" t="inlineStr">
        <is>
          <t>Acq Priority (OS)</t>
        </is>
      </c>
    </row>
    <row r="61">
      <c r="A61" t="inlineStr">
        <is>
          <t>P0</t>
        </is>
      </c>
      <c r="B61" t="n">
        <v>271</v>
      </c>
      <c r="C61" s="6">
        <f>B61/300</f>
        <v/>
      </c>
    </row>
    <row r="62">
      <c r="A62" t="inlineStr">
        <is>
          <t>P1</t>
        </is>
      </c>
      <c r="B62" t="n">
        <v>29</v>
      </c>
      <c r="C62" s="6">
        <f>B62/300</f>
        <v/>
      </c>
    </row>
    <row r="64">
      <c r="A64" s="5" t="inlineStr">
        <is>
          <t>Wave</t>
        </is>
      </c>
    </row>
    <row r="65">
      <c r="A65" t="inlineStr">
        <is>
          <t>Wave 2 — Category &amp; city expansion</t>
        </is>
      </c>
      <c r="B65" t="n">
        <v>200</v>
      </c>
      <c r="C65" s="6">
        <f>B65/300</f>
        <v/>
      </c>
    </row>
    <row r="66">
      <c r="A66" t="inlineStr">
        <is>
          <t>Wave 1 — Founding cohort</t>
        </is>
      </c>
      <c r="B66" t="n">
        <v>75</v>
      </c>
      <c r="C66" s="6">
        <f>B66/300</f>
        <v/>
      </c>
    </row>
    <row r="67">
      <c r="A67" t="inlineStr">
        <is>
          <t>Wave 0 — Controlled pilot</t>
        </is>
      </c>
      <c r="B67" t="n">
        <v>25</v>
      </c>
      <c r="C67" s="6">
        <f>B67/300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Live funnel counts from LIST!Stage (counts records whose current stage ≥ each step)</t>
        </is>
      </c>
    </row>
    <row r="3">
      <c r="A3" t="inlineStr">
        <is>
          <t>Stage</t>
        </is>
      </c>
      <c r="B3" t="inlineStr">
        <is>
          <t>Records at this stage now</t>
        </is>
      </c>
      <c r="C3" t="inlineStr">
        <is>
          <t>Reached this stage or later</t>
        </is>
      </c>
      <c r="D3" t="inlineStr">
        <is>
          <t>Step conversion vs previous</t>
        </is>
      </c>
    </row>
    <row r="4">
      <c r="A4" t="inlineStr">
        <is>
          <t>1 Contactable</t>
        </is>
      </c>
      <c r="B4">
        <f>COUNTIF(LIST!AE:AE,"1 Contactable")</f>
        <v/>
      </c>
      <c r="C4">
        <f>SUM(B4:B16)</f>
        <v/>
      </c>
    </row>
    <row r="5">
      <c r="A5" t="inlineStr">
        <is>
          <t>2 Contacted</t>
        </is>
      </c>
      <c r="B5">
        <f>COUNTIF(LIST!AE:AE,"2 Contacted")</f>
        <v/>
      </c>
      <c r="C5">
        <f>SUM(B5:B16)</f>
        <v/>
      </c>
      <c r="D5" s="6">
        <f>IF(C4=0,"",C5/C4)</f>
        <v/>
      </c>
    </row>
    <row r="6">
      <c r="A6" t="inlineStr">
        <is>
          <t>3 Delivered</t>
        </is>
      </c>
      <c r="B6">
        <f>COUNTIF(LIST!AE:AE,"3 Delivered")</f>
        <v/>
      </c>
      <c r="C6">
        <f>SUM(B6:B16)</f>
        <v/>
      </c>
      <c r="D6" s="6">
        <f>IF(C5=0,"",C6/C5)</f>
        <v/>
      </c>
    </row>
    <row r="7">
      <c r="A7" t="inlineStr">
        <is>
          <t>4 Engaged</t>
        </is>
      </c>
      <c r="B7">
        <f>COUNTIF(LIST!AE:AE,"4 Engaged")</f>
        <v/>
      </c>
      <c r="C7">
        <f>SUM(B7:B16)</f>
        <v/>
      </c>
      <c r="D7" s="6">
        <f>IF(C6=0,"",C7/C6)</f>
        <v/>
      </c>
    </row>
    <row r="8">
      <c r="A8" t="inlineStr">
        <is>
          <t>5 Interested</t>
        </is>
      </c>
      <c r="B8">
        <f>COUNTIF(LIST!AE:AE,"5 Interested")</f>
        <v/>
      </c>
      <c r="C8">
        <f>SUM(B8:B16)</f>
        <v/>
      </c>
      <c r="D8" s="6">
        <f>IF(C7=0,"",C8/C7)</f>
        <v/>
      </c>
    </row>
    <row r="9">
      <c r="A9" t="inlineStr">
        <is>
          <t>6 Info requested</t>
        </is>
      </c>
      <c r="B9">
        <f>COUNTIF(LIST!AE:AE,"6 Info requested")</f>
        <v/>
      </c>
      <c r="C9">
        <f>SUM(B9:B16)</f>
        <v/>
      </c>
      <c r="D9" s="6">
        <f>IF(C8=0,"",C9/C8)</f>
        <v/>
      </c>
    </row>
    <row r="10">
      <c r="A10" t="inlineStr">
        <is>
          <t>7 Registration started</t>
        </is>
      </c>
      <c r="B10">
        <f>COUNTIF(LIST!AE:AE,"7 Registration started")</f>
        <v/>
      </c>
      <c r="C10">
        <f>SUM(B10:B16)</f>
        <v/>
      </c>
      <c r="D10" s="6">
        <f>IF(C9=0,"",C10/C9)</f>
        <v/>
      </c>
    </row>
    <row r="11">
      <c r="A11" t="inlineStr">
        <is>
          <t>8 Registration completed</t>
        </is>
      </c>
      <c r="B11">
        <f>COUNTIF(LIST!AE:AE,"8 Registration completed")</f>
        <v/>
      </c>
      <c r="C11">
        <f>SUM(B11:B16)</f>
        <v/>
      </c>
      <c r="D11" s="6">
        <f>IF(C10=0,"",C11/C10)</f>
        <v/>
      </c>
    </row>
    <row r="12">
      <c r="A12" t="inlineStr">
        <is>
          <t>9 KYC/Approved</t>
        </is>
      </c>
      <c r="B12">
        <f>COUNTIF(LIST!AE:AE,"9 KYC/Approved")</f>
        <v/>
      </c>
      <c r="C12">
        <f>SUM(B12:B16)</f>
        <v/>
      </c>
      <c r="D12" s="6">
        <f>IF(C11=0,"",C12/C11)</f>
        <v/>
      </c>
    </row>
    <row r="13">
      <c r="A13" t="inlineStr">
        <is>
          <t>10 Profile completed</t>
        </is>
      </c>
      <c r="B13">
        <f>COUNTIF(LIST!AE:AE,"10 Profile completed")</f>
        <v/>
      </c>
      <c r="C13">
        <f>SUM(B13:B16)</f>
        <v/>
      </c>
      <c r="D13" s="6">
        <f>IF(C12=0,"",C13/C12)</f>
        <v/>
      </c>
    </row>
    <row r="14">
      <c r="A14" t="inlineStr">
        <is>
          <t>11 First listing</t>
        </is>
      </c>
      <c r="B14">
        <f>COUNTIF(LIST!AE:AE,"11 First listing")</f>
        <v/>
      </c>
      <c r="C14">
        <f>SUM(B14:B16)</f>
        <v/>
      </c>
      <c r="D14" s="6">
        <f>IF(C13=0,"",C14/C13)</f>
        <v/>
      </c>
    </row>
    <row r="15">
      <c r="A15" t="inlineStr">
        <is>
          <t>12 Activated</t>
        </is>
      </c>
      <c r="B15">
        <f>COUNTIF(LIST!AE:AE,"12 Activated")</f>
        <v/>
      </c>
      <c r="C15">
        <f>SUM(B15:B16)</f>
        <v/>
      </c>
      <c r="D15" s="6">
        <f>IF(C14=0,"",C15/C14)</f>
        <v/>
      </c>
    </row>
    <row r="16">
      <c r="A16" t="inlineStr">
        <is>
          <t>13 First enquiry/order/booking</t>
        </is>
      </c>
      <c r="B16">
        <f>COUNTIF(LIST!AE:AE,"13 First enquiry/order/booking")</f>
        <v/>
      </c>
      <c r="C16">
        <f>SUM(B16:B16)</f>
        <v/>
      </c>
      <c r="D16" s="6">
        <f>IF(C15=0,"",C16/C15)</f>
        <v/>
      </c>
    </row>
    <row r="18">
      <c r="A18" t="inlineStr">
        <is>
          <t>Declined</t>
        </is>
      </c>
      <c r="B18">
        <f>COUNTIF(LIST!AE:AE,"X Declined")</f>
        <v/>
      </c>
    </row>
    <row r="19">
      <c r="A19" t="inlineStr">
        <is>
          <t>Do-not-contact</t>
        </is>
      </c>
      <c r="B19">
        <f>COUNTIF(LIST!AE:AE,"X Do-not-contact")</f>
        <v/>
      </c>
    </row>
    <row r="20">
      <c r="A20" t="inlineStr">
        <is>
          <t>Bounced/undeliverable</t>
        </is>
      </c>
      <c r="B20">
        <f>COUNTIF(LIST!AE:AE,"X Bounced/undeliverable")</f>
        <v/>
      </c>
    </row>
    <row r="22">
      <c r="A22" s="7" t="inlineStr">
        <is>
          <t>Note: declined/DNC/bounced records drop out of "reached or later"; read step conversions alongside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2026-10-08T20:12:15Z</dcterms:created>
  <dcterms:modified xmlns:dcterms="http://purl.org/dc/terms/" xmlns:xsi="http://www.w3.org/2001/XMLSchema-instance" xsi:type="dcterms:W3CDTF">2026-10-08T20:12:16Z</dcterms:modified>
</cp:coreProperties>
</file>
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IST" sheetId="2" state="visible" r:id="rId2"/>
    <sheet xmlns:r="http://schemas.openxmlformats.org/officeDocument/2006/relationships" name="STAGE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FUNNEL_LIVE" sheetId="5" state="visible" r:id="rId5"/>
  </sheets>
  <definedNames>
    <definedName name="_xlnm._FilterDatabase" localSheetId="1" hidden="1">'LIST'!$A$1:$AX$101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i val="1"/>
      <color rgb="00555555"/>
    </font>
  </fonts>
  <fills count="4">
    <fill>
      <patternFill/>
    </fill>
    <fill>
      <patternFill patternType="gray125"/>
    </fill>
    <fill>
      <patternFill patternType="solid">
        <fgColor rgb="001F2A36"/>
      </patternFill>
    </fill>
    <fill>
      <patternFill patternType="solid">
        <fgColor rgb="003B4A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9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Uepaki — First 100 Acquisition List (Waves 0–1: pilot + founding cohort)</t>
        </is>
      </c>
    </row>
    <row r="3">
      <c r="A3" s="2" t="inlineStr">
        <is>
          <t>Contains the First 25 (Wave 0) plus 75 Wave 1 founding-cohort professionals. Wave 1 starts only when Wave 0 exit criteria are met (OS report §7).</t>
        </is>
      </c>
    </row>
    <row r="4">
      <c r="A4" s="2" t="inlineStr">
        <is>
          <t>Composition: 100 contact-ready P0 professionals in four anchor cities (Delhi NCR, Mumbai, Bengaluru, Jaipur), all six categories, 21 segments, tier mix A/B ≈ 68%, C ≈ 32%, no D/E.</t>
        </is>
      </c>
    </row>
    <row r="5">
      <c r="A5" s="2" t="inlineStr">
        <is>
          <t>Experiment E03 (rows 26–100): alternate within category between CTA-A (reply / 15-minute call) and CTA-B (written terms + registration link).</t>
        </is>
      </c>
    </row>
    <row r="6">
      <c r="A6" s="2" t="inlineStr">
        <is>
          <t>Wave 1 runs as city ecosystem pods: within each anchor city, approach complementary professionals of the same pod (e.g., Wedding &amp; Occasion: designer, MUA, photographer, emcee) in the same week so that early joiners can honestly be told which categories are forming in their city.</t>
        </is>
      </c>
    </row>
    <row r="7">
      <c r="A7" s="2" t="inlineStr"/>
    </row>
    <row r="8">
      <c r="A8" s="2" t="inlineStr">
        <is>
          <t>Source: UEPAKI_PRELAUNCH_PROFESSIONAL_DATABASE_V2.xlsx, sheet 01_MASTER_V2 (V2.1 canonical master, research date 2026-10-08, 3,584 records). The source file is not modified.</t>
        </is>
      </c>
    </row>
    <row r="9">
      <c r="A9" s="2" t="inlineStr">
        <is>
          <t>This list holds NO phone numbers, emails or WhatsApp links. Look up the verified business route in the master by Prospect ID at the moment of outreach, and re-check it is still published.</t>
        </is>
      </c>
    </row>
    <row r="10">
      <c r="A10" s="2" t="inlineStr">
        <is>
          <t>CONTACTABLE ≠ CONSENT. No record has marketing or WhatsApp opt-in. First contact is 1:1, human-written, professional, and stops on the first "no". Bulk WhatsApp/AiSensy only after a recorded opt-in.</t>
        </is>
      </c>
    </row>
    <row r="11">
      <c r="A11" s="2" t="inlineStr">
        <is>
          <t>Acq Priority (OS) is the operating priority defined in UEPAKI_SELLER_ACQUISITION_OPERATING_SYSTEM (§6). It replaces the inflated DB priority for outreach sequencing; the DB priority is shown alongside for reference.</t>
        </is>
      </c>
    </row>
    <row r="12">
      <c r="A12" s="2" t="inlineStr">
        <is>
          <t>Readiness (ARS) = Acquisition Readiness Score, 0–100: commercial activity 20, recency 15, join likelihood 15, contactability 15, seeking clients 10, marketplace affinity 10, quality 10, category fit 5; minus penalties for low evidence, open verification flags and unknown city. Fame, follower count and tier are NOT inputs.</t>
        </is>
      </c>
    </row>
    <row r="13">
      <c r="A13" s="2" t="inlineStr">
        <is>
          <t>Founding Candidate Score = 0.5 × ARS + 0.3 × Founding Potential (DB) + 0.2 × Network Potential (DB) (+2 if evidence High, +2 if activity ≤3 months).</t>
        </is>
      </c>
    </row>
    <row r="14">
      <c r="A14" s="2" t="inlineStr">
        <is>
          <t>Messaging rules (non-negotiable): no promise of reach, ranking, visibility, leads, orders, bookings or income; never "free to join" (registration carries ₹1 + GST on web — founder decision SUB-01); founding-programme terms only as cleared by the founder (FP-2–FP-10 open; public use not cleared); referral rewards not offered (referral launch deferred, E4); planned features only as "Planned: … Not available yet." and only those the founder lists (RD-1a open); never claim anyone has joined unless they have and consented to be named.</t>
        </is>
      </c>
    </row>
    <row r="15">
      <c r="A15" s="2" t="inlineStr">
        <is>
          <t>Tracker columns (green headers) are for the outreach team. Stage uses the funnel in UEPAKI_ACQUISITION_FUNNEL_AND_KPI_FRAMEWORK.md.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0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3" customWidth="1" min="3" max="3"/>
    <col width="28" customWidth="1" min="4" max="4"/>
    <col width="18" customWidth="1" min="5" max="5"/>
    <col width="22" customWidth="1" min="6" max="6"/>
    <col width="20" customWidth="1" min="7" max="7"/>
    <col width="28" customWidth="1" min="8" max="8"/>
    <col width="12" customWidth="1" min="9" max="9"/>
    <col width="22" customWidth="1" min="10" max="10"/>
    <col width="20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4" customWidth="1" min="20" max="20"/>
    <col width="36" customWidth="1" min="21" max="21"/>
    <col width="40" customWidth="1" min="22" max="22"/>
    <col width="44" customWidth="1" min="23" max="23"/>
    <col width="34" customWidth="1" min="24" max="24"/>
    <col width="60" customWidth="1" min="25" max="25"/>
    <col width="60" customWidth="1" min="26" max="26"/>
    <col width="44" customWidth="1" min="27" max="27"/>
    <col width="40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</cols>
  <sheetData>
    <row r="1" ht="42" customHeight="1">
      <c r="A1" s="3" t="inlineStr">
        <is>
          <t>Rank</t>
        </is>
      </c>
      <c r="B1" s="3" t="inlineStr">
        <is>
          <t>Wave</t>
        </is>
      </c>
      <c r="C1" s="3" t="inlineStr">
        <is>
          <t>Prospect ID</t>
        </is>
      </c>
      <c r="D1" s="3" t="inlineStr">
        <is>
          <t>Name</t>
        </is>
      </c>
      <c r="E1" s="3" t="inlineStr">
        <is>
          <t>Category</t>
        </is>
      </c>
      <c r="F1" s="3" t="inlineStr">
        <is>
          <t>Segment</t>
        </is>
      </c>
      <c r="G1" s="3" t="inlineStr">
        <is>
          <t>Ecosystem Pod</t>
        </is>
      </c>
      <c r="H1" s="3" t="inlineStr">
        <is>
          <t>Subcategory</t>
        </is>
      </c>
      <c r="I1" s="3" t="inlineStr">
        <is>
          <t>City</t>
        </is>
      </c>
      <c r="J1" s="3" t="inlineStr">
        <is>
          <t>Tier</t>
        </is>
      </c>
      <c r="K1" s="3" t="inlineStr">
        <is>
          <t>Business Type</t>
        </is>
      </c>
      <c r="L1" s="3" t="inlineStr">
        <is>
          <t>Acq Priority (OS)</t>
        </is>
      </c>
      <c r="M1" s="3" t="inlineStr">
        <is>
          <t>Source Priority (DB)</t>
        </is>
      </c>
      <c r="N1" s="3" t="inlineStr">
        <is>
          <t>Readiness (ARS)</t>
        </is>
      </c>
      <c r="O1" s="3" t="inlineStr">
        <is>
          <t>ARS pctl in category</t>
        </is>
      </c>
      <c r="P1" s="3" t="inlineStr">
        <is>
          <t>Founding Candidate Score</t>
        </is>
      </c>
      <c r="Q1" s="3" t="inlineStr">
        <is>
          <t>Founding Potential (DB)</t>
        </is>
      </c>
      <c r="R1" s="3" t="inlineStr">
        <is>
          <t>Network Potential (DB)</t>
        </is>
      </c>
      <c r="S1" s="3" t="inlineStr">
        <is>
          <t>Contact Class</t>
        </is>
      </c>
      <c r="T1" s="3" t="inlineStr">
        <is>
          <t>Recommended First Channel</t>
        </is>
      </c>
      <c r="U1" s="3" t="inlineStr">
        <is>
          <t>Public route reference (no personal data)</t>
        </is>
      </c>
      <c r="V1" s="3" t="inlineStr">
        <is>
          <t>Recent activity (DB)</t>
        </is>
      </c>
      <c r="W1" s="3" t="inlineStr">
        <is>
          <t>Commercial signal (DB)</t>
        </is>
      </c>
      <c r="X1" s="3" t="inlineStr">
        <is>
          <t>Platform association (DB)</t>
        </is>
      </c>
      <c r="Y1" s="3" t="inlineStr">
        <is>
          <t>Why selected</t>
        </is>
      </c>
      <c r="Z1" s="3" t="inlineStr">
        <is>
          <t>Lead angle</t>
        </is>
      </c>
      <c r="AA1" s="3" t="inlineStr">
        <is>
          <t>Likely objection (DB)</t>
        </is>
      </c>
      <c r="AB1" s="3" t="inlineStr">
        <is>
          <t>Category objection themes</t>
        </is>
      </c>
      <c r="AC1" s="3" t="inlineStr">
        <is>
          <t>Experiment cell</t>
        </is>
      </c>
      <c r="AD1" s="4" t="inlineStr">
        <is>
          <t>Owner</t>
        </is>
      </c>
      <c r="AE1" s="4" t="inlineStr">
        <is>
          <t>Stage</t>
        </is>
      </c>
      <c r="AF1" s="4" t="inlineStr">
        <is>
          <t>Date first contact</t>
        </is>
      </c>
      <c r="AG1" s="4" t="inlineStr">
        <is>
          <t>Channel used</t>
        </is>
      </c>
      <c r="AH1" s="4" t="inlineStr">
        <is>
          <t>Message variant sent</t>
        </is>
      </c>
      <c r="AI1" s="4" t="inlineStr">
        <is>
          <t>Follow-up 1 date</t>
        </is>
      </c>
      <c r="AJ1" s="4" t="inlineStr">
        <is>
          <t>Follow-up 2 date</t>
        </is>
      </c>
      <c r="AK1" s="4" t="inlineStr">
        <is>
          <t>Replied (Y/N)</t>
        </is>
      </c>
      <c r="AL1" s="4" t="inlineStr">
        <is>
          <t>Reply date</t>
        </is>
      </c>
      <c r="AM1" s="4" t="inlineStr">
        <is>
          <t>Outcome</t>
        </is>
      </c>
      <c r="AN1" s="4" t="inlineStr">
        <is>
          <t>Info requested (Y/N)</t>
        </is>
      </c>
      <c r="AO1" s="4" t="inlineStr">
        <is>
          <t>Registration started</t>
        </is>
      </c>
      <c r="AP1" s="4" t="inlineStr">
        <is>
          <t>Registration completed</t>
        </is>
      </c>
      <c r="AQ1" s="4" t="inlineStr">
        <is>
          <t>Approved (KYC)</t>
        </is>
      </c>
      <c r="AR1" s="4" t="inlineStr">
        <is>
          <t>Profile completed</t>
        </is>
      </c>
      <c r="AS1" s="4" t="inlineStr">
        <is>
          <t>First listing date</t>
        </is>
      </c>
      <c r="AT1" s="4" t="inlineStr">
        <is>
          <t>Activated (Y/N)</t>
        </is>
      </c>
      <c r="AU1" s="4" t="inlineStr">
        <is>
          <t>First enquiry/order/booking date</t>
        </is>
      </c>
      <c r="AV1" s="4" t="inlineStr">
        <is>
          <t>WhatsApp opt-in recorded (Y/N, date, method)</t>
        </is>
      </c>
      <c r="AW1" s="4" t="inlineStr">
        <is>
          <t>Do-not-contact (Y/N)</t>
        </is>
      </c>
      <c r="AX1" s="4" t="inlineStr">
        <is>
          <t>Notes</t>
        </is>
      </c>
    </row>
    <row r="2">
      <c r="A2" s="2" t="n">
        <v>1</v>
      </c>
      <c r="B2" s="2" t="inlineStr">
        <is>
          <t>Wave 0 — Controlled pilot</t>
        </is>
      </c>
      <c r="C2" s="2" t="inlineStr">
        <is>
          <t>UPK2-BM-163</t>
        </is>
      </c>
      <c r="D2" s="2" t="inlineStr">
        <is>
          <t>Arun Mehandi</t>
        </is>
      </c>
      <c r="E2" s="2" t="inlineStr">
        <is>
          <t>Beauty &amp; Makeup</t>
        </is>
      </c>
      <c r="F2" s="2" t="inlineStr">
        <is>
          <t>BM-MEHENDI</t>
        </is>
      </c>
      <c r="G2" s="2" t="inlineStr">
        <is>
          <t>Wedding &amp; Occasion</t>
        </is>
      </c>
      <c r="H2" s="2" t="inlineStr">
        <is>
          <t>Mehendi Artist</t>
        </is>
      </c>
      <c r="I2" s="2" t="inlineStr">
        <is>
          <t>Mumbai</t>
        </is>
      </c>
      <c r="J2" s="2" t="inlineStr">
        <is>
          <t>C — Strong Mid-tier</t>
        </is>
      </c>
      <c r="K2" s="2" t="inlineStr">
        <is>
          <t>Independent mehendi artist</t>
        </is>
      </c>
      <c r="L2" s="2" t="inlineStr">
        <is>
          <t>P0</t>
        </is>
      </c>
      <c r="M2" s="2" t="inlineStr">
        <is>
          <t>P1</t>
        </is>
      </c>
      <c r="N2" s="2" t="n">
        <v>86.5</v>
      </c>
      <c r="O2" s="2" t="n">
        <v>100</v>
      </c>
      <c r="P2" s="2" t="n">
        <v>80.09999999999999</v>
      </c>
      <c r="Q2" s="2" t="n">
        <v>88</v>
      </c>
      <c r="R2" s="2" t="n">
        <v>52</v>
      </c>
      <c r="S2" s="2" t="inlineStr">
        <is>
          <t>C1-DIRECT-VERIFIED</t>
        </is>
      </c>
      <c r="T2" s="2" t="inlineStr">
        <is>
          <t>Personal 1:1 email from founder/team to published business email</t>
        </is>
      </c>
      <c r="U2" s="2" t="inlineStr">
        <is>
          <t>https://arunmehandi.com/</t>
        </is>
      </c>
      <c r="V2" s="2" t="inlineStr">
        <is>
          <t>2026-03 — latest client review on WedMeGood profile</t>
        </is>
      </c>
      <c r="W2" s="2" t="inlineStr">
        <is>
          <t>210 client reviews on WedMeGood (rating 4.9); starting price Rs 4,000;</t>
        </is>
      </c>
      <c r="X2" s="2" t="inlineStr">
        <is>
          <t>WedMeGood (Vendor profile (Mehendi Artists, Handpicked membership, on WMG 8 years))</t>
        </is>
      </c>
      <c r="Y2" s="2" t="inlineStr">
        <is>
          <t>Readiness 86 (top 1% in category) | Commercial: 210 client reviews on WedMeGood (rating 4.9); starting price Rs 4,000; | Active: 2026-03 — latest client review on WedMeGood profile</t>
        </is>
      </c>
      <c r="Z2" s="2" t="inlineStr">
        <is>
          <t>Lead with a specific design style. Ask how bookings arrive today. Service/booking availability at launch is being confirmed (EV-09).</t>
        </is>
      </c>
      <c r="AA2" s="2" t="inlineStr">
        <is>
          <t>Bookings already come via WedMeGood, Instagram and WhatsApp referrals</t>
        </is>
      </c>
      <c r="AB2" s="2" t="inlineStr">
        <is>
          <t>Bookings already via wedding portals/Instagram; off-platform client contact (SP-4a open); peak-season time</t>
        </is>
      </c>
      <c r="AC2" s="2" t="inlineStr">
        <is>
          <t>E01 (Wave 0)</t>
        </is>
      </c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</row>
    <row r="3">
      <c r="A3" s="2" t="n">
        <v>2</v>
      </c>
      <c r="B3" s="2" t="inlineStr">
        <is>
          <t>Wave 0 — Controlled pilot</t>
        </is>
      </c>
      <c r="C3" s="2" t="inlineStr">
        <is>
          <t>UPK2-BM-178</t>
        </is>
      </c>
      <c r="D3" s="2" t="inlineStr">
        <is>
          <t>Himani Bhandula Makeup Artist</t>
        </is>
      </c>
      <c r="E3" s="2" t="inlineStr">
        <is>
          <t>Beauty &amp; Makeup</t>
        </is>
      </c>
      <c r="F3" s="2" t="inlineStr">
        <is>
          <t>BM-INDEPENDENT-MUA</t>
        </is>
      </c>
      <c r="G3" s="2" t="inlineStr">
        <is>
          <t>Wedding &amp; Occasion</t>
        </is>
      </c>
      <c r="H3" s="2" t="inlineStr">
        <is>
          <t>Bridal &amp; party makeup artist</t>
        </is>
      </c>
      <c r="I3" s="2" t="inlineStr">
        <is>
          <t>Delhi NCR</t>
        </is>
      </c>
      <c r="J3" s="2" t="inlineStr">
        <is>
          <t>B — Established Independent</t>
        </is>
      </c>
      <c r="K3" s="2" t="inlineStr">
        <is>
          <t>Independent makeup artist</t>
        </is>
      </c>
      <c r="L3" s="2" t="inlineStr">
        <is>
          <t>P0</t>
        </is>
      </c>
      <c r="M3" s="2" t="inlineStr">
        <is>
          <t>P0</t>
        </is>
      </c>
      <c r="N3" s="2" t="n">
        <v>82.3</v>
      </c>
      <c r="O3" s="2" t="n">
        <v>100</v>
      </c>
      <c r="P3" s="2" t="n">
        <v>71.2</v>
      </c>
      <c r="Q3" s="2" t="n">
        <v>77</v>
      </c>
      <c r="R3" s="2" t="n">
        <v>35</v>
      </c>
      <c r="S3" s="2" t="inlineStr">
        <is>
          <t>C1-DIRECT-VERIFIED</t>
        </is>
      </c>
      <c r="T3" s="2" t="inlineStr">
        <is>
          <t>1:1 message via own-website contact form</t>
        </is>
      </c>
      <c r="U3" s="2" t="inlineStr">
        <is>
          <t>https://himanibhandula.com/contact/</t>
        </is>
      </c>
      <c r="V3" s="2" t="inlineStr">
        <is>
          <t>2026-09 — latest client review on WedMeGood profile</t>
        </is>
      </c>
      <c r="W3" s="2" t="inlineStr">
        <is>
          <t>40 client reviews on WedMeGood (rating 5); 8 of latest 10 shown reviews dated 2025–26; starting price ₹18,000 per function listed</t>
        </is>
      </c>
      <c r="X3" s="2" t="inlineStr">
        <is>
          <t>WedMeGood (Vendor profile with client reviews); Own website (First-party site)</t>
        </is>
      </c>
      <c r="Y3" s="2" t="inlineStr">
        <is>
          <t>Readiness 82 (top 1% in category) | Commercial: 40 client reviews on WedMeGood (rating 5); 8 of latest 10 shown reviews dated 2025–26; st… | Active: 2026-09 — latest client review on WedMeGood profile | Independent/emerging tier — fame not a factor</t>
        </is>
      </c>
      <c r="Z3" s="2" t="inlineStr">
        <is>
          <t>Lead with their bridal portfolio. Ask how bookings arrive today. Be explicit that service/booking availability at launch is being confirmed (EV-09).</t>
        </is>
      </c>
      <c r="AA3" s="2" t="inlineStr">
        <is>
          <t>Bookings already arrive via WedMeGood/Instagram; may see limited need for another platform</t>
        </is>
      </c>
      <c r="AB3" s="2" t="inlineStr">
        <is>
          <t>Bookings already via wedding portals/Instagram; off-platform client contact (SP-4a open); peak-season time</t>
        </is>
      </c>
      <c r="AC3" s="2" t="inlineStr">
        <is>
          <t>E01 (Wave 0)</t>
        </is>
      </c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</row>
    <row r="4">
      <c r="A4" s="2" t="n">
        <v>3</v>
      </c>
      <c r="B4" s="2" t="inlineStr">
        <is>
          <t>Wave 0 — Controlled pilot</t>
        </is>
      </c>
      <c r="C4" s="2" t="inlineStr">
        <is>
          <t>UPK2-BM-208</t>
        </is>
      </c>
      <c r="D4" s="2" t="inlineStr">
        <is>
          <t>Roopali Talwar Makeup Artist</t>
        </is>
      </c>
      <c r="E4" s="2" t="inlineStr">
        <is>
          <t>Beauty &amp; Makeup</t>
        </is>
      </c>
      <c r="F4" s="2" t="inlineStr">
        <is>
          <t>BM-INDEPENDENT-MUA</t>
        </is>
      </c>
      <c r="G4" s="2" t="inlineStr">
        <is>
          <t>Wedding &amp; Occasion</t>
        </is>
      </c>
      <c r="H4" s="2" t="inlineStr">
        <is>
          <t>Bridal &amp; party makeup artist</t>
        </is>
      </c>
      <c r="I4" s="2" t="inlineStr">
        <is>
          <t>Delhi NCR</t>
        </is>
      </c>
      <c r="J4" s="2" t="inlineStr">
        <is>
          <t>B — Established Independent</t>
        </is>
      </c>
      <c r="K4" s="2" t="inlineStr">
        <is>
          <t>Independent makeup artist</t>
        </is>
      </c>
      <c r="L4" s="2" t="inlineStr">
        <is>
          <t>P0</t>
        </is>
      </c>
      <c r="M4" s="2" t="inlineStr">
        <is>
          <t>P0</t>
        </is>
      </c>
      <c r="N4" s="2" t="n">
        <v>79.8</v>
      </c>
      <c r="O4" s="2" t="n">
        <v>99</v>
      </c>
      <c r="P4" s="2" t="n">
        <v>71</v>
      </c>
      <c r="Q4" s="2" t="n">
        <v>77</v>
      </c>
      <c r="R4" s="2" t="n">
        <v>40</v>
      </c>
      <c r="S4" s="2" t="inlineStr">
        <is>
          <t>C1-DIRECT-VERIFIED</t>
        </is>
      </c>
      <c r="T4" s="2" t="inlineStr">
        <is>
          <t>1:1 message via own-website contact form</t>
        </is>
      </c>
      <c r="U4" s="2" t="inlineStr">
        <is>
          <t>https://roopalitalwar.com/</t>
        </is>
      </c>
      <c r="V4" s="2" t="inlineStr">
        <is>
          <t>2026-01 — latest client review on WedMeGood profile</t>
        </is>
      </c>
      <c r="W4" s="2" t="inlineStr">
        <is>
          <t>62 client reviews on WedMeGood (rating 5); 2 of latest 10 shown reviews dated 2025–26; starting price ₹45,000 per function listed</t>
        </is>
      </c>
      <c r="X4" s="2" t="inlineStr">
        <is>
          <t>WedMeGood (Vendor profile with client reviews); Own website (First-party site)</t>
        </is>
      </c>
      <c r="Y4" s="2" t="inlineStr">
        <is>
          <t>Readiness 80 (top 2% in category) | Commercial: 62 client reviews on WedMeGood (rating 5); 2 of latest 10 shown reviews dated 2025–26; st… | Active: 2026-01 — latest client review on WedMeGood profile | Independent/emerging tier — fame not a factor</t>
        </is>
      </c>
      <c r="Z4" s="2" t="inlineStr">
        <is>
          <t>Lead with their bridal portfolio. Ask how bookings arrive today. Be explicit that service/booking availability at launch is being confirmed (EV-09).</t>
        </is>
      </c>
      <c r="AA4" s="2" t="inlineStr">
        <is>
          <t>Bookings already arrive via WedMeGood/Instagram; may see limited need for another platform</t>
        </is>
      </c>
      <c r="AB4" s="2" t="inlineStr">
        <is>
          <t>Bookings already via wedding portals/Instagram; off-platform client contact (SP-4a open); peak-season time</t>
        </is>
      </c>
      <c r="AC4" s="2" t="inlineStr">
        <is>
          <t>E01 (Wave 0)</t>
        </is>
      </c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</row>
    <row r="5">
      <c r="A5" s="2" t="n">
        <v>4</v>
      </c>
      <c r="B5" s="2" t="inlineStr">
        <is>
          <t>Wave 0 — Controlled pilot</t>
        </is>
      </c>
      <c r="C5" s="2" t="inlineStr">
        <is>
          <t>UPK2-BM-004</t>
        </is>
      </c>
      <c r="D5" s="2" t="inlineStr">
        <is>
          <t>MG Makeovers</t>
        </is>
      </c>
      <c r="E5" s="2" t="inlineStr">
        <is>
          <t>Beauty &amp; Makeup</t>
        </is>
      </c>
      <c r="F5" s="2" t="inlineStr">
        <is>
          <t>BM-STUDIO</t>
        </is>
      </c>
      <c r="G5" s="2" t="inlineStr">
        <is>
          <t>Wedding &amp; Occasion</t>
        </is>
      </c>
      <c r="H5" s="2" t="inlineStr">
        <is>
          <t>Bridal Makeup Artist &amp; Studio Salon</t>
        </is>
      </c>
      <c r="I5" s="2" t="inlineStr">
        <is>
          <t>Delhi NCR</t>
        </is>
      </c>
      <c r="J5" s="2" t="inlineStr">
        <is>
          <t>C — Strong Mid-tier</t>
        </is>
      </c>
      <c r="K5" s="2" t="inlineStr">
        <is>
          <t>Studio salon</t>
        </is>
      </c>
      <c r="L5" s="2" t="inlineStr">
        <is>
          <t>P0</t>
        </is>
      </c>
      <c r="M5" s="2" t="inlineStr">
        <is>
          <t>P1</t>
        </is>
      </c>
      <c r="N5" s="2" t="n">
        <v>76</v>
      </c>
      <c r="O5" s="2" t="n">
        <v>98</v>
      </c>
      <c r="P5" s="2" t="n">
        <v>67.2</v>
      </c>
      <c r="Q5" s="2" t="n">
        <v>74</v>
      </c>
      <c r="R5" s="2" t="n">
        <v>35</v>
      </c>
      <c r="S5" s="2" t="inlineStr">
        <is>
          <t>C1-DIRECT-VERIFIED</t>
        </is>
      </c>
      <c r="T5" s="2" t="inlineStr">
        <is>
          <t>Personal 1:1 email from founder/team to published business email</t>
        </is>
      </c>
      <c r="U5" s="2" t="inlineStr">
        <is>
          <t>https://www.mgmakeovers.com/contact-us</t>
        </is>
      </c>
      <c r="V5" s="2" t="inlineStr">
        <is>
          <t>2026 — site copyright 2026</t>
        </is>
      </c>
      <c r="W5" s="2" t="inlineStr">
        <is>
          <t>Gurgaon studio; HD ₹20,000 / airbrush ₹25,000 listed; online booking with WhatsApp confirmation; nail/lash studio</t>
        </is>
      </c>
      <c r="X5" s="2" t="inlineStr">
        <is>
          <t>Own website (First-party site)</t>
        </is>
      </c>
      <c r="Y5" s="2" t="inlineStr">
        <is>
          <t>Readiness 76 (top 3% in category) | Commercial: Gurgaon studio; HD ₹20,000 / airbrush ₹25,000 listed; online booking with WhatsApp confir… | Active: 2026 — site copyright 2026</t>
        </is>
      </c>
      <c r="Z5" s="2" t="inlineStr">
        <is>
          <t>Lead with the studio's body of work and team. Ask how bookings arrive today. Service/booking availability at launch is being confirmed (EV-09).</t>
        </is>
      </c>
      <c r="AA5" s="2" t="inlineStr">
        <is>
          <t>Salon operations focus</t>
        </is>
      </c>
      <c r="AB5" s="2" t="inlineStr">
        <is>
          <t>Bookings already via wedding portals/Instagram; off-platform client contact (SP-4a open); peak-season time</t>
        </is>
      </c>
      <c r="AC5" s="2" t="inlineStr">
        <is>
          <t>E01 (Wave 0)</t>
        </is>
      </c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</row>
    <row r="6">
      <c r="A6" s="2" t="n">
        <v>5</v>
      </c>
      <c r="B6" s="2" t="inlineStr">
        <is>
          <t>Wave 0 — Controlled pilot</t>
        </is>
      </c>
      <c r="C6" s="2" t="inlineStr">
        <is>
          <t>UPK2-BM-394</t>
        </is>
      </c>
      <c r="D6" s="2" t="inlineStr">
        <is>
          <t>Satish Mehandi Art</t>
        </is>
      </c>
      <c r="E6" s="2" t="inlineStr">
        <is>
          <t>Beauty &amp; Makeup</t>
        </is>
      </c>
      <c r="F6" s="2" t="inlineStr">
        <is>
          <t>BM-MEHENDI</t>
        </is>
      </c>
      <c r="G6" s="2" t="inlineStr">
        <is>
          <t>Wedding &amp; Occasion</t>
        </is>
      </c>
      <c r="H6" s="2" t="inlineStr">
        <is>
          <t>Mehendi / henna artist</t>
        </is>
      </c>
      <c r="I6" s="2" t="inlineStr">
        <is>
          <t>Delhi NCR</t>
        </is>
      </c>
      <c r="J6" s="2" t="inlineStr">
        <is>
          <t>C — Strong Mid-tier</t>
        </is>
      </c>
      <c r="K6" s="2" t="inlineStr">
        <is>
          <t>Independent mehendi artist / team</t>
        </is>
      </c>
      <c r="L6" s="2" t="inlineStr">
        <is>
          <t>P0</t>
        </is>
      </c>
      <c r="M6" s="2" t="inlineStr">
        <is>
          <t>P1</t>
        </is>
      </c>
      <c r="N6" s="2" t="n">
        <v>68.7</v>
      </c>
      <c r="O6" s="2" t="n">
        <v>72</v>
      </c>
      <c r="P6" s="2" t="n">
        <v>67</v>
      </c>
      <c r="Q6" s="2" t="n">
        <v>72</v>
      </c>
      <c r="R6" s="2" t="n">
        <v>55</v>
      </c>
      <c r="S6" s="2" t="inlineStr">
        <is>
          <t>C3-PRO-SOCIAL</t>
        </is>
      </c>
      <c r="T6" s="2" t="inlineStr">
        <is>
          <t>1:1 Instagram DM from Uepaki professional account</t>
        </is>
      </c>
      <c r="U6" s="2" t="inlineStr">
        <is>
          <t>https://satishmehandiart.in/</t>
        </is>
      </c>
      <c r="V6" s="2" t="inlineStr">
        <is>
          <t>2025-10 — latest client review on WedMeGood profile</t>
        </is>
      </c>
      <c r="W6" s="2" t="inlineStr">
        <is>
          <t>150 client reviews on WedMeGood (rating 4.7); 1 of latest 10 shown reviews dated 2025–26; starting price ₹3100 onwards per package/function listed</t>
        </is>
      </c>
      <c r="X6" s="2" t="inlineStr">
        <is>
          <t>WedMeGood (Vendor profile with client reviews); Own website (First-party site)</t>
        </is>
      </c>
      <c r="Y6" s="2" t="inlineStr">
        <is>
          <t>Readiness 69 (top 29% in category) | Commercial: 150 client reviews on WedMeGood (rating 4.7); 1 of latest 10 shown reviews dated 2025–26;… | Active: 2025-10 — latest client review on WedMeGood profile</t>
        </is>
      </c>
      <c r="Z6" s="2" t="inlineStr">
        <is>
          <t>Lead with a specific design style. Ask how bookings arrive today. Service/booking availability at launch is being confirmed (EV-09).</t>
        </is>
      </c>
      <c r="AA6" s="2" t="inlineStr">
        <is>
          <t>Bookings already arrive via WedMeGood/Instagram; may see limited need for another platform</t>
        </is>
      </c>
      <c r="AB6" s="2" t="inlineStr">
        <is>
          <t>Bookings already via wedding portals/Instagram; off-platform client contact (SP-4a open); peak-season time</t>
        </is>
      </c>
      <c r="AC6" s="2" t="inlineStr">
        <is>
          <t>E01 (Wave 0)</t>
        </is>
      </c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</row>
    <row r="7">
      <c r="A7" s="2" t="n">
        <v>6</v>
      </c>
      <c r="B7" s="2" t="inlineStr">
        <is>
          <t>Wave 0 — Controlled pilot</t>
        </is>
      </c>
      <c r="C7" s="2" t="inlineStr">
        <is>
          <t>UPK2-BM-014</t>
        </is>
      </c>
      <c r="D7" s="2" t="inlineStr">
        <is>
          <t>Liberte by Hiral</t>
        </is>
      </c>
      <c r="E7" s="2" t="inlineStr">
        <is>
          <t>Beauty &amp; Makeup</t>
        </is>
      </c>
      <c r="F7" s="2" t="inlineStr">
        <is>
          <t>BM-INDEPENDENT-MUA</t>
        </is>
      </c>
      <c r="G7" s="2" t="inlineStr">
        <is>
          <t>Wedding &amp; Occasion</t>
        </is>
      </c>
      <c r="H7" s="2" t="inlineStr">
        <is>
          <t>Minimal/Cruelty-free Bridal MUA</t>
        </is>
      </c>
      <c r="I7" s="2" t="inlineStr">
        <is>
          <t>Mumbai</t>
        </is>
      </c>
      <c r="J7" s="2" t="inlineStr">
        <is>
          <t>B — Established Independent</t>
        </is>
      </c>
      <c r="K7" s="2" t="inlineStr">
        <is>
          <t>Independent professional</t>
        </is>
      </c>
      <c r="L7" s="2" t="inlineStr">
        <is>
          <t>P0</t>
        </is>
      </c>
      <c r="M7" s="2" t="inlineStr">
        <is>
          <t>P0</t>
        </is>
      </c>
      <c r="N7" s="2" t="n">
        <v>74.09999999999999</v>
      </c>
      <c r="O7" s="2" t="n">
        <v>96</v>
      </c>
      <c r="P7" s="2" t="n">
        <v>64.40000000000001</v>
      </c>
      <c r="Q7" s="2" t="n">
        <v>71</v>
      </c>
      <c r="R7" s="2" t="n">
        <v>30</v>
      </c>
      <c r="S7" s="2" t="inlineStr">
        <is>
          <t>C1-DIRECT-VERIFIED</t>
        </is>
      </c>
      <c r="T7" s="2" t="inlineStr">
        <is>
          <t>Personal 1:1 email from founder/team to published business email</t>
        </is>
      </c>
      <c r="U7" s="2" t="inlineStr">
        <is>
          <t>https://shahhirral.wixsite.com/libertebyhiral</t>
        </is>
      </c>
      <c r="V7" s="2" t="inlineStr">
        <is>
          <t>2026-09 — WeddingSutra vendor profile last modified (page metadata)</t>
        </is>
      </c>
      <c r="W7" s="2" t="inlineStr">
        <is>
          <t>Cruelty-free bridal makeup (per WS bio)</t>
        </is>
      </c>
      <c r="X7" s="2" t="inlineStr">
        <is>
          <t>WeddingSutra (Vendor showcase profile (Makeup Artists))</t>
        </is>
      </c>
      <c r="Y7" s="2" t="inlineStr">
        <is>
          <t>Readiness 74 (top 5% in category) | Commercial: Cruelty-free bridal makeup (per WS bio) | Active: 2026-09 — WeddingSutra vendor profile last modified (page metadata) | Independent/emerging tier — fame not a factor</t>
        </is>
      </c>
      <c r="Z7" s="2" t="inlineStr">
        <is>
          <t>Lead with their bridal portfolio. Ask how bookings arrive today. Be explicit that service/booking availability at launch is being confirmed (EV-09).</t>
        </is>
      </c>
      <c r="AA7" s="2" t="inlineStr">
        <is>
          <t>Bookings already flow via Instagram/WhatsApp and wedding portals</t>
        </is>
      </c>
      <c r="AB7" s="2" t="inlineStr">
        <is>
          <t>Bookings already via wedding portals/Instagram; off-platform client contact (SP-4a open); peak-season time</t>
        </is>
      </c>
      <c r="AC7" s="2" t="inlineStr">
        <is>
          <t>E01 (Wave 0)</t>
        </is>
      </c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</row>
    <row r="8">
      <c r="A8" s="2" t="n">
        <v>7</v>
      </c>
      <c r="B8" s="2" t="inlineStr">
        <is>
          <t>Wave 0 — Controlled pilot</t>
        </is>
      </c>
      <c r="C8" s="2" t="inlineStr">
        <is>
          <t>UPK2-FL-163</t>
        </is>
      </c>
      <c r="D8" s="2" t="inlineStr">
        <is>
          <t>Bhumika Sharma</t>
        </is>
      </c>
      <c r="E8" s="2" t="inlineStr">
        <is>
          <t>Fashion &amp; Lifestyle</t>
        </is>
      </c>
      <c r="F8" s="2" t="inlineStr">
        <is>
          <t>FL-OCCASION-BRIDAL</t>
        </is>
      </c>
      <c r="G8" s="2" t="inlineStr">
        <is>
          <t>Wedding &amp; Occasion</t>
        </is>
      </c>
      <c r="H8" s="2" t="inlineStr">
        <is>
          <t>Occasion &amp; bridal wear (lehengas, sarees, festive sets)</t>
        </is>
      </c>
      <c r="I8" s="2" t="inlineStr">
        <is>
          <t>Delhi NCR</t>
        </is>
      </c>
      <c r="J8" s="2" t="inlineStr">
        <is>
          <t>B — Established Independent</t>
        </is>
      </c>
      <c r="K8" s="2" t="inlineStr">
        <is>
          <t>Label/brand (D2C store)</t>
        </is>
      </c>
      <c r="L8" s="2" t="inlineStr">
        <is>
          <t>P0</t>
        </is>
      </c>
      <c r="M8" s="2" t="inlineStr">
        <is>
          <t>P0</t>
        </is>
      </c>
      <c r="N8" s="2" t="n">
        <v>87</v>
      </c>
      <c r="O8" s="2" t="n">
        <v>100</v>
      </c>
      <c r="P8" s="2" t="n">
        <v>79.3</v>
      </c>
      <c r="Q8" s="2" t="n">
        <v>86</v>
      </c>
      <c r="R8" s="2" t="n">
        <v>50</v>
      </c>
      <c r="S8" s="2" t="inlineStr">
        <is>
          <t>C1-DIRECT-VERIFIED</t>
        </is>
      </c>
      <c r="T8" s="2" t="inlineStr">
        <is>
          <t>Personal 1:1 email from founder/team to published business email</t>
        </is>
      </c>
      <c r="U8" s="2" t="inlineStr">
        <is>
          <t>https://www.bhumikasharma.in/pages/contact</t>
        </is>
      </c>
      <c r="V8" s="2" t="inlineStr">
        <is>
          <t>2026-09 — newest product published on own Shopify store (Nitibha Kaul in Zarinah Lehenga) per products.json</t>
        </is>
      </c>
      <c r="W8" s="2" t="inlineStr">
        <is>
          <t>Own online store live with 250+ products listed; stocked by multi-designer retailer(s): Aza Fashions, Ogaan</t>
        </is>
      </c>
      <c r="X8" s="2" t="inlineStr">
        <is>
          <t>Aza Fashions (stocked designer (designer index)); Ogaan (stocked designer (designer index))</t>
        </is>
      </c>
      <c r="Y8" s="2" t="inlineStr">
        <is>
          <t>Readiness 87 (top 1% in category) | Commercial: Own online store live with 250+ products listed; stocked by multi-designer retailer(s): A… | Active: 2026-09 — newest product published on own Shopify store (Nitibha Kaul… | Marketplace-familiar: Aza Fashions); Ogaan) | Independent/emerging tier — fame not a factor</t>
        </is>
      </c>
      <c r="Z8" s="2" t="inlineStr">
        <is>
          <t>Lead with the label's craft and name. Ask how made-to-order/bridal enquiries reach them today. Position Uepaki as an additional professional channel, not a replacement for stockists.</t>
        </is>
      </c>
      <c r="AA8" s="2" t="inlineStr">
        <is>
          <t>Already has own D2C store and established multi-designer stockists</t>
        </is>
      </c>
      <c r="AB8" s="2" t="inlineStr">
        <is>
          <t>Own D2C store/stockists already; "who else is on it?"; commission vs stockist margin</t>
        </is>
      </c>
      <c r="AC8" s="2" t="inlineStr">
        <is>
          <t>E01 (Wave 0)</t>
        </is>
      </c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</row>
    <row r="9">
      <c r="A9" s="2" t="n">
        <v>8</v>
      </c>
      <c r="B9" s="2" t="inlineStr">
        <is>
          <t>Wave 0 — Controlled pilot</t>
        </is>
      </c>
      <c r="C9" s="2" t="inlineStr">
        <is>
          <t>UPK2-FL-164</t>
        </is>
      </c>
      <c r="D9" s="2" t="inlineStr">
        <is>
          <t>Devnaagri</t>
        </is>
      </c>
      <c r="E9" s="2" t="inlineStr">
        <is>
          <t>Fashion &amp; Lifestyle</t>
        </is>
      </c>
      <c r="F9" s="2" t="inlineStr">
        <is>
          <t>FL-OCCASION-BRIDAL</t>
        </is>
      </c>
      <c r="G9" s="2" t="inlineStr">
        <is>
          <t>Wedding &amp; Occasion</t>
        </is>
      </c>
      <c r="H9" s="2" t="inlineStr">
        <is>
          <t>Occasion &amp; bridal wear (lehengas, sarees, festive sets)</t>
        </is>
      </c>
      <c r="I9" s="2" t="inlineStr">
        <is>
          <t>Delhi NCR</t>
        </is>
      </c>
      <c r="J9" s="2" t="inlineStr">
        <is>
          <t>B — Established Independent</t>
        </is>
      </c>
      <c r="K9" s="2" t="inlineStr">
        <is>
          <t>Label/brand (D2C store)</t>
        </is>
      </c>
      <c r="L9" s="2" t="inlineStr">
        <is>
          <t>P0</t>
        </is>
      </c>
      <c r="M9" s="2" t="inlineStr">
        <is>
          <t>P0</t>
        </is>
      </c>
      <c r="N9" s="2" t="n">
        <v>87</v>
      </c>
      <c r="O9" s="2" t="n">
        <v>100</v>
      </c>
      <c r="P9" s="2" t="n">
        <v>79.3</v>
      </c>
      <c r="Q9" s="2" t="n">
        <v>86</v>
      </c>
      <c r="R9" s="2" t="n">
        <v>50</v>
      </c>
      <c r="S9" s="2" t="inlineStr">
        <is>
          <t>C1-DIRECT-VERIFIED</t>
        </is>
      </c>
      <c r="T9" s="2" t="inlineStr">
        <is>
          <t>Personal 1:1 email from founder/team to published business email</t>
        </is>
      </c>
      <c r="U9" s="2" t="inlineStr">
        <is>
          <t>https://www.devnaagri.com/pages/contact-us</t>
        </is>
      </c>
      <c r="V9" s="2" t="inlineStr">
        <is>
          <t>2026-10 — newest product published on own Shopify store (Sara Ali Khan in Inaya - Blush Pink Farshi Salwar Set) per products.json</t>
        </is>
      </c>
      <c r="W9" s="2" t="inlineStr">
        <is>
          <t>Own online store live with 250+ products listed; stocked by multi-designer retailer(s): Aza Fashions, Ogaan</t>
        </is>
      </c>
      <c r="X9" s="2" t="inlineStr">
        <is>
          <t>Aza Fashions (stocked designer (designer index)); Ogaan (stocked designer (designer index))</t>
        </is>
      </c>
      <c r="Y9" s="2" t="inlineStr">
        <is>
          <t>Readiness 87 (top 1% in category) | Commercial: Own online store live with 250+ products listed; stocked by multi-designer retailer(s): A… | Active: 2026-10 — newest product published on own Shopify store (Sara Ali Kha… | Marketplace-familiar: Aza Fashions); Ogaan) | Independent/emerging tier — fame not a factor</t>
        </is>
      </c>
      <c r="Z9" s="2" t="inlineStr">
        <is>
          <t>Lead with the label's craft and name. Ask how made-to-order/bridal enquiries reach them today. Position Uepaki as an additional professional channel, not a replacement for stockists.</t>
        </is>
      </c>
      <c r="AA9" s="2" t="inlineStr">
        <is>
          <t>Already has own D2C store and established multi-designer stockists</t>
        </is>
      </c>
      <c r="AB9" s="2" t="inlineStr">
        <is>
          <t>Own D2C store/stockists already; "who else is on it?"; commission vs stockist margin</t>
        </is>
      </c>
      <c r="AC9" s="2" t="inlineStr">
        <is>
          <t>E01 (Wave 0)</t>
        </is>
      </c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</row>
    <row r="10">
      <c r="A10" s="2" t="n">
        <v>9</v>
      </c>
      <c r="B10" s="2" t="inlineStr">
        <is>
          <t>Wave 0 — Controlled pilot</t>
        </is>
      </c>
      <c r="C10" s="2" t="inlineStr">
        <is>
          <t>UPK2-FL-165</t>
        </is>
      </c>
      <c r="D10" s="2" t="inlineStr">
        <is>
          <t>Miss Jo</t>
        </is>
      </c>
      <c r="E10" s="2" t="inlineStr">
        <is>
          <t>Fashion &amp; Lifestyle</t>
        </is>
      </c>
      <c r="F10" s="2" t="inlineStr">
        <is>
          <t>FL-JEWELLERY</t>
        </is>
      </c>
      <c r="G10" s="2" t="inlineStr">
        <is>
          <t>Wedding &amp; Occasion</t>
        </is>
      </c>
      <c r="H10" s="2" t="inlineStr">
        <is>
          <t>Designer jewellery</t>
        </is>
      </c>
      <c r="I10" s="2" t="inlineStr">
        <is>
          <t>Delhi NCR</t>
        </is>
      </c>
      <c r="J10" s="2" t="inlineStr">
        <is>
          <t>B — Established Independent</t>
        </is>
      </c>
      <c r="K10" s="2" t="inlineStr">
        <is>
          <t>Label/brand (D2C store)</t>
        </is>
      </c>
      <c r="L10" s="2" t="inlineStr">
        <is>
          <t>P0</t>
        </is>
      </c>
      <c r="M10" s="2" t="inlineStr">
        <is>
          <t>P0</t>
        </is>
      </c>
      <c r="N10" s="2" t="n">
        <v>87</v>
      </c>
      <c r="O10" s="2" t="n">
        <v>100</v>
      </c>
      <c r="P10" s="2" t="n">
        <v>79.3</v>
      </c>
      <c r="Q10" s="2" t="n">
        <v>86</v>
      </c>
      <c r="R10" s="2" t="n">
        <v>50</v>
      </c>
      <c r="S10" s="2" t="inlineStr">
        <is>
          <t>C1-DIRECT-VERIFIED</t>
        </is>
      </c>
      <c r="T10" s="2" t="inlineStr">
        <is>
          <t>Personal 1:1 email from founder/team to published business email</t>
        </is>
      </c>
      <c r="U10" s="2" t="inlineStr">
        <is>
          <t>https://missjo.com/pages/contact</t>
        </is>
      </c>
      <c r="V10" s="2" t="inlineStr">
        <is>
          <t>2026-08 — newest product published on own Shopify store (Oval Shaped Solitaire Wedding Bands) per products.json</t>
        </is>
      </c>
      <c r="W10" s="2" t="inlineStr">
        <is>
          <t>Own online store live with 250+ products listed; stocked by multi-designer retailer(s): Aza Fashions, Ogaan</t>
        </is>
      </c>
      <c r="X10" s="2" t="inlineStr">
        <is>
          <t>Aza Fashions (stocked designer (designer index)); Ogaan (stocked designer (designer index))</t>
        </is>
      </c>
      <c r="Y10" s="2" t="inlineStr">
        <is>
          <t>Readiness 87 (top 1% in category) | Commercial: Own online store live with 250+ products listed; stocked by multi-designer retailer(s): A… | Active: 2026-08 — newest product published on own Shopify store (Oval Shaped… | Marketplace-familiar: Aza Fashions); Ogaan) | Independent/emerging tier — fame not a factor</t>
        </is>
      </c>
      <c r="Z10" s="2" t="inlineStr">
        <is>
          <t>Lead with a specific collection. Position as an additional channel under the label's own name. No sales promises.</t>
        </is>
      </c>
      <c r="AA10" s="2" t="inlineStr">
        <is>
          <t>Already has own D2C store and established multi-designer stockists</t>
        </is>
      </c>
      <c r="AB10" s="2" t="inlineStr">
        <is>
          <t>Own D2C store/stockists already; "who else is on it?"; commission vs stockist margin</t>
        </is>
      </c>
      <c r="AC10" s="2" t="inlineStr">
        <is>
          <t>E01 (Wave 0)</t>
        </is>
      </c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</row>
    <row r="11">
      <c r="A11" s="2" t="n">
        <v>10</v>
      </c>
      <c r="B11" s="2" t="inlineStr">
        <is>
          <t>Wave 0 — Controlled pilot</t>
        </is>
      </c>
      <c r="C11" s="2" t="inlineStr">
        <is>
          <t>UPK2-FL-167</t>
        </is>
      </c>
      <c r="D11" s="2" t="inlineStr">
        <is>
          <t>The Leather Garden</t>
        </is>
      </c>
      <c r="E11" s="2" t="inlineStr">
        <is>
          <t>Fashion &amp; Lifestyle</t>
        </is>
      </c>
      <c r="F11" s="2" t="inlineStr">
        <is>
          <t>FL-ACCESSORIES</t>
        </is>
      </c>
      <c r="G11" s="2" t="inlineStr">
        <is>
          <t>Brand &amp; Everyday Style</t>
        </is>
      </c>
      <c r="H11" s="2" t="inlineStr">
        <is>
          <t>Designer bags &amp; accessories</t>
        </is>
      </c>
      <c r="I11" s="2" t="inlineStr">
        <is>
          <t>Delhi NCR</t>
        </is>
      </c>
      <c r="J11" s="2" t="inlineStr">
        <is>
          <t>B — Established Independent</t>
        </is>
      </c>
      <c r="K11" s="2" t="inlineStr">
        <is>
          <t>Label/brand (D2C store)</t>
        </is>
      </c>
      <c r="L11" s="2" t="inlineStr">
        <is>
          <t>P0</t>
        </is>
      </c>
      <c r="M11" s="2" t="inlineStr">
        <is>
          <t>P0</t>
        </is>
      </c>
      <c r="N11" s="2" t="n">
        <v>87</v>
      </c>
      <c r="O11" s="2" t="n">
        <v>100</v>
      </c>
      <c r="P11" s="2" t="n">
        <v>79.3</v>
      </c>
      <c r="Q11" s="2" t="n">
        <v>86</v>
      </c>
      <c r="R11" s="2" t="n">
        <v>50</v>
      </c>
      <c r="S11" s="2" t="inlineStr">
        <is>
          <t>C1-DIRECT-VERIFIED</t>
        </is>
      </c>
      <c r="T11" s="2" t="inlineStr">
        <is>
          <t>Personal 1:1 email from founder/team to published business email</t>
        </is>
      </c>
      <c r="U11" s="2" t="inlineStr">
        <is>
          <t>https://theleathergarden.com/collections/notebook</t>
        </is>
      </c>
      <c r="V11" s="2" t="inlineStr">
        <is>
          <t>2026-09 — newest product published on own Shopify store (Mini Holly) per products.json</t>
        </is>
      </c>
      <c r="W11" s="2" t="inlineStr">
        <is>
          <t>Own online store live with 250+ products listed; stocked by multi-designer retailer(s): Aza Fashions, Ogaan</t>
        </is>
      </c>
      <c r="X11" s="2" t="inlineStr">
        <is>
          <t>Aza Fashions (stocked designer (designer index)); Ogaan (stocked designer (designer index))</t>
        </is>
      </c>
      <c r="Y11" s="2" t="inlineStr">
        <is>
          <t>Readiness 87 (top 1% in category) | Commercial: Own online store live with 250+ products listed; stocked by multi-designer retailer(s): A… | Active: 2026-09 — newest product published on own Shopify store (Mini Holly)… | Marketplace-familiar: Aza Fashions); Ogaan) | Independent/emerging tier — fame not a factor</t>
        </is>
      </c>
      <c r="Z11" s="2" t="inlineStr">
        <is>
          <t>Lead with a specific product line. Position as an additional channel under the label's own name.</t>
        </is>
      </c>
      <c r="AA11" s="2" t="inlineStr">
        <is>
          <t>Already has own D2C store and established multi-designer stockists</t>
        </is>
      </c>
      <c r="AB11" s="2" t="inlineStr">
        <is>
          <t>Own D2C store/stockists already; "who else is on it?"; commission vs stockist margin</t>
        </is>
      </c>
      <c r="AC11" s="2" t="inlineStr">
        <is>
          <t>E01 (Wave 0)</t>
        </is>
      </c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</row>
    <row r="12">
      <c r="A12" s="2" t="n">
        <v>11</v>
      </c>
      <c r="B12" s="2" t="inlineStr">
        <is>
          <t>Wave 0 — Controlled pilot</t>
        </is>
      </c>
      <c r="C12" s="2" t="inlineStr">
        <is>
          <t>UPK2-FL-173</t>
        </is>
      </c>
      <c r="D12" s="2" t="inlineStr">
        <is>
          <t>Kamaali Couture</t>
        </is>
      </c>
      <c r="E12" s="2" t="inlineStr">
        <is>
          <t>Fashion &amp; Lifestyle</t>
        </is>
      </c>
      <c r="F12" s="2" t="inlineStr">
        <is>
          <t>FL-CONTEMPORARY</t>
        </is>
      </c>
      <c r="G12" s="2" t="inlineStr">
        <is>
          <t>Brand &amp; Everyday Style</t>
        </is>
      </c>
      <c r="H12" s="2" t="inlineStr">
        <is>
          <t>Contemporary ready-to-wear / festive pret</t>
        </is>
      </c>
      <c r="I12" s="2" t="inlineStr">
        <is>
          <t>Delhi NCR</t>
        </is>
      </c>
      <c r="J12" s="2" t="inlineStr">
        <is>
          <t>B — Established Independent</t>
        </is>
      </c>
      <c r="K12" s="2" t="inlineStr">
        <is>
          <t>Label/brand (D2C store)</t>
        </is>
      </c>
      <c r="L12" s="2" t="inlineStr">
        <is>
          <t>P0</t>
        </is>
      </c>
      <c r="M12" s="2" t="inlineStr">
        <is>
          <t>P0</t>
        </is>
      </c>
      <c r="N12" s="2" t="n">
        <v>86</v>
      </c>
      <c r="O12" s="2" t="n">
        <v>99</v>
      </c>
      <c r="P12" s="2" t="n">
        <v>78.5</v>
      </c>
      <c r="Q12" s="2" t="n">
        <v>85</v>
      </c>
      <c r="R12" s="2" t="n">
        <v>50</v>
      </c>
      <c r="S12" s="2" t="inlineStr">
        <is>
          <t>C1-DIRECT-VERIFIED</t>
        </is>
      </c>
      <c r="T12" s="2" t="inlineStr">
        <is>
          <t>Personal 1:1 email from founder/team to published business email</t>
        </is>
      </c>
      <c r="U12" s="2" t="inlineStr">
        <is>
          <t>https://kamaali.in/pages/contact-us-1</t>
        </is>
      </c>
      <c r="V12" s="2" t="inlineStr">
        <is>
          <t>2026-09 — newest product published on own Shopify store (Liela) per products.json</t>
        </is>
      </c>
      <c r="W12" s="2" t="inlineStr">
        <is>
          <t>Own online store live with 231 products listed; stocked by multi-designer retailer(s): Aza Fashions, Ogaan</t>
        </is>
      </c>
      <c r="X12" s="2" t="inlineStr">
        <is>
          <t>Aza Fashions (stocked designer (designer index)); Ogaan (stocked designer (designer index))</t>
        </is>
      </c>
      <c r="Y12" s="2" t="inlineStr">
        <is>
          <t>Readiness 86 (top 2% in category) | Commercial: Own online store live with 231 products listed; stocked by multi-designer retailer(s): Az… | Active: 2026-09 — newest product published on own Shopify store (Liela) per p… | Marketplace-familiar: Aza Fashions); Ogaan) | Independent/emerging tier — fame not a factor</t>
        </is>
      </c>
      <c r="Z12" s="2" t="inlineStr">
        <is>
          <t>Lead with the label's own range and identity. Position as an additional channel next to own store and stockists. No sales or reach promises.</t>
        </is>
      </c>
      <c r="AA12" s="2" t="inlineStr">
        <is>
          <t>Already has own D2C store and established multi-designer stockists</t>
        </is>
      </c>
      <c r="AB12" s="2" t="inlineStr">
        <is>
          <t>Own D2C store/stockists already; "who else is on it?"; commission vs stockist margin</t>
        </is>
      </c>
      <c r="AC12" s="2" t="inlineStr">
        <is>
          <t>E01 (Wave 0)</t>
        </is>
      </c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2" t="inlineStr"/>
    </row>
    <row r="13">
      <c r="A13" s="2" t="n">
        <v>12</v>
      </c>
      <c r="B13" s="2" t="inlineStr">
        <is>
          <t>Wave 0 — Controlled pilot</t>
        </is>
      </c>
      <c r="C13" s="2" t="inlineStr">
        <is>
          <t>UPK2-SD-305</t>
        </is>
      </c>
      <c r="D13" s="2" t="inlineStr">
        <is>
          <t>Emanate Home</t>
        </is>
      </c>
      <c r="E13" s="2" t="inlineStr">
        <is>
          <t>Space &amp; Design</t>
        </is>
      </c>
      <c r="F13" s="2" t="inlineStr">
        <is>
          <t>SD-PRODUCT-MAKER</t>
        </is>
      </c>
      <c r="G13" s="2" t="inlineStr">
        <is>
          <t>Home &amp; Space</t>
        </is>
      </c>
      <c r="H13" s="2" t="inlineStr">
        <is>
          <t>Luxury lighting &amp; bespoke home accessories</t>
        </is>
      </c>
      <c r="I13" s="2" t="inlineStr">
        <is>
          <t>Delhi NCR</t>
        </is>
      </c>
      <c r="J13" s="2" t="inlineStr">
        <is>
          <t>C — Strong Mid-tier</t>
        </is>
      </c>
      <c r="K13" s="2" t="inlineStr">
        <is>
          <t>Lighting brand</t>
        </is>
      </c>
      <c r="L13" s="2" t="inlineStr">
        <is>
          <t>P0</t>
        </is>
      </c>
      <c r="M13" s="2" t="inlineStr">
        <is>
          <t>P1</t>
        </is>
      </c>
      <c r="N13" s="2" t="n">
        <v>71.5</v>
      </c>
      <c r="O13" s="2" t="n">
        <v>78</v>
      </c>
      <c r="P13" s="2" t="n">
        <v>70.8</v>
      </c>
      <c r="Q13" s="2" t="n">
        <v>77</v>
      </c>
      <c r="R13" s="2" t="n">
        <v>60</v>
      </c>
      <c r="S13" s="2" t="inlineStr">
        <is>
          <t>C1-DIRECT-VERIFIED</t>
        </is>
      </c>
      <c r="T13" s="2" t="inlineStr">
        <is>
          <t>Personal 1:1 email from founder/team to published business email</t>
        </is>
      </c>
      <c r="U13" s="2" t="inlineStr">
        <is>
          <t>https://www.emanatehome.com/</t>
        </is>
      </c>
      <c r="V13" s="2" t="inlineStr">
        <is>
          <t>2026-10 — listed as exhibitor at India Design ID Mumbai 2026 (indiadesignid.com)</t>
        </is>
      </c>
      <c r="W13" s="2" t="inlineStr">
        <is>
          <t>Exhibitor at India Design ID (2022, 2026)</t>
        </is>
      </c>
      <c r="X13" s="2" t="inlineStr">
        <is>
          <t>India Design ID (exhibitor)</t>
        </is>
      </c>
      <c r="Y13" s="2" t="inlineStr">
        <is>
          <t>Readiness 72 (top 23% in category) | Commercial: Exhibitor at India Design ID (2022, 2026) | Active: 2026-10 — listed as exhibitor at India Design ID Mumbai 2026 (indiade…</t>
        </is>
      </c>
      <c r="Z13" s="2" t="inlineStr">
        <is>
          <t>Lead with a specific piece. Products and commissions under the maker's own name; link to studios in the Home &amp; Space pod.</t>
        </is>
      </c>
      <c r="AA13" s="2" t="inlineStr">
        <is>
          <t>Already sells via own site/showroom and trade fairs.</t>
        </is>
      </c>
      <c r="AB13" s="2" t="inlineStr">
        <is>
          <t>Work comes via referrals; project-based work fit; profile upkeep effort</t>
        </is>
      </c>
      <c r="AC13" s="2" t="inlineStr">
        <is>
          <t>E01 (Wave 0)</t>
        </is>
      </c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  <c r="AX13" s="2" t="inlineStr"/>
    </row>
    <row r="14">
      <c r="A14" s="2" t="n">
        <v>13</v>
      </c>
      <c r="B14" s="2" t="inlineStr">
        <is>
          <t>Wave 0 — Controlled pilot</t>
        </is>
      </c>
      <c r="C14" s="2" t="inlineStr">
        <is>
          <t>UPK2-SD-303</t>
        </is>
      </c>
      <c r="D14" s="2" t="inlineStr">
        <is>
          <t>Wriver</t>
        </is>
      </c>
      <c r="E14" s="2" t="inlineStr">
        <is>
          <t>Space &amp; Design</t>
        </is>
      </c>
      <c r="F14" s="2" t="inlineStr">
        <is>
          <t>SD-PRODUCT-MAKER</t>
        </is>
      </c>
      <c r="G14" s="2" t="inlineStr">
        <is>
          <t>Home &amp; Space</t>
        </is>
      </c>
      <c r="H14" s="2" t="inlineStr">
        <is>
          <t>Luxury contemporary furniture brand</t>
        </is>
      </c>
      <c r="I14" s="2" t="inlineStr">
        <is>
          <t>Delhi NCR</t>
        </is>
      </c>
      <c r="J14" s="2" t="inlineStr">
        <is>
          <t>C — Strong Mid-tier</t>
        </is>
      </c>
      <c r="K14" s="2" t="inlineStr">
        <is>
          <t>Furniture brand</t>
        </is>
      </c>
      <c r="L14" s="2" t="inlineStr">
        <is>
          <t>P0</t>
        </is>
      </c>
      <c r="M14" s="2" t="inlineStr">
        <is>
          <t>P1</t>
        </is>
      </c>
      <c r="N14" s="2" t="n">
        <v>71.5</v>
      </c>
      <c r="O14" s="2" t="n">
        <v>78</v>
      </c>
      <c r="P14" s="2" t="n">
        <v>70.8</v>
      </c>
      <c r="Q14" s="2" t="n">
        <v>77</v>
      </c>
      <c r="R14" s="2" t="n">
        <v>60</v>
      </c>
      <c r="S14" s="2" t="inlineStr">
        <is>
          <t>C1-DIRECT-VERIFIED</t>
        </is>
      </c>
      <c r="T14" s="2" t="inlineStr">
        <is>
          <t>Personal 1:1 email from founder/team to published business email</t>
        </is>
      </c>
      <c r="U14" s="2" t="inlineStr">
        <is>
          <t>https://wriver.in/</t>
        </is>
      </c>
      <c r="V14" s="2" t="inlineStr">
        <is>
          <t>2026-10 — listed as exhibitor at India Design ID Mumbai 2026 (indiadesignid.com)</t>
        </is>
      </c>
      <c r="W14" s="2" t="inlineStr">
        <is>
          <t>Exhibitor at India Design ID (2024, 2025, 2026)</t>
        </is>
      </c>
      <c r="X14" s="2" t="inlineStr">
        <is>
          <t>India Design ID (exhibitor)</t>
        </is>
      </c>
      <c r="Y14" s="2" t="inlineStr">
        <is>
          <t>Readiness 72 (top 23% in category) | Commercial: Exhibitor at India Design ID (2024, 2025, 2026) | Active: 2026-10 — listed as exhibitor at India Design ID Mumbai 2026 (indiade…</t>
        </is>
      </c>
      <c r="Z14" s="2" t="inlineStr">
        <is>
          <t>Lead with a specific piece. Products and commissions under the maker's own name; link to studios in the Home &amp; Space pod.</t>
        </is>
      </c>
      <c r="AA14" s="2" t="inlineStr">
        <is>
          <t>Already sells via own site/showroom and trade fairs.</t>
        </is>
      </c>
      <c r="AB14" s="2" t="inlineStr">
        <is>
          <t>Work comes via referrals; project-based work fit; profile upkeep effort</t>
        </is>
      </c>
      <c r="AC14" s="2" t="inlineStr">
        <is>
          <t>E01 (Wave 0)</t>
        </is>
      </c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  <c r="AX14" s="2" t="inlineStr"/>
    </row>
    <row r="15">
      <c r="A15" s="2" t="n">
        <v>14</v>
      </c>
      <c r="B15" s="2" t="inlineStr">
        <is>
          <t>Wave 0 — Controlled pilot</t>
        </is>
      </c>
      <c r="C15" s="2" t="inlineStr">
        <is>
          <t>UPK2-SD-012</t>
        </is>
      </c>
      <c r="D15" s="2" t="inlineStr">
        <is>
          <t>TAS World</t>
        </is>
      </c>
      <c r="E15" s="2" t="inlineStr">
        <is>
          <t>Space &amp; Design</t>
        </is>
      </c>
      <c r="F15" s="2" t="inlineStr">
        <is>
          <t>SD-ARCHITECTURE</t>
        </is>
      </c>
      <c r="G15" s="2" t="inlineStr">
        <is>
          <t>Home &amp; Space</t>
        </is>
      </c>
      <c r="H15" s="2" t="inlineStr">
        <is>
          <t>Luxury architecture &amp; interiors</t>
        </is>
      </c>
      <c r="I15" s="2" t="inlineStr">
        <is>
          <t>Delhi NCR</t>
        </is>
      </c>
      <c r="J15" s="2" t="inlineStr">
        <is>
          <t>C — Strong Mid-tier</t>
        </is>
      </c>
      <c r="K15" s="2" t="inlineStr">
        <is>
          <t>Design studio/practice</t>
        </is>
      </c>
      <c r="L15" s="2" t="inlineStr">
        <is>
          <t>P0</t>
        </is>
      </c>
      <c r="M15" s="2" t="inlineStr">
        <is>
          <t>P1</t>
        </is>
      </c>
      <c r="N15" s="2" t="n">
        <v>74.2</v>
      </c>
      <c r="O15" s="2" t="n">
        <v>92</v>
      </c>
      <c r="P15" s="2" t="n">
        <v>69.8</v>
      </c>
      <c r="Q15" s="2" t="n">
        <v>79</v>
      </c>
      <c r="R15" s="2" t="n">
        <v>45</v>
      </c>
      <c r="S15" s="2" t="inlineStr">
        <is>
          <t>C1-DIRECT-VERIFIED</t>
        </is>
      </c>
      <c r="T15" s="2" t="inlineStr">
        <is>
          <t>Personal 1:1 email from founder/team to published business email</t>
        </is>
      </c>
      <c r="U15" s="2" t="inlineStr">
        <is>
          <t>https://www.tasworld.in/contact/</t>
        </is>
      </c>
      <c r="V15" s="2" t="inlineStr">
        <is>
          <t>2026-08 — TAD feature: White Manor</t>
        </is>
      </c>
      <c r="W15" s="2" t="inlineStr">
        <is>
          <t>White Manor farmhouse (Aug 2026); turnkey homes</t>
        </is>
      </c>
      <c r="X15" s="2" t="inlineStr">
        <is>
          <t>The Architects Diary (Editorial feature/list)</t>
        </is>
      </c>
      <c r="Y15" s="2" t="inlineStr">
        <is>
          <t>Readiness 74 (top 9% in category) | Commercial: White Manor farmhouse (Aug 2026); turnkey homes | Active: 2026-08 — TAD feature: White Manor</t>
        </is>
      </c>
      <c r="Z15" s="2" t="inlineStr">
        <is>
          <t>Lead with a specific built project. Present Uepaki as a professional home for the practice's services and project work under its own name. No lead promises.</t>
        </is>
      </c>
      <c r="AA15" s="2" t="inlineStr">
        <is>
          <t>Established practice with steady referral/press pipeline; may see limited need for another channel</t>
        </is>
      </c>
      <c r="AB15" s="2" t="inlineStr">
        <is>
          <t>Work comes via referrals; project-based work fit; profile upkeep effort</t>
        </is>
      </c>
      <c r="AC15" s="2" t="inlineStr">
        <is>
          <t>E01 (Wave 0)</t>
        </is>
      </c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  <c r="AX15" s="2" t="inlineStr"/>
    </row>
    <row r="16">
      <c r="A16" s="2" t="n">
        <v>15</v>
      </c>
      <c r="B16" s="2" t="inlineStr">
        <is>
          <t>Wave 0 — Controlled pilot</t>
        </is>
      </c>
      <c r="C16" s="2" t="inlineStr">
        <is>
          <t>UPK2-SD-002</t>
        </is>
      </c>
      <c r="D16" s="2" t="inlineStr">
        <is>
          <t>Logic Design + Build</t>
        </is>
      </c>
      <c r="E16" s="2" t="inlineStr">
        <is>
          <t>Space &amp; Design</t>
        </is>
      </c>
      <c r="F16" s="2" t="inlineStr">
        <is>
          <t>SD-ARCHITECTURE</t>
        </is>
      </c>
      <c r="G16" s="2" t="inlineStr">
        <is>
          <t>Home &amp; Space</t>
        </is>
      </c>
      <c r="H16" s="2" t="inlineStr">
        <is>
          <t>Architecture &amp; interior design-build atelier</t>
        </is>
      </c>
      <c r="I16" s="2" t="inlineStr">
        <is>
          <t>Delhi NCR</t>
        </is>
      </c>
      <c r="J16" s="2" t="inlineStr">
        <is>
          <t>C — Strong Mid-tier</t>
        </is>
      </c>
      <c r="K16" s="2" t="inlineStr">
        <is>
          <t>Design studio/practice</t>
        </is>
      </c>
      <c r="L16" s="2" t="inlineStr">
        <is>
          <t>P0</t>
        </is>
      </c>
      <c r="M16" s="2" t="inlineStr">
        <is>
          <t>P1</t>
        </is>
      </c>
      <c r="N16" s="2" t="n">
        <v>75.5</v>
      </c>
      <c r="O16" s="2" t="n">
        <v>99</v>
      </c>
      <c r="P16" s="2" t="n">
        <v>70.40000000000001</v>
      </c>
      <c r="Q16" s="2" t="n">
        <v>79</v>
      </c>
      <c r="R16" s="2" t="n">
        <v>45</v>
      </c>
      <c r="S16" s="2" t="inlineStr">
        <is>
          <t>C1-DIRECT-VERIFIED</t>
        </is>
      </c>
      <c r="T16" s="2" t="inlineStr">
        <is>
          <t>Personal 1:1 email from founder/team to published business email</t>
        </is>
      </c>
      <c r="U16" s="2" t="inlineStr">
        <is>
          <t>https://www.logic.co.in/</t>
        </is>
      </c>
      <c r="V16" s="2" t="inlineStr">
        <is>
          <t>2026-04 — TAD feature: bespoke penthouse</t>
        </is>
      </c>
      <c r="W16" s="2" t="inlineStr">
        <is>
          <t>Founded 2016; design &amp; build for residential, workspace, commercial</t>
        </is>
      </c>
      <c r="X16" s="2" t="inlineStr">
        <is>
          <t>The Architects Diary (Editorial feature/list); The Architects Diary (Editorial feature/list)</t>
        </is>
      </c>
      <c r="Y16" s="2" t="inlineStr">
        <is>
          <t>Readiness 76 (top 2% in category) | Commercial: Founded 2016; design &amp; build for residential, workspace, commercial | Active: 2026-04 — TAD feature: bespoke penthouse</t>
        </is>
      </c>
      <c r="Z16" s="2" t="inlineStr">
        <is>
          <t>Lead with a specific built project. Present Uepaki as a professional home for the practice's services and project work under its own name. No lead promises.</t>
        </is>
      </c>
      <c r="AA16" s="2" t="inlineStr">
        <is>
          <t>Established practice with steady referral/press pipeline; may see limited need for another channel</t>
        </is>
      </c>
      <c r="AB16" s="2" t="inlineStr">
        <is>
          <t>Work comes via referrals; project-based work fit; profile upkeep effort</t>
        </is>
      </c>
      <c r="AC16" s="2" t="inlineStr">
        <is>
          <t>E01 (Wave 0)</t>
        </is>
      </c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  <c r="AX16" s="2" t="inlineStr"/>
    </row>
    <row r="17">
      <c r="A17" s="2" t="n">
        <v>16</v>
      </c>
      <c r="B17" s="2" t="inlineStr">
        <is>
          <t>Wave 0 — Controlled pilot</t>
        </is>
      </c>
      <c r="C17" s="2" t="inlineStr">
        <is>
          <t>UPK2-SD-312</t>
        </is>
      </c>
      <c r="D17" s="2" t="inlineStr">
        <is>
          <t>The Black Touch</t>
        </is>
      </c>
      <c r="E17" s="2" t="inlineStr">
        <is>
          <t>Space &amp; Design</t>
        </is>
      </c>
      <c r="F17" s="2" t="inlineStr">
        <is>
          <t>SD-INTERIOR</t>
        </is>
      </c>
      <c r="G17" s="2" t="inlineStr">
        <is>
          <t>Home &amp; Space</t>
        </is>
      </c>
      <c r="H17" s="2" t="inlineStr">
        <is>
          <t>Turnkey interior design studio</t>
        </is>
      </c>
      <c r="I17" s="2" t="inlineStr">
        <is>
          <t>Mumbai</t>
        </is>
      </c>
      <c r="J17" s="2" t="inlineStr">
        <is>
          <t>B — Established Independent</t>
        </is>
      </c>
      <c r="K17" s="2" t="inlineStr">
        <is>
          <t>Design studio / practice</t>
        </is>
      </c>
      <c r="L17" s="2" t="inlineStr">
        <is>
          <t>P0</t>
        </is>
      </c>
      <c r="M17" s="2" t="inlineStr">
        <is>
          <t>P0</t>
        </is>
      </c>
      <c r="N17" s="2" t="n">
        <v>73.59999999999999</v>
      </c>
      <c r="O17" s="2" t="n">
        <v>91</v>
      </c>
      <c r="P17" s="2" t="n">
        <v>64.40000000000001</v>
      </c>
      <c r="Q17" s="2" t="n">
        <v>72</v>
      </c>
      <c r="R17" s="2" t="n">
        <v>30</v>
      </c>
      <c r="S17" s="2" t="inlineStr">
        <is>
          <t>C1-DIRECT-VERIFIED</t>
        </is>
      </c>
      <c r="T17" s="2" t="inlineStr">
        <is>
          <t>Personal 1:1 email from founder/team to published business email</t>
        </is>
      </c>
      <c r="U17" s="2" t="inlineStr">
        <is>
          <t>https://theblacktouch.com/contact-us</t>
        </is>
      </c>
      <c r="V17" s="2" t="inlineStr">
        <is>
          <t>2026-10 — own-site sitemap lastmod (https://theblacktouch.com/projects/oberoi-4-bhk-modern-luxe-residence-in-mulund-mumbai); last TAD featu…</t>
        </is>
      </c>
      <c r="W17" s="2" t="inlineStr">
        <is>
          <t>Residential Interior Design — Mulund, Mumbai, Maharashtra, India (TAD 2024-06)</t>
        </is>
      </c>
      <c r="X17" s="2" t="inlineStr">
        <is>
          <t>The Architects Diary (Editorial project feature (1 in 2024–26, 0 in 2025–26))</t>
        </is>
      </c>
      <c r="Y17" s="2" t="inlineStr">
        <is>
          <t>Readiness 74 (top 10% in category) | Commercial: Residential Interior Design — Mulund, Mumbai, Maharashtra, India (TAD 2024-06) | Active: 2026-10 — own-site sitemap lastmod (https://theblacktouch.com/project… | Independent/emerging tier — fame not a factor</t>
        </is>
      </c>
      <c r="Z17" s="2" t="inlineStr">
        <is>
          <t>Lead with a specific interior project. Services and project work under the studio's own name. No enquiry promises.</t>
        </is>
      </c>
      <c r="AA17" s="2" t="inlineStr">
        <is>
          <t>Small team; may prioritise direct referrals</t>
        </is>
      </c>
      <c r="AB17" s="2" t="inlineStr">
        <is>
          <t>Work comes via referrals; project-based work fit; profile upkeep effort</t>
        </is>
      </c>
      <c r="AC17" s="2" t="inlineStr">
        <is>
          <t>E01 (Wave 0)</t>
        </is>
      </c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/>
      <c r="AX17" s="2" t="inlineStr"/>
    </row>
    <row r="18">
      <c r="A18" s="2" t="n">
        <v>17</v>
      </c>
      <c r="B18" s="2" t="inlineStr">
        <is>
          <t>Wave 0 — Controlled pilot</t>
        </is>
      </c>
      <c r="C18" s="2" t="inlineStr">
        <is>
          <t>UPK2-LM-208</t>
        </is>
      </c>
      <c r="D18" s="2" t="inlineStr">
        <is>
          <t>Photomist</t>
        </is>
      </c>
      <c r="E18" s="2" t="inlineStr">
        <is>
          <t>Lens &amp; Motion</t>
        </is>
      </c>
      <c r="F18" s="2" t="inlineStr">
        <is>
          <t>LM-WEDDING</t>
        </is>
      </c>
      <c r="G18" s="2" t="inlineStr">
        <is>
          <t>Wedding &amp; Occasion</t>
        </is>
      </c>
      <c r="H18" s="2" t="inlineStr">
        <is>
          <t>Wedding photography &amp; filmmaking studio</t>
        </is>
      </c>
      <c r="I18" s="2" t="inlineStr">
        <is>
          <t>Mumbai</t>
        </is>
      </c>
      <c r="J18" s="2" t="inlineStr">
        <is>
          <t>B — Established Independent</t>
        </is>
      </c>
      <c r="K18" s="2" t="inlineStr">
        <is>
          <t>Studio / production house</t>
        </is>
      </c>
      <c r="L18" s="2" t="inlineStr">
        <is>
          <t>P0</t>
        </is>
      </c>
      <c r="M18" s="2" t="inlineStr">
        <is>
          <t>P0</t>
        </is>
      </c>
      <c r="N18" s="2" t="n">
        <v>84.3</v>
      </c>
      <c r="O18" s="2" t="n">
        <v>100</v>
      </c>
      <c r="P18" s="2" t="n">
        <v>71.40000000000001</v>
      </c>
      <c r="Q18" s="2" t="n">
        <v>78</v>
      </c>
      <c r="R18" s="2" t="n">
        <v>29</v>
      </c>
      <c r="S18" s="2" t="inlineStr">
        <is>
          <t>C1-DIRECT-VERIFIED</t>
        </is>
      </c>
      <c r="T18" s="2" t="inlineStr">
        <is>
          <t>Personal 1:1 email from founder/team to published business email</t>
        </is>
      </c>
      <c r="U18" s="2" t="inlineStr">
        <is>
          <t>https://www.photomist.in/</t>
        </is>
      </c>
      <c r="V18" s="2" t="inlineStr">
        <is>
          <t>2026-08 — latest client review on WedMeGood profile (wedmegood.com)</t>
        </is>
      </c>
      <c r="W18" s="2" t="inlineStr">
        <is>
          <t>56 client reviews on WedMeGood (rating 5); Photo + Video packages starting ₹90,000</t>
        </is>
      </c>
      <c r="X18" s="2" t="inlineStr">
        <is>
          <t>WedMeGood (Vendor listing with client reviews); wedding.net (Vendor profile (self-listed))</t>
        </is>
      </c>
      <c r="Y18" s="2" t="inlineStr">
        <is>
          <t>Readiness 84 (top 1% in category) | Commercial: 56 client reviews on WedMeGood (rating 5); Photo + Video packages starting ₹90,000 | Active: 2026-08 — latest client review on WedMeGood profile (wedmegood.com) | Marketplace-familiar: WedMeGood; wedding.net) | Independent/emerging tier — fame not a factor</t>
        </is>
      </c>
      <c r="Z18" s="2" t="inlineStr">
        <is>
          <t>Lead with a specific film or series. Photographers sit at the centre of the wedding ecosystem — invite as a founding peer of designers, MUAs and planners.</t>
        </is>
      </c>
      <c r="AA18" s="2" t="inlineStr">
        <is>
          <t>Enquiries already come via WedMeGood, own website and Instagram</t>
        </is>
      </c>
      <c r="AB18" s="2" t="inlineStr">
        <is>
          <t>Leads via referrals/portals; off-platform contact; time to maintain another profile</t>
        </is>
      </c>
      <c r="AC18" s="2" t="inlineStr">
        <is>
          <t>E01 (Wave 0)</t>
        </is>
      </c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/>
      <c r="AX18" s="2" t="inlineStr"/>
    </row>
    <row r="19">
      <c r="A19" s="2" t="n">
        <v>18</v>
      </c>
      <c r="B19" s="2" t="inlineStr">
        <is>
          <t>Wave 0 — Controlled pilot</t>
        </is>
      </c>
      <c r="C19" s="2" t="inlineStr">
        <is>
          <t>UPK2-LM-223</t>
        </is>
      </c>
      <c r="D19" s="2" t="inlineStr">
        <is>
          <t>Bombay Paparazzi</t>
        </is>
      </c>
      <c r="E19" s="2" t="inlineStr">
        <is>
          <t>Lens &amp; Motion</t>
        </is>
      </c>
      <c r="F19" s="2" t="inlineStr">
        <is>
          <t>LM-WEDDING</t>
        </is>
      </c>
      <c r="G19" s="2" t="inlineStr">
        <is>
          <t>Wedding &amp; Occasion</t>
        </is>
      </c>
      <c r="H19" s="2" t="inlineStr">
        <is>
          <t>Wedding photography &amp; filmmaking studio</t>
        </is>
      </c>
      <c r="I19" s="2" t="inlineStr">
        <is>
          <t>Mumbai</t>
        </is>
      </c>
      <c r="J19" s="2" t="inlineStr">
        <is>
          <t>B — Established Independent</t>
        </is>
      </c>
      <c r="K19" s="2" t="inlineStr">
        <is>
          <t>Studio / production house</t>
        </is>
      </c>
      <c r="L19" s="2" t="inlineStr">
        <is>
          <t>P0</t>
        </is>
      </c>
      <c r="M19" s="2" t="inlineStr">
        <is>
          <t>P0</t>
        </is>
      </c>
      <c r="N19" s="2" t="n">
        <v>80.59999999999999</v>
      </c>
      <c r="O19" s="2" t="n">
        <v>98</v>
      </c>
      <c r="P19" s="2" t="n">
        <v>69.3</v>
      </c>
      <c r="Q19" s="2" t="n">
        <v>78</v>
      </c>
      <c r="R19" s="2" t="n">
        <v>28</v>
      </c>
      <c r="S19" s="2" t="inlineStr">
        <is>
          <t>C1-DIRECT-VERIFIED</t>
        </is>
      </c>
      <c r="T19" s="2" t="inlineStr">
        <is>
          <t>Personal 1:1 email from founder/team to published business email</t>
        </is>
      </c>
      <c r="U19" s="2" t="inlineStr">
        <is>
          <t>https://bombaypaparazzi.com/</t>
        </is>
      </c>
      <c r="V19" s="2" t="inlineStr">
        <is>
          <t>2026-07 — latest client review on WedMeGood profile (wedmegood.com)</t>
        </is>
      </c>
      <c r="W19" s="2" t="inlineStr">
        <is>
          <t>52 client reviews on WedMeGood (rating 5); Photo + Video packages starting ₹75,000</t>
        </is>
      </c>
      <c r="X19" s="2" t="inlineStr">
        <is>
          <t>WedMeGood (Vendor listing with client reviews)</t>
        </is>
      </c>
      <c r="Y19" s="2" t="inlineStr">
        <is>
          <t>Readiness 81 (top 3% in category) | Commercial: 52 client reviews on WedMeGood (rating 5); Photo + Video packages starting ₹75,000 | Active: 2026-07 — latest client review on WedMeGood profile (wedmegood.com) | Independent/emerging tier — fame not a factor</t>
        </is>
      </c>
      <c r="Z19" s="2" t="inlineStr">
        <is>
          <t>Lead with a specific film or series. Photographers sit at the centre of the wedding ecosystem — invite as a founding peer of designers, MUAs and planners.</t>
        </is>
      </c>
      <c r="AA19" s="2" t="inlineStr">
        <is>
          <t>Enquiries already come via WedMeGood, own website and Instagram</t>
        </is>
      </c>
      <c r="AB19" s="2" t="inlineStr">
        <is>
          <t>Leads via referrals/portals; off-platform contact; time to maintain another profile</t>
        </is>
      </c>
      <c r="AC19" s="2" t="inlineStr">
        <is>
          <t>E01 (Wave 0)</t>
        </is>
      </c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/>
      <c r="AX19" s="2" t="inlineStr"/>
    </row>
    <row r="20">
      <c r="A20" s="2" t="n">
        <v>19</v>
      </c>
      <c r="B20" s="2" t="inlineStr">
        <is>
          <t>Wave 0 — Controlled pilot</t>
        </is>
      </c>
      <c r="C20" s="2" t="inlineStr">
        <is>
          <t>UPK2-LM-238</t>
        </is>
      </c>
      <c r="D20" s="2" t="inlineStr">
        <is>
          <t>North Light Studio</t>
        </is>
      </c>
      <c r="E20" s="2" t="inlineStr">
        <is>
          <t>Lens &amp; Motion</t>
        </is>
      </c>
      <c r="F20" s="2" t="inlineStr">
        <is>
          <t>LM-ARCH-INTERIOR</t>
        </is>
      </c>
      <c r="G20" s="2" t="inlineStr">
        <is>
          <t>Home &amp; Space</t>
        </is>
      </c>
      <c r="H20" s="2" t="inlineStr">
        <is>
          <t>Commercial photography &amp; video (food, product, hospitality, architecture)</t>
        </is>
      </c>
      <c r="I20" s="2" t="inlineStr">
        <is>
          <t>Mumbai</t>
        </is>
      </c>
      <c r="J20" s="2" t="inlineStr">
        <is>
          <t>B — Established Independent</t>
        </is>
      </c>
      <c r="K20" s="2" t="inlineStr">
        <is>
          <t>Micro studio (2-10)</t>
        </is>
      </c>
      <c r="L20" s="2" t="inlineStr">
        <is>
          <t>P0</t>
        </is>
      </c>
      <c r="M20" s="2" t="inlineStr">
        <is>
          <t>P0</t>
        </is>
      </c>
      <c r="N20" s="2" t="n">
        <v>75.2</v>
      </c>
      <c r="O20" s="2" t="n">
        <v>77</v>
      </c>
      <c r="P20" s="2" t="n">
        <v>68.7</v>
      </c>
      <c r="Q20" s="2" t="n">
        <v>77</v>
      </c>
      <c r="R20" s="2" t="n">
        <v>40</v>
      </c>
      <c r="S20" s="2" t="inlineStr">
        <is>
          <t>C1-DIRECT-VERIFIED</t>
        </is>
      </c>
      <c r="T20" s="2" t="inlineStr">
        <is>
          <t>Personal 1:1 email from founder/team to published business email</t>
        </is>
      </c>
      <c r="U20" s="2" t="inlineStr">
        <is>
          <t>https://www.northlightstudio.in/</t>
        </is>
      </c>
      <c r="V20" s="2" t="inlineStr">
        <is>
          <t>2026-09 — photo credit on The Architects Diary project feature (https://thearchitectsdiary.com/arched-abode-builds-a-soft-architectural-rhy…</t>
        </is>
      </c>
      <c r="W20" s="2" t="inlineStr">
        <is>
          <t>Commissioned project photography credited by design publications; enquiry route on own site</t>
        </is>
      </c>
      <c r="X20" s="2" t="inlineStr"/>
      <c r="Y20" s="2" t="inlineStr">
        <is>
          <t>Readiness 75 (top 24% in category) | Commercial: Commissioned project photography credited by design publications; enquiry route on own si… | Active: 2026-09 — photo credit on The Architects Diary project feature (https… | Independent/emerging tier — fame not a factor</t>
        </is>
      </c>
      <c r="Z20" s="2" t="inlineStr">
        <is>
          <t>Lead with a specific project they documented. Link to the Home &amp; Space pod (studios and makers).</t>
        </is>
      </c>
      <c r="AA20" s="2" t="inlineStr">
        <is>
          <t>Work is commission/referral-driven through architect networks; may not see need for a marketplace</t>
        </is>
      </c>
      <c r="AB20" s="2" t="inlineStr">
        <is>
          <t>Leads via referrals/portals; off-platform contact; time to maintain another profile</t>
        </is>
      </c>
      <c r="AC20" s="2" t="inlineStr">
        <is>
          <t>E01 (Wave 0)</t>
        </is>
      </c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  <c r="AX20" s="2" t="inlineStr"/>
    </row>
    <row r="21">
      <c r="A21" s="2" t="n">
        <v>20</v>
      </c>
      <c r="B21" s="2" t="inlineStr">
        <is>
          <t>Wave 0 — Controlled pilot</t>
        </is>
      </c>
      <c r="C21" s="2" t="inlineStr">
        <is>
          <t>UPK2-LM-031</t>
        </is>
      </c>
      <c r="D21" s="2" t="inlineStr">
        <is>
          <t>Digital Studio</t>
        </is>
      </c>
      <c r="E21" s="2" t="inlineStr">
        <is>
          <t>Lens &amp; Motion</t>
        </is>
      </c>
      <c r="F21" s="2" t="inlineStr">
        <is>
          <t>LM-COMMERCIAL-FASHION</t>
        </is>
      </c>
      <c r="G21" s="2" t="inlineStr">
        <is>
          <t>Brand &amp; Everyday Style</t>
        </is>
      </c>
      <c r="H21" s="2" t="inlineStr">
        <is>
          <t>Product photography &amp; industrial/corporate video production</t>
        </is>
      </c>
      <c r="I21" s="2" t="inlineStr">
        <is>
          <t>Mumbai</t>
        </is>
      </c>
      <c r="J21" s="2" t="inlineStr">
        <is>
          <t>B — Established Independent</t>
        </is>
      </c>
      <c r="K21" s="2" t="inlineStr">
        <is>
          <t>Photo/video production studio</t>
        </is>
      </c>
      <c r="L21" s="2" t="inlineStr">
        <is>
          <t>P0</t>
        </is>
      </c>
      <c r="M21" s="2" t="inlineStr">
        <is>
          <t>P1</t>
        </is>
      </c>
      <c r="N21" s="2" t="n">
        <v>73.5</v>
      </c>
      <c r="O21" s="2" t="n">
        <v>72</v>
      </c>
      <c r="P21" s="2" t="n">
        <v>65.59999999999999</v>
      </c>
      <c r="Q21" s="2" t="n">
        <v>73</v>
      </c>
      <c r="R21" s="2" t="n">
        <v>35</v>
      </c>
      <c r="S21" s="2" t="inlineStr">
        <is>
          <t>C1-DIRECT-VERIFIED</t>
        </is>
      </c>
      <c r="T21" s="2" t="inlineStr">
        <is>
          <t>Personal 1:1 email from founder/team to published business email</t>
        </is>
      </c>
      <c r="U21" s="2" t="inlineStr">
        <is>
          <t>https://www.digitalstudio.in/</t>
        </is>
      </c>
      <c r="V21" s="2" t="inlineStr">
        <is>
          <t>2026-10 — site live with service pages (digitalstudio.in)</t>
        </is>
      </c>
      <c r="W21" s="2" t="inlineStr">
        <is>
          <t>Own website advertises paid product photography &amp; industrial/corporate video production services with enquiry routes</t>
        </is>
      </c>
      <c r="X21" s="2" t="inlineStr"/>
      <c r="Y21" s="2" t="inlineStr">
        <is>
          <t>Readiness 74 (top 29% in category) | Commercial: Own website advertises paid product photography &amp; industrial/corporate video production s… | Active: 2026-10 — site live with service pages (digitalstudio.in) | Independent/emerging tier — fame not a factor</t>
        </is>
      </c>
      <c r="Z21" s="2" t="inlineStr">
        <is>
          <t>Lead with product/fashion work. Link to labels in the Brand &amp; Everyday Style pod.</t>
        </is>
      </c>
      <c r="AA21" s="2" t="inlineStr">
        <is>
          <t>Leads already come via own site/Instagram</t>
        </is>
      </c>
      <c r="AB21" s="2" t="inlineStr">
        <is>
          <t>Leads via referrals/portals; off-platform contact; time to maintain another profile</t>
        </is>
      </c>
      <c r="AC21" s="2" t="inlineStr">
        <is>
          <t>E01 (Wave 0)</t>
        </is>
      </c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  <c r="AX21" s="2" t="inlineStr"/>
    </row>
    <row r="22">
      <c r="A22" s="2" t="n">
        <v>21</v>
      </c>
      <c r="B22" s="2" t="inlineStr">
        <is>
          <t>Wave 0 — Controlled pilot</t>
        </is>
      </c>
      <c r="C22" s="2" t="inlineStr">
        <is>
          <t>UPK2-CM-046</t>
        </is>
      </c>
      <c r="D22" s="2" t="inlineStr">
        <is>
          <t>Amol Soni</t>
        </is>
      </c>
      <c r="E22" s="2" t="inlineStr">
        <is>
          <t>Content &amp; Media</t>
        </is>
      </c>
      <c r="F22" s="2" t="inlineStr">
        <is>
          <t>CM-EMCEE-HOST</t>
        </is>
      </c>
      <c r="G22" s="2" t="inlineStr">
        <is>
          <t>Wedding &amp; Occasion</t>
        </is>
      </c>
      <c r="H22" s="2" t="inlineStr">
        <is>
          <t>Wedding &amp; event emcee / anchor</t>
        </is>
      </c>
      <c r="I22" s="2" t="inlineStr">
        <is>
          <t>Mumbai</t>
        </is>
      </c>
      <c r="J22" s="2" t="inlineStr">
        <is>
          <t>A — Emerging / High-potential</t>
        </is>
      </c>
      <c r="K22" s="2" t="inlineStr">
        <is>
          <t>Independent professional</t>
        </is>
      </c>
      <c r="L22" s="2" t="inlineStr">
        <is>
          <t>P0</t>
        </is>
      </c>
      <c r="M22" s="2" t="inlineStr">
        <is>
          <t>P0</t>
        </is>
      </c>
      <c r="N22" s="2" t="n">
        <v>74</v>
      </c>
      <c r="O22" s="2" t="n">
        <v>98</v>
      </c>
      <c r="P22" s="2" t="n">
        <v>61.8</v>
      </c>
      <c r="Q22" s="2" t="n">
        <v>66</v>
      </c>
      <c r="R22" s="2" t="n">
        <v>25</v>
      </c>
      <c r="S22" s="2" t="inlineStr">
        <is>
          <t>C1-DIRECT-VERIFIED</t>
        </is>
      </c>
      <c r="T22" s="2" t="inlineStr">
        <is>
          <t>Personal 1:1 email from founder/team to published business email</t>
        </is>
      </c>
      <c r="U22" s="2" t="inlineStr">
        <is>
          <t>https://www.entertaineramolsoni.com/</t>
        </is>
      </c>
      <c r="V22" s="2" t="inlineStr">
        <is>
          <t>2026-08 — WeddingSutra vendor profile updated; carries WeddingSutra Favorites 2026 badge</t>
        </is>
      </c>
      <c r="W22" s="2" t="inlineStr">
        <is>
          <t>Listed by WeddingSutra as a wedding emcee serving Mumbai</t>
        </is>
      </c>
      <c r="X22" s="2" t="inlineStr">
        <is>
          <t>WeddingSutra (vendor showcase profile (Emcees))</t>
        </is>
      </c>
      <c r="Y22" s="2" t="inlineStr">
        <is>
          <t>Readiness 74 (top 3% in category) | Commercial: Listed by WeddingSutra as a wedding emcee serving Mumbai | Active: 2026-08 — WeddingSutra vendor profile updated; carries WeddingSutra F… | Independent/emerging tier — fame not a factor</t>
        </is>
      </c>
      <c r="Z22" s="2" t="inlineStr">
        <is>
          <t>Lead with the event formats they host. Services as a professional; clients, not followers.</t>
        </is>
      </c>
      <c r="AA22" s="2" t="inlineStr">
        <is>
          <t>Gets bookings via Instagram and wedding marketplaces already; may see another profile as low priority.</t>
        </is>
      </c>
      <c r="AB22" s="2" t="inlineStr">
        <is>
          <t>Work via agencies/creator platforms; wants proof brands/clients are present</t>
        </is>
      </c>
      <c r="AC22" s="2" t="inlineStr">
        <is>
          <t>E01 (Wave 0)</t>
        </is>
      </c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  <c r="AX22" s="2" t="inlineStr"/>
    </row>
    <row r="23">
      <c r="A23" s="2" t="n">
        <v>22</v>
      </c>
      <c r="B23" s="2" t="inlineStr">
        <is>
          <t>Wave 0 — Controlled pilot</t>
        </is>
      </c>
      <c r="C23" s="2" t="inlineStr">
        <is>
          <t>UPK2-CM-016</t>
        </is>
      </c>
      <c r="D23" s="2" t="inlineStr">
        <is>
          <t>Sirimiri – The Lifestyle Blogazine</t>
        </is>
      </c>
      <c r="E23" s="2" t="inlineStr">
        <is>
          <t>Content &amp; Media</t>
        </is>
      </c>
      <c r="F23" s="2" t="inlineStr">
        <is>
          <t>CM-BLOGGER-WRITER</t>
        </is>
      </c>
      <c r="G23" s="2" t="inlineStr">
        <is>
          <t>Brand &amp; Everyday Style</t>
        </is>
      </c>
      <c r="H23" s="2" t="inlineStr">
        <is>
          <t>Lifestyle blogger, writer, author</t>
        </is>
      </c>
      <c r="I23" s="2" t="inlineStr">
        <is>
          <t>Mumbai</t>
        </is>
      </c>
      <c r="J23" s="2" t="inlineStr">
        <is>
          <t>B — Established Independent</t>
        </is>
      </c>
      <c r="K23" s="2" t="inlineStr">
        <is>
          <t>Independent creator/blog</t>
        </is>
      </c>
      <c r="L23" s="2" t="inlineStr">
        <is>
          <t>P0</t>
        </is>
      </c>
      <c r="M23" s="2" t="inlineStr">
        <is>
          <t>P0</t>
        </is>
      </c>
      <c r="N23" s="2" t="n">
        <v>70.8</v>
      </c>
      <c r="O23" s="2" t="n">
        <v>88</v>
      </c>
      <c r="P23" s="2" t="n">
        <v>59.3</v>
      </c>
      <c r="Q23" s="2" t="n">
        <v>63</v>
      </c>
      <c r="R23" s="2" t="n">
        <v>25</v>
      </c>
      <c r="S23" s="2" t="inlineStr">
        <is>
          <t>C1-DIRECT-VERIFIED</t>
        </is>
      </c>
      <c r="T23" s="2" t="inlineStr">
        <is>
          <t>1:1 message via own-website contact form</t>
        </is>
      </c>
      <c r="U23" s="2" t="inlineStr">
        <is>
          <t>https://sirimiri.in/</t>
        </is>
      </c>
      <c r="V23" s="2" t="inlineStr">
        <is>
          <t>2026 — homepage references 2026</t>
        </is>
      </c>
      <c r="W23" s="2" t="inlineStr">
        <is>
          <t>Has a 'sponsored post' category and book reviews; About: Mumbai-based blogger, writer, author</t>
        </is>
      </c>
      <c r="X23" s="2" t="inlineStr">
        <is>
          <t>Feedspot (Listed in Indian lifestyle blogs)</t>
        </is>
      </c>
      <c r="Y23" s="2" t="inlineStr">
        <is>
          <t>Readiness 71 (top 13% in category) | Commercial: Has a 'sponsored post' category and book reviews; About: Mumbai-based blogger, writer, au… | Active: 2026 — homepage references 2026 | Independent/emerging tier — fame not a factor</t>
        </is>
      </c>
      <c r="Z23" s="2" t="inlineStr">
        <is>
          <t>Lead with their writing/beat. Content work as a professional service for brands; clients, not audience.</t>
        </is>
      </c>
      <c r="AA23" s="2" t="inlineStr">
        <is>
          <t>Works through agencies/creator platforms; wants evidence brands are on the platform.</t>
        </is>
      </c>
      <c r="AB23" s="2" t="inlineStr">
        <is>
          <t>Work via agencies/creator platforms; wants proof brands/clients are present</t>
        </is>
      </c>
      <c r="AC23" s="2" t="inlineStr">
        <is>
          <t>E01 (Wave 0)</t>
        </is>
      </c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/>
      <c r="AX23" s="2" t="inlineStr"/>
    </row>
    <row r="24">
      <c r="A24" s="2" t="n">
        <v>23</v>
      </c>
      <c r="B24" s="2" t="inlineStr">
        <is>
          <t>Wave 0 — Controlled pilot</t>
        </is>
      </c>
      <c r="C24" s="2" t="inlineStr">
        <is>
          <t>UPK2-CM-050</t>
        </is>
      </c>
      <c r="D24" s="2" t="inlineStr">
        <is>
          <t>Kunal Jessani</t>
        </is>
      </c>
      <c r="E24" s="2" t="inlineStr">
        <is>
          <t>Content &amp; Media</t>
        </is>
      </c>
      <c r="F24" s="2" t="inlineStr">
        <is>
          <t>CM-EMCEE-HOST</t>
        </is>
      </c>
      <c r="G24" s="2" t="inlineStr">
        <is>
          <t>Wedding &amp; Occasion</t>
        </is>
      </c>
      <c r="H24" s="2" t="inlineStr">
        <is>
          <t>Wedding &amp; event emcee / anchor</t>
        </is>
      </c>
      <c r="I24" s="2" t="inlineStr">
        <is>
          <t>Mumbai</t>
        </is>
      </c>
      <c r="J24" s="2" t="inlineStr">
        <is>
          <t>A — Emerging / High-potential</t>
        </is>
      </c>
      <c r="K24" s="2" t="inlineStr">
        <is>
          <t>Independent professional</t>
        </is>
      </c>
      <c r="L24" s="2" t="inlineStr">
        <is>
          <t>P0</t>
        </is>
      </c>
      <c r="M24" s="2" t="inlineStr">
        <is>
          <t>P0</t>
        </is>
      </c>
      <c r="N24" s="2" t="n">
        <v>73.2</v>
      </c>
      <c r="O24" s="2" t="n">
        <v>96</v>
      </c>
      <c r="P24" s="2" t="n">
        <v>60.8</v>
      </c>
      <c r="Q24" s="2" t="n">
        <v>64</v>
      </c>
      <c r="R24" s="2" t="n">
        <v>25</v>
      </c>
      <c r="S24" s="2" t="inlineStr">
        <is>
          <t>C1-DIRECT-VERIFIED</t>
        </is>
      </c>
      <c r="T24" s="2" t="inlineStr">
        <is>
          <t>Personal 1:1 email from founder/team to published business email</t>
        </is>
      </c>
      <c r="U24" s="2" t="inlineStr">
        <is>
          <t>https://kunaljessani.com/connect-with-us/</t>
        </is>
      </c>
      <c r="V24" s="2" t="inlineStr">
        <is>
          <t>2026-06 — WeddingSutra vendor profile updated</t>
        </is>
      </c>
      <c r="W24" s="2" t="inlineStr">
        <is>
          <t>Listed by WeddingSutra as a wedding emcee serving Mumbai</t>
        </is>
      </c>
      <c r="X24" s="2" t="inlineStr">
        <is>
          <t>WeddingSutra (vendor showcase profile (Emcees))</t>
        </is>
      </c>
      <c r="Y24" s="2" t="inlineStr">
        <is>
          <t>Readiness 73 (top 5% in category) | Commercial: Listed by WeddingSutra as a wedding emcee serving Mumbai | Active: 2026-06 — WeddingSutra vendor profile updated | Independent/emerging tier — fame not a factor</t>
        </is>
      </c>
      <c r="Z24" s="2" t="inlineStr">
        <is>
          <t>Lead with the event formats they host. Services as a professional; clients, not followers.</t>
        </is>
      </c>
      <c r="AA24" s="2" t="inlineStr">
        <is>
          <t>Gets bookings via Instagram and wedding marketplaces already; may see another profile as low priority.</t>
        </is>
      </c>
      <c r="AB24" s="2" t="inlineStr">
        <is>
          <t>Work via agencies/creator platforms; wants proof brands/clients are present</t>
        </is>
      </c>
      <c r="AC24" s="2" t="inlineStr">
        <is>
          <t>E01 (Wave 0)</t>
        </is>
      </c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  <c r="AX24" s="2" t="inlineStr"/>
    </row>
    <row r="25">
      <c r="A25" s="2" t="n">
        <v>24</v>
      </c>
      <c r="B25" s="2" t="inlineStr">
        <is>
          <t>Wave 0 — Controlled pilot</t>
        </is>
      </c>
      <c r="C25" s="2" t="inlineStr">
        <is>
          <t>UPK2-DV-003</t>
        </is>
      </c>
      <c r="D25" s="2" t="inlineStr">
        <is>
          <t>Ink n Bliss</t>
        </is>
      </c>
      <c r="E25" s="2" t="inlineStr">
        <is>
          <t>Digital &amp; Visual Arts</t>
        </is>
      </c>
      <c r="F25" s="2" t="inlineStr">
        <is>
          <t>DV-CALLIGRAPHY-STATIONERY</t>
        </is>
      </c>
      <c r="G25" s="2" t="inlineStr">
        <is>
          <t>Wedding &amp; Occasion</t>
        </is>
      </c>
      <c r="H25" s="2" t="inlineStr">
        <is>
          <t>Calligraphy &amp; engraving studio (weddings, corporate)</t>
        </is>
      </c>
      <c r="I25" s="2" t="inlineStr">
        <is>
          <t>Mumbai</t>
        </is>
      </c>
      <c r="J25" s="2" t="inlineStr">
        <is>
          <t>B — Established Independent</t>
        </is>
      </c>
      <c r="K25" s="2" t="inlineStr">
        <is>
          <t>Calligraphy studio</t>
        </is>
      </c>
      <c r="L25" s="2" t="inlineStr">
        <is>
          <t>P0</t>
        </is>
      </c>
      <c r="M25" s="2" t="inlineStr">
        <is>
          <t>P0</t>
        </is>
      </c>
      <c r="N25" s="2" t="n">
        <v>77.90000000000001</v>
      </c>
      <c r="O25" s="2" t="n">
        <v>98</v>
      </c>
      <c r="P25" s="2" t="n">
        <v>67.8</v>
      </c>
      <c r="Q25" s="2" t="n">
        <v>76</v>
      </c>
      <c r="R25" s="2" t="n">
        <v>30</v>
      </c>
      <c r="S25" s="2" t="inlineStr">
        <is>
          <t>C1-DIRECT-VERIFIED</t>
        </is>
      </c>
      <c r="T25" s="2" t="inlineStr">
        <is>
          <t>Personal 1:1 email from founder/team to published business email</t>
        </is>
      </c>
      <c r="U25" s="2" t="inlineStr">
        <is>
          <t>https://www.inknbliss.com/contact</t>
        </is>
      </c>
      <c r="V25" s="2" t="inlineStr">
        <is>
          <t>2026 — site references 2026</t>
        </is>
      </c>
      <c r="W25" s="2" t="inlineStr">
        <is>
          <t>Custom calligraphy for weddings &amp; corporates; has collaborations page</t>
        </is>
      </c>
      <c r="X25" s="2" t="inlineStr">
        <is>
          <t>Nibtique (Directory listing)</t>
        </is>
      </c>
      <c r="Y25" s="2" t="inlineStr">
        <is>
          <t>Readiness 78 (top 3% in category) | Commercial: Custom calligraphy for weddings &amp; corporates; has collaborations page | Active: 2026 — site references 2026 | Independent/emerging tier — fame not a factor</t>
        </is>
      </c>
      <c r="Z25" s="2" t="inlineStr">
        <is>
          <t>Lead with a specific commission (stationery/engraving). Artists who sell both work and commissioned services.</t>
        </is>
      </c>
      <c r="AA25" s="2" t="inlineStr">
        <is>
          <t>Event-booking business may already be booked via Instagram</t>
        </is>
      </c>
      <c r="AB25" s="2" t="inlineStr">
        <is>
          <t>Commission pricing control; IP of artwork; price pressure</t>
        </is>
      </c>
      <c r="AC25" s="2" t="inlineStr">
        <is>
          <t>E01 (Wave 0)</t>
        </is>
      </c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  <c r="AW25" s="2" t="inlineStr"/>
      <c r="AX25" s="2" t="inlineStr"/>
    </row>
    <row r="26">
      <c r="A26" s="2" t="n">
        <v>25</v>
      </c>
      <c r="B26" s="2" t="inlineStr">
        <is>
          <t>Wave 0 — Controlled pilot</t>
        </is>
      </c>
      <c r="C26" s="2" t="inlineStr">
        <is>
          <t>UPK2-DV-037</t>
        </is>
      </c>
      <c r="D26" s="2" t="inlineStr">
        <is>
          <t>CRAFX Studio</t>
        </is>
      </c>
      <c r="E26" s="2" t="inlineStr">
        <is>
          <t>Digital &amp; Visual Arts</t>
        </is>
      </c>
      <c r="F26" s="2" t="inlineStr">
        <is>
          <t>DV-DESIGN-STUDIO</t>
        </is>
      </c>
      <c r="G26" s="2" t="inlineStr">
        <is>
          <t>Brand &amp; Everyday Style</t>
        </is>
      </c>
      <c r="H26" s="2" t="inlineStr">
        <is>
          <t>Branding, packaging, motion &amp; 3D design agency</t>
        </is>
      </c>
      <c r="I26" s="2" t="inlineStr">
        <is>
          <t>Mumbai</t>
        </is>
      </c>
      <c r="J26" s="2" t="inlineStr">
        <is>
          <t>B — Established Independent</t>
        </is>
      </c>
      <c r="K26" s="2" t="inlineStr">
        <is>
          <t>Independent branding &amp; design agency</t>
        </is>
      </c>
      <c r="L26" s="2" t="inlineStr">
        <is>
          <t>P0</t>
        </is>
      </c>
      <c r="M26" s="2" t="inlineStr">
        <is>
          <t>P1</t>
        </is>
      </c>
      <c r="N26" s="2" t="n">
        <v>75</v>
      </c>
      <c r="O26" s="2" t="n">
        <v>91</v>
      </c>
      <c r="P26" s="2" t="n">
        <v>66</v>
      </c>
      <c r="Q26" s="2" t="n">
        <v>75</v>
      </c>
      <c r="R26" s="2" t="n">
        <v>30</v>
      </c>
      <c r="S26" s="2" t="inlineStr">
        <is>
          <t>C1-DIRECT-VERIFIED</t>
        </is>
      </c>
      <c r="T26" s="2" t="inlineStr">
        <is>
          <t>Personal 1:1 email from founder/team to published business email</t>
        </is>
      </c>
      <c r="U26" s="2" t="inlineStr">
        <is>
          <t>https://www.crafxstudio.com/</t>
        </is>
      </c>
      <c r="V26" s="2" t="inlineStr">
        <is>
          <t>2026 — site ©2026</t>
        </is>
      </c>
      <c r="W26" s="2" t="inlineStr">
        <is>
          <t>500+ projects across 12+ countries (per own profile)</t>
        </is>
      </c>
      <c r="X26" s="2" t="inlineStr">
        <is>
          <t>Dribbble (profile)</t>
        </is>
      </c>
      <c r="Y26" s="2" t="inlineStr">
        <is>
          <t>Readiness 75 (top 10% in category) | Commercial: 500+ projects across 12+ countries (per own profile) | Active: 2026 — site ©2026 | Independent/emerging tier — fame not a factor</t>
        </is>
      </c>
      <c r="Z26" s="2" t="inlineStr">
        <is>
          <t>Lead with a specific identity/packaging project. Design services under the studio's own name; link to labels in the Brand pod.</t>
        </is>
      </c>
      <c r="AA26" s="2" t="inlineStr">
        <is>
          <t>Agency scale</t>
        </is>
      </c>
      <c r="AB26" s="2" t="inlineStr">
        <is>
          <t>Commission pricing control; IP of artwork; price pressure</t>
        </is>
      </c>
      <c r="AC26" s="2" t="inlineStr">
        <is>
          <t>E01 (Wave 0)</t>
        </is>
      </c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/>
      <c r="AX26" s="2" t="inlineStr"/>
    </row>
    <row r="27">
      <c r="A27" s="2" t="n">
        <v>26</v>
      </c>
      <c r="B27" s="2" t="inlineStr">
        <is>
          <t>Wave 1 — Founding cohort</t>
        </is>
      </c>
      <c r="C27" s="2" t="inlineStr">
        <is>
          <t>UPK2-BM-166</t>
        </is>
      </c>
      <c r="D27" s="2" t="inlineStr">
        <is>
          <t>Pinkbyneena</t>
        </is>
      </c>
      <c r="E27" s="2" t="inlineStr">
        <is>
          <t>Beauty &amp; Makeup</t>
        </is>
      </c>
      <c r="F27" s="2" t="inlineStr">
        <is>
          <t>BM-INDEPENDENT-MUA</t>
        </is>
      </c>
      <c r="G27" s="2" t="inlineStr">
        <is>
          <t>Wedding &amp; Occasion</t>
        </is>
      </c>
      <c r="H27" s="2" t="inlineStr">
        <is>
          <t>Bridal &amp; Party Makeup Artist (hair &amp; makeup)</t>
        </is>
      </c>
      <c r="I27" s="2" t="inlineStr">
        <is>
          <t>Bengaluru</t>
        </is>
      </c>
      <c r="J27" s="2" t="inlineStr">
        <is>
          <t>B — Established Independent</t>
        </is>
      </c>
      <c r="K27" s="2" t="inlineStr">
        <is>
          <t>Independent professional</t>
        </is>
      </c>
      <c r="L27" s="2" t="inlineStr">
        <is>
          <t>P0</t>
        </is>
      </c>
      <c r="M27" s="2" t="inlineStr">
        <is>
          <t>P0</t>
        </is>
      </c>
      <c r="N27" s="2" t="n">
        <v>84.09999999999999</v>
      </c>
      <c r="O27" s="2" t="n">
        <v>100</v>
      </c>
      <c r="P27" s="2" t="n">
        <v>73.59999999999999</v>
      </c>
      <c r="Q27" s="2" t="n">
        <v>84</v>
      </c>
      <c r="R27" s="2" t="n">
        <v>32</v>
      </c>
      <c r="S27" s="2" t="inlineStr">
        <is>
          <t>C1-DIRECT-VERIFIED</t>
        </is>
      </c>
      <c r="T27" s="2" t="inlineStr">
        <is>
          <t>Personal 1:1 email from founder/team to published business email</t>
        </is>
      </c>
      <c r="U27" s="2" t="inlineStr">
        <is>
          <t>https://www.pinkbyneena.com/</t>
        </is>
      </c>
      <c r="V27" s="2" t="inlineStr">
        <is>
          <t>2026-07 — latest client review 2026-07; portfolio upload 2024-09 (WedMeGood profile)</t>
        </is>
      </c>
      <c r="W27" s="2" t="inlineStr">
        <is>
          <t>113 client reviews on WedMeGood (rating 4.9); listed price 25,000</t>
        </is>
      </c>
      <c r="X27" s="2" t="inlineStr">
        <is>
          <t>WedMeGood (Vendor profile (Bridal Makeup))</t>
        </is>
      </c>
      <c r="Y27" s="2" t="inlineStr">
        <is>
          <t>Readiness 84 (top 1% in category) | Commercial: 113 client reviews on WedMeGood (rating 4.9); listed price 25,000 | Active: 2026-07 — latest client review 2026-07; portfolio upload 2024-09 (Wed… | Independent/emerging tier — fame not a factor</t>
        </is>
      </c>
      <c r="Z27" s="2" t="inlineStr">
        <is>
          <t>Lead with their bridal portfolio. Ask how bookings arrive today. Be explicit that service/booking availability at launch is being confirmed (EV-09).</t>
        </is>
      </c>
      <c r="AA27" s="2" t="inlineStr">
        <is>
          <t>Bookings already flow through WedMeGood, Instagram and WhatsApp referrals</t>
        </is>
      </c>
      <c r="AB27" s="2" t="inlineStr">
        <is>
          <t>Bookings already via wedding portals/Instagram; off-platform client contact (SP-4a open); peak-season time</t>
        </is>
      </c>
      <c r="AC27" s="2" t="inlineStr">
        <is>
          <t>E03-CTA-A Reply/15-min call</t>
        </is>
      </c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  <c r="AW27" s="2" t="inlineStr"/>
      <c r="AX27" s="2" t="inlineStr"/>
    </row>
    <row r="28">
      <c r="A28" s="2" t="n">
        <v>27</v>
      </c>
      <c r="B28" s="2" t="inlineStr">
        <is>
          <t>Wave 1 — Founding cohort</t>
        </is>
      </c>
      <c r="C28" s="2" t="inlineStr">
        <is>
          <t>UPK2-BM-253</t>
        </is>
      </c>
      <c r="D28" s="2" t="inlineStr">
        <is>
          <t>Meera Bhandari Makeovers</t>
        </is>
      </c>
      <c r="E28" s="2" t="inlineStr">
        <is>
          <t>Beauty &amp; Makeup</t>
        </is>
      </c>
      <c r="F28" s="2" t="inlineStr">
        <is>
          <t>BM-INDEPENDENT-MUA</t>
        </is>
      </c>
      <c r="G28" s="2" t="inlineStr">
        <is>
          <t>Wedding &amp; Occasion</t>
        </is>
      </c>
      <c r="H28" s="2" t="inlineStr">
        <is>
          <t>Bridal &amp; party makeup artist</t>
        </is>
      </c>
      <c r="I28" s="2" t="inlineStr">
        <is>
          <t>Jaipur</t>
        </is>
      </c>
      <c r="J28" s="2" t="inlineStr">
        <is>
          <t>B — Established Independent</t>
        </is>
      </c>
      <c r="K28" s="2" t="inlineStr">
        <is>
          <t>Independent makeup artist</t>
        </is>
      </c>
      <c r="L28" s="2" t="inlineStr">
        <is>
          <t>P0</t>
        </is>
      </c>
      <c r="M28" s="2" t="inlineStr">
        <is>
          <t>P0</t>
        </is>
      </c>
      <c r="N28" s="2" t="n">
        <v>78.40000000000001</v>
      </c>
      <c r="O28" s="2" t="n">
        <v>99</v>
      </c>
      <c r="P28" s="2" t="n">
        <v>71.09999999999999</v>
      </c>
      <c r="Q28" s="2" t="n">
        <v>75</v>
      </c>
      <c r="R28" s="2" t="n">
        <v>47</v>
      </c>
      <c r="S28" s="2" t="inlineStr">
        <is>
          <t>C1-DIRECT-VERIFIED</t>
        </is>
      </c>
      <c r="T28" s="2" t="inlineStr">
        <is>
          <t>1:1 message via own-website contact form</t>
        </is>
      </c>
      <c r="U28" s="2" t="inlineStr">
        <is>
          <t>https://meerabhandarimakeovers.com/</t>
        </is>
      </c>
      <c r="V28" s="2" t="inlineStr">
        <is>
          <t>2026-02 — latest client review on WedMeGood profile</t>
        </is>
      </c>
      <c r="W28" s="2" t="inlineStr">
        <is>
          <t>88 client reviews on WedMeGood (rating 4.9); 2 of latest 10 shown reviews dated 2025–26; starting price ₹Price on Request per function listed</t>
        </is>
      </c>
      <c r="X28" s="2" t="inlineStr">
        <is>
          <t>WedMeGood (Vendor profile with client reviews); Own website (First-party site)</t>
        </is>
      </c>
      <c r="Y28" s="2" t="inlineStr">
        <is>
          <t>Readiness 78 (top 2% in category) | Commercial: 88 client reviews on WedMeGood (rating 4.9); 2 of latest 10 shown reviews dated 2025–26;… | Active: 2026-02 — latest client review on WedMeGood profile | Independent/emerging tier — fame not a factor</t>
        </is>
      </c>
      <c r="Z28" s="2" t="inlineStr">
        <is>
          <t>Lead with their bridal portfolio. Ask how bookings arrive today. Be explicit that service/booking availability at launch is being confirmed (EV-09).</t>
        </is>
      </c>
      <c r="AA28" s="2" t="inlineStr">
        <is>
          <t>Bookings already arrive via WedMeGood/Instagram; may see limited need for another platform</t>
        </is>
      </c>
      <c r="AB28" s="2" t="inlineStr">
        <is>
          <t>Bookings already via wedding portals/Instagram; off-platform client contact (SP-4a open); peak-season time</t>
        </is>
      </c>
      <c r="AC28" s="2" t="inlineStr">
        <is>
          <t>E03-CTA-B Written terms + registration link</t>
        </is>
      </c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  <c r="AX28" s="2" t="inlineStr"/>
    </row>
    <row r="29">
      <c r="A29" s="2" t="n">
        <v>28</v>
      </c>
      <c r="B29" s="2" t="inlineStr">
        <is>
          <t>Wave 1 — Founding cohort</t>
        </is>
      </c>
      <c r="C29" s="2" t="inlineStr">
        <is>
          <t>UPK2-BM-188</t>
        </is>
      </c>
      <c r="D29" s="2" t="inlineStr">
        <is>
          <t>Seema Sarraf  Makeup Artist</t>
        </is>
      </c>
      <c r="E29" s="2" t="inlineStr">
        <is>
          <t>Beauty &amp; Makeup</t>
        </is>
      </c>
      <c r="F29" s="2" t="inlineStr">
        <is>
          <t>BM-INDEPENDENT-MUA</t>
        </is>
      </c>
      <c r="G29" s="2" t="inlineStr">
        <is>
          <t>Wedding &amp; Occasion</t>
        </is>
      </c>
      <c r="H29" s="2" t="inlineStr">
        <is>
          <t>Bridal &amp; party makeup artist</t>
        </is>
      </c>
      <c r="I29" s="2" t="inlineStr">
        <is>
          <t>Jaipur</t>
        </is>
      </c>
      <c r="J29" s="2" t="inlineStr">
        <is>
          <t>B — Established Independent</t>
        </is>
      </c>
      <c r="K29" s="2" t="inlineStr">
        <is>
          <t>Independent makeup artist</t>
        </is>
      </c>
      <c r="L29" s="2" t="inlineStr">
        <is>
          <t>P0</t>
        </is>
      </c>
      <c r="M29" s="2" t="inlineStr">
        <is>
          <t>P0</t>
        </is>
      </c>
      <c r="N29" s="2" t="n">
        <v>77</v>
      </c>
      <c r="O29" s="2" t="n">
        <v>98</v>
      </c>
      <c r="P29" s="2" t="n">
        <v>70.5</v>
      </c>
      <c r="Q29" s="2" t="n">
        <v>80</v>
      </c>
      <c r="R29" s="2" t="n">
        <v>40</v>
      </c>
      <c r="S29" s="2" t="inlineStr">
        <is>
          <t>C1-DIRECT-VERIFIED</t>
        </is>
      </c>
      <c r="T29" s="2" t="inlineStr">
        <is>
          <t>Personal 1:1 email from founder/team to published business email</t>
        </is>
      </c>
      <c r="U29" s="2" t="inlineStr">
        <is>
          <t>https://seemasarraf.com/</t>
        </is>
      </c>
      <c r="V29" s="2" t="inlineStr">
        <is>
          <t>2025-12 — latest client review on WedMeGood profile</t>
        </is>
      </c>
      <c r="W29" s="2" t="inlineStr">
        <is>
          <t>62 client reviews on WedMeGood (rating 5); 1 of latest 10 shown reviews dated 2025–26; starting price ₹20,000 per function listed</t>
        </is>
      </c>
      <c r="X29" s="2" t="inlineStr">
        <is>
          <t>WedMeGood (Vendor profile with client reviews); Own website (First-party site)</t>
        </is>
      </c>
      <c r="Y29" s="2" t="inlineStr">
        <is>
          <t>Readiness 77 (top 3% in category) | Commercial: 62 client reviews on WedMeGood (rating 5); 1 of latest 10 shown reviews dated 2025–26; st… | Active: 2025-12 — latest client review on WedMeGood profile | Independent/emerging tier — fame not a factor</t>
        </is>
      </c>
      <c r="Z29" s="2" t="inlineStr">
        <is>
          <t>Lead with their bridal portfolio. Ask how bookings arrive today. Be explicit that service/booking availability at launch is being confirmed (EV-09).</t>
        </is>
      </c>
      <c r="AA29" s="2" t="inlineStr">
        <is>
          <t>Bookings already arrive via WedMeGood/Instagram; may see limited need for another platform</t>
        </is>
      </c>
      <c r="AB29" s="2" t="inlineStr">
        <is>
          <t>Bookings already via wedding portals/Instagram; off-platform client contact (SP-4a open); peak-season time</t>
        </is>
      </c>
      <c r="AC29" s="2" t="inlineStr">
        <is>
          <t>E03-CTA-A Reply/15-min call</t>
        </is>
      </c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  <c r="AU29" s="2" t="inlineStr"/>
      <c r="AV29" s="2" t="inlineStr"/>
      <c r="AW29" s="2" t="inlineStr"/>
      <c r="AX29" s="2" t="inlineStr"/>
    </row>
    <row r="30">
      <c r="A30" s="2" t="n">
        <v>29</v>
      </c>
      <c r="B30" s="2" t="inlineStr">
        <is>
          <t>Wave 1 — Founding cohort</t>
        </is>
      </c>
      <c r="C30" s="2" t="inlineStr">
        <is>
          <t>UPK2-BM-171</t>
        </is>
      </c>
      <c r="D30" s="2" t="inlineStr">
        <is>
          <t>V2 Makeover</t>
        </is>
      </c>
      <c r="E30" s="2" t="inlineStr">
        <is>
          <t>Beauty &amp; Makeup</t>
        </is>
      </c>
      <c r="F30" s="2" t="inlineStr">
        <is>
          <t>BM-INDEPENDENT-MUA</t>
        </is>
      </c>
      <c r="G30" s="2" t="inlineStr">
        <is>
          <t>Wedding &amp; Occasion</t>
        </is>
      </c>
      <c r="H30" s="2" t="inlineStr">
        <is>
          <t>Bridal &amp; Party Makeup Artist (hair &amp; makeup)</t>
        </is>
      </c>
      <c r="I30" s="2" t="inlineStr">
        <is>
          <t>Bengaluru</t>
        </is>
      </c>
      <c r="J30" s="2" t="inlineStr">
        <is>
          <t>B — Established Independent</t>
        </is>
      </c>
      <c r="K30" s="2" t="inlineStr">
        <is>
          <t>Independent professional</t>
        </is>
      </c>
      <c r="L30" s="2" t="inlineStr">
        <is>
          <t>P0</t>
        </is>
      </c>
      <c r="M30" s="2" t="inlineStr">
        <is>
          <t>P0</t>
        </is>
      </c>
      <c r="N30" s="2" t="n">
        <v>80.59999999999999</v>
      </c>
      <c r="O30" s="2" t="n">
        <v>99</v>
      </c>
      <c r="P30" s="2" t="n">
        <v>67.2</v>
      </c>
      <c r="Q30" s="2" t="n">
        <v>77</v>
      </c>
      <c r="R30" s="2" t="n">
        <v>19</v>
      </c>
      <c r="S30" s="2" t="inlineStr">
        <is>
          <t>C1-DIRECT-VERIFIED</t>
        </is>
      </c>
      <c r="T30" s="2" t="inlineStr">
        <is>
          <t>Personal 1:1 email from founder/team to published business email</t>
        </is>
      </c>
      <c r="U30" s="2" t="inlineStr">
        <is>
          <t>https://v2makeover.com/</t>
        </is>
      </c>
      <c r="V30" s="2" t="inlineStr">
        <is>
          <t>2026-10 — latest client review 2026-10; portfolio upload 2026-02 (WedMeGood profile)</t>
        </is>
      </c>
      <c r="W30" s="2" t="inlineStr">
        <is>
          <t>49 client reviews on WedMeGood (rating 4.9); listed price 15,000</t>
        </is>
      </c>
      <c r="X30" s="2" t="inlineStr">
        <is>
          <t>WedMeGood (Vendor profile (Bridal Makeup))</t>
        </is>
      </c>
      <c r="Y30" s="2" t="inlineStr">
        <is>
          <t>Readiness 81 (top 2% in category) | Commercial: 49 client reviews on WedMeGood (rating 4.9); listed price 15,000 | Active: 2026-10 — latest client review 2026-10; portfolio upload 2026-02 (Wed… | Independent/emerging tier — fame not a factor</t>
        </is>
      </c>
      <c r="Z30" s="2" t="inlineStr">
        <is>
          <t>Lead with their bridal portfolio. Ask how bookings arrive today. Be explicit that service/booking availability at launch is being confirmed (EV-09).</t>
        </is>
      </c>
      <c r="AA30" s="2" t="inlineStr">
        <is>
          <t>Bookings already flow through WedMeGood, Instagram and WhatsApp referrals</t>
        </is>
      </c>
      <c r="AB30" s="2" t="inlineStr">
        <is>
          <t>Bookings already via wedding portals/Instagram; off-platform client contact (SP-4a open); peak-season time</t>
        </is>
      </c>
      <c r="AC30" s="2" t="inlineStr">
        <is>
          <t>E03-CTA-B Written terms + registration link</t>
        </is>
      </c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/>
      <c r="AX30" s="2" t="inlineStr"/>
    </row>
    <row r="31">
      <c r="A31" s="2" t="n">
        <v>30</v>
      </c>
      <c r="B31" s="2" t="inlineStr">
        <is>
          <t>Wave 1 — Founding cohort</t>
        </is>
      </c>
      <c r="C31" s="2" t="inlineStr">
        <is>
          <t>UPK2-BM-189</t>
        </is>
      </c>
      <c r="D31" s="2" t="inlineStr">
        <is>
          <t>Mehandi Wale Jaipur</t>
        </is>
      </c>
      <c r="E31" s="2" t="inlineStr">
        <is>
          <t>Beauty &amp; Makeup</t>
        </is>
      </c>
      <c r="F31" s="2" t="inlineStr">
        <is>
          <t>BM-MEHENDI</t>
        </is>
      </c>
      <c r="G31" s="2" t="inlineStr">
        <is>
          <t>Wedding &amp; Occasion</t>
        </is>
      </c>
      <c r="H31" s="2" t="inlineStr">
        <is>
          <t>Mehendi / henna artist</t>
        </is>
      </c>
      <c r="I31" s="2" t="inlineStr">
        <is>
          <t>Jaipur</t>
        </is>
      </c>
      <c r="J31" s="2" t="inlineStr">
        <is>
          <t>A — Emerging / High-potential</t>
        </is>
      </c>
      <c r="K31" s="2" t="inlineStr">
        <is>
          <t>Independent mehendi artist / team</t>
        </is>
      </c>
      <c r="L31" s="2" t="inlineStr">
        <is>
          <t>P0</t>
        </is>
      </c>
      <c r="M31" s="2" t="inlineStr">
        <is>
          <t>P0</t>
        </is>
      </c>
      <c r="N31" s="2" t="n">
        <v>79.40000000000001</v>
      </c>
      <c r="O31" s="2" t="n">
        <v>99</v>
      </c>
      <c r="P31" s="2" t="n">
        <v>66.59999999999999</v>
      </c>
      <c r="Q31" s="2" t="n">
        <v>71</v>
      </c>
      <c r="R31" s="2" t="n">
        <v>28</v>
      </c>
      <c r="S31" s="2" t="inlineStr">
        <is>
          <t>C1-DIRECT-VERIFIED</t>
        </is>
      </c>
      <c r="T31" s="2" t="inlineStr">
        <is>
          <t>Personal 1:1 email from founder/team to published business email</t>
        </is>
      </c>
      <c r="U31" s="2" t="inlineStr">
        <is>
          <t>https://www.mehandiwalejaipur.com/</t>
        </is>
      </c>
      <c r="V31" s="2" t="inlineStr">
        <is>
          <t>2026-02 — latest client review on WedMeGood profile</t>
        </is>
      </c>
      <c r="W31" s="2" t="inlineStr">
        <is>
          <t>12 client reviews on WedMeGood (rating 5); 10 of latest 10 shown reviews dated 2025–26; starting price ₹2500 onwards per package/function listed</t>
        </is>
      </c>
      <c r="X31" s="2" t="inlineStr">
        <is>
          <t>WedMeGood (Vendor profile with client reviews); Own website (First-party site)</t>
        </is>
      </c>
      <c r="Y31" s="2" t="inlineStr">
        <is>
          <t>Readiness 79 (top 2% in category) | Commercial: 12 client reviews on WedMeGood (rating 5); 10 of latest 10 shown reviews dated 2025–26; s… | Active: 2026-02 — latest client review on WedMeGood profile | Independent/emerging tier — fame not a factor</t>
        </is>
      </c>
      <c r="Z31" s="2" t="inlineStr">
        <is>
          <t>Lead with a specific design style. Ask how bookings arrive today. Service/booking availability at launch is being confirmed (EV-09).</t>
        </is>
      </c>
      <c r="AA31" s="2" t="inlineStr">
        <is>
          <t>Bookings already arrive via WedMeGood/Instagram; may see limited need for another platform</t>
        </is>
      </c>
      <c r="AB31" s="2" t="inlineStr">
        <is>
          <t>Bookings already via wedding portals/Instagram; off-platform client contact (SP-4a open); peak-season time</t>
        </is>
      </c>
      <c r="AC31" s="2" t="inlineStr">
        <is>
          <t>E03-CTA-A Reply/15-min call</t>
        </is>
      </c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  <c r="AU31" s="2" t="inlineStr"/>
      <c r="AV31" s="2" t="inlineStr"/>
      <c r="AW31" s="2" t="inlineStr"/>
      <c r="AX31" s="2" t="inlineStr"/>
    </row>
    <row r="32">
      <c r="A32" s="2" t="n">
        <v>31</v>
      </c>
      <c r="B32" s="2" t="inlineStr">
        <is>
          <t>Wave 1 — Founding cohort</t>
        </is>
      </c>
      <c r="C32" s="2" t="inlineStr">
        <is>
          <t>UPK2-BM-252</t>
        </is>
      </c>
      <c r="D32" s="2" t="inlineStr">
        <is>
          <t>Raj Mehandi Designer</t>
        </is>
      </c>
      <c r="E32" s="2" t="inlineStr">
        <is>
          <t>Beauty &amp; Makeup</t>
        </is>
      </c>
      <c r="F32" s="2" t="inlineStr">
        <is>
          <t>BM-MEHENDI</t>
        </is>
      </c>
      <c r="G32" s="2" t="inlineStr">
        <is>
          <t>Wedding &amp; Occasion</t>
        </is>
      </c>
      <c r="H32" s="2" t="inlineStr">
        <is>
          <t>Mehendi / henna artist</t>
        </is>
      </c>
      <c r="I32" s="2" t="inlineStr">
        <is>
          <t>Delhi NCR</t>
        </is>
      </c>
      <c r="J32" s="2" t="inlineStr">
        <is>
          <t>B — Established Independent</t>
        </is>
      </c>
      <c r="K32" s="2" t="inlineStr">
        <is>
          <t>Independent mehendi artist / team</t>
        </is>
      </c>
      <c r="L32" s="2" t="inlineStr">
        <is>
          <t>P0</t>
        </is>
      </c>
      <c r="M32" s="2" t="inlineStr">
        <is>
          <t>P0</t>
        </is>
      </c>
      <c r="N32" s="2" t="n">
        <v>75.59999999999999</v>
      </c>
      <c r="O32" s="2" t="n">
        <v>97</v>
      </c>
      <c r="P32" s="2" t="n">
        <v>66</v>
      </c>
      <c r="Q32" s="2" t="n">
        <v>74</v>
      </c>
      <c r="R32" s="2" t="n">
        <v>30</v>
      </c>
      <c r="S32" s="2" t="inlineStr">
        <is>
          <t>C1-DIRECT-VERIFIED</t>
        </is>
      </c>
      <c r="T32" s="2" t="inlineStr">
        <is>
          <t>Personal 1:1 email from founder/team to published business email</t>
        </is>
      </c>
      <c r="U32" s="2" t="inlineStr">
        <is>
          <t>https://www.rajmehandidesigner.com/</t>
        </is>
      </c>
      <c r="V32" s="2" t="inlineStr">
        <is>
          <t>2025-11 — latest client review on WedMeGood profile</t>
        </is>
      </c>
      <c r="W32" s="2" t="inlineStr">
        <is>
          <t>23 client reviews on WedMeGood (rating 4.8); 1 of latest 10 shown reviews dated 2025–26; starting price ₹7100 onwards per package/function listed</t>
        </is>
      </c>
      <c r="X32" s="2" t="inlineStr">
        <is>
          <t>WedMeGood (Vendor profile with client reviews); Own website (First-party site)</t>
        </is>
      </c>
      <c r="Y32" s="2" t="inlineStr">
        <is>
          <t>Readiness 76 (top 4% in category) | Commercial: 23 client reviews on WedMeGood (rating 4.8); 1 of latest 10 shown reviews dated 2025–26;… | Active: 2025-11 — latest client review on WedMeGood profile | Independent/emerging tier — fame not a factor</t>
        </is>
      </c>
      <c r="Z32" s="2" t="inlineStr">
        <is>
          <t>Lead with a specific design style. Ask how bookings arrive today. Service/booking availability at launch is being confirmed (EV-09).</t>
        </is>
      </c>
      <c r="AA32" s="2" t="inlineStr">
        <is>
          <t>Bookings already arrive via WedMeGood/Instagram; may see limited need for another platform</t>
        </is>
      </c>
      <c r="AB32" s="2" t="inlineStr">
        <is>
          <t>Bookings already via wedding portals/Instagram; off-platform client contact (SP-4a open); peak-season time</t>
        </is>
      </c>
      <c r="AC32" s="2" t="inlineStr">
        <is>
          <t>E03-CTA-B Written terms + registration link</t>
        </is>
      </c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  <c r="AW32" s="2" t="inlineStr"/>
      <c r="AX32" s="2" t="inlineStr"/>
    </row>
    <row r="33">
      <c r="A33" s="2" t="n">
        <v>32</v>
      </c>
      <c r="B33" s="2" t="inlineStr">
        <is>
          <t>Wave 1 — Founding cohort</t>
        </is>
      </c>
      <c r="C33" s="2" t="inlineStr">
        <is>
          <t>UPK2-BM-015</t>
        </is>
      </c>
      <c r="D33" s="2" t="inlineStr">
        <is>
          <t>Dejavu Makeup by Vinni</t>
        </is>
      </c>
      <c r="E33" s="2" t="inlineStr">
        <is>
          <t>Beauty &amp; Makeup</t>
        </is>
      </c>
      <c r="F33" s="2" t="inlineStr">
        <is>
          <t>BM-STUDIO</t>
        </is>
      </c>
      <c r="G33" s="2" t="inlineStr">
        <is>
          <t>Wedding &amp; Occasion</t>
        </is>
      </c>
      <c r="H33" s="2" t="inlineStr">
        <is>
          <t>Luxury Bridal MUA</t>
        </is>
      </c>
      <c r="I33" s="2" t="inlineStr">
        <is>
          <t>Bengaluru</t>
        </is>
      </c>
      <c r="J33" s="2" t="inlineStr">
        <is>
          <t>C — Strong Mid-tier</t>
        </is>
      </c>
      <c r="K33" s="2" t="inlineStr">
        <is>
          <t>Studio</t>
        </is>
      </c>
      <c r="L33" s="2" t="inlineStr">
        <is>
          <t>P0</t>
        </is>
      </c>
      <c r="M33" s="2" t="inlineStr">
        <is>
          <t>P1</t>
        </is>
      </c>
      <c r="N33" s="2" t="n">
        <v>75.40000000000001</v>
      </c>
      <c r="O33" s="2" t="n">
        <v>97</v>
      </c>
      <c r="P33" s="2" t="n">
        <v>66</v>
      </c>
      <c r="Q33" s="2" t="n">
        <v>71</v>
      </c>
      <c r="R33" s="2" t="n">
        <v>35</v>
      </c>
      <c r="S33" s="2" t="inlineStr">
        <is>
          <t>C1-DIRECT-VERIFIED</t>
        </is>
      </c>
      <c r="T33" s="2" t="inlineStr">
        <is>
          <t>1:1 message via own-website contact form</t>
        </is>
      </c>
      <c r="U33" s="2" t="inlineStr">
        <is>
          <t>https://dejavumakeup.com/</t>
        </is>
      </c>
      <c r="V33" s="2" t="inlineStr">
        <is>
          <t>2026 — site content references 2026 (homepage)</t>
        </is>
      </c>
      <c r="W33" s="2" t="inlineStr">
        <is>
          <t>Site: 4.9 Google rating, 1000+ brides, bridal from ₹18,000/event, free trial</t>
        </is>
      </c>
      <c r="X33" s="2" t="inlineStr">
        <is>
          <t>onehorizonproductions listicle (Listed)</t>
        </is>
      </c>
      <c r="Y33" s="2" t="inlineStr">
        <is>
          <t>Readiness 75 (top 4% in category) | Commercial: Site: 4.9 Google rating, 1000+ brides, bridal from ₹18,000/event, free trial | Active: 2026 — site content references 2026 (homepage)</t>
        </is>
      </c>
      <c r="Z33" s="2" t="inlineStr">
        <is>
          <t>Lead with the studio's body of work and team. Ask how bookings arrive today. Service/booking availability at launch is being confirmed (EV-09).</t>
        </is>
      </c>
      <c r="AA33" s="2" t="inlineStr">
        <is>
          <t>Already gets leads via own site, Google and Instagram</t>
        </is>
      </c>
      <c r="AB33" s="2" t="inlineStr">
        <is>
          <t>Bookings already via wedding portals/Instagram; off-platform client contact (SP-4a open); peak-season time</t>
        </is>
      </c>
      <c r="AC33" s="2" t="inlineStr">
        <is>
          <t>E03-CTA-A Reply/15-min call</t>
        </is>
      </c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/>
      <c r="AP33" s="2" t="inlineStr"/>
      <c r="AQ33" s="2" t="inlineStr"/>
      <c r="AR33" s="2" t="inlineStr"/>
      <c r="AS33" s="2" t="inlineStr"/>
      <c r="AT33" s="2" t="inlineStr"/>
      <c r="AU33" s="2" t="inlineStr"/>
      <c r="AV33" s="2" t="inlineStr"/>
      <c r="AW33" s="2" t="inlineStr"/>
      <c r="AX33" s="2" t="inlineStr"/>
    </row>
    <row r="34">
      <c r="A34" s="2" t="n">
        <v>33</v>
      </c>
      <c r="B34" s="2" t="inlineStr">
        <is>
          <t>Wave 1 — Founding cohort</t>
        </is>
      </c>
      <c r="C34" s="2" t="inlineStr">
        <is>
          <t>UPK2-BM-034</t>
        </is>
      </c>
      <c r="D34" s="2" t="inlineStr">
        <is>
          <t>GlossnGlass</t>
        </is>
      </c>
      <c r="E34" s="2" t="inlineStr">
        <is>
          <t>Beauty &amp; Makeup</t>
        </is>
      </c>
      <c r="F34" s="2" t="inlineStr">
        <is>
          <t>BM-STUDIO</t>
        </is>
      </c>
      <c r="G34" s="2" t="inlineStr">
        <is>
          <t>Wedding &amp; Occasion</t>
        </is>
      </c>
      <c r="H34" s="2" t="inlineStr">
        <is>
          <t>Makeup Academy &amp; Bridal Services</t>
        </is>
      </c>
      <c r="I34" s="2" t="inlineStr">
        <is>
          <t>Bengaluru</t>
        </is>
      </c>
      <c r="J34" s="2" t="inlineStr">
        <is>
          <t>C — Strong Mid-tier</t>
        </is>
      </c>
      <c r="K34" s="2" t="inlineStr">
        <is>
          <t>Studio &amp; academy</t>
        </is>
      </c>
      <c r="L34" s="2" t="inlineStr">
        <is>
          <t>P0</t>
        </is>
      </c>
      <c r="M34" s="2" t="inlineStr">
        <is>
          <t>P1</t>
        </is>
      </c>
      <c r="N34" s="2" t="n">
        <v>74.09999999999999</v>
      </c>
      <c r="O34" s="2" t="n">
        <v>96</v>
      </c>
      <c r="P34" s="2" t="n">
        <v>65</v>
      </c>
      <c r="Q34" s="2" t="n">
        <v>70</v>
      </c>
      <c r="R34" s="2" t="n">
        <v>35</v>
      </c>
      <c r="S34" s="2" t="inlineStr">
        <is>
          <t>C1-DIRECT-VERIFIED</t>
        </is>
      </c>
      <c r="T34" s="2" t="inlineStr">
        <is>
          <t>Personal 1:1 email from founder/team to published business email</t>
        </is>
      </c>
      <c r="U34" s="2" t="inlineStr">
        <is>
          <t>https://glossnglass.com/contact/</t>
        </is>
      </c>
      <c r="V34" s="2" t="inlineStr">
        <is>
          <t>undated (site live 2026-10)</t>
        </is>
      </c>
      <c r="W34" s="2" t="inlineStr">
        <is>
          <t>Site: artists have worked with Saina Nehwal and KL Rahul; Koramangala &amp; Ulsoor studios</t>
        </is>
      </c>
      <c r="X34" s="2" t="inlineStr"/>
      <c r="Y34" s="2" t="inlineStr">
        <is>
          <t>Readiness 74 (top 5% in category) | Commercial: Site: artists have worked with Saina Nehwal and KL Rahul; Koramangala &amp; Ulsoor studios | Active: undated (site live 2026-10)</t>
        </is>
      </c>
      <c r="Z34" s="2" t="inlineStr">
        <is>
          <t>Lead with the studio's body of work and team. Ask how bookings arrive today. Service/booking availability at launch is being confirmed (EV-09).</t>
        </is>
      </c>
      <c r="AA34" s="2" t="inlineStr">
        <is>
          <t>Already gets leads via own site, Google and Instagram</t>
        </is>
      </c>
      <c r="AB34" s="2" t="inlineStr">
        <is>
          <t>Bookings already via wedding portals/Instagram; off-platform client contact (SP-4a open); peak-season time</t>
        </is>
      </c>
      <c r="AC34" s="2" t="inlineStr">
        <is>
          <t>E03-CTA-B Written terms + registration link</t>
        </is>
      </c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  <c r="AW34" s="2" t="inlineStr"/>
      <c r="AX34" s="2" t="inlineStr"/>
    </row>
    <row r="35">
      <c r="A35" s="2" t="n">
        <v>34</v>
      </c>
      <c r="B35" s="2" t="inlineStr">
        <is>
          <t>Wave 1 — Founding cohort</t>
        </is>
      </c>
      <c r="C35" s="2" t="inlineStr">
        <is>
          <t>UPK2-BM-019</t>
        </is>
      </c>
      <c r="D35" s="2" t="inlineStr">
        <is>
          <t>MeriBindiya (MeriBindiya International Academy)</t>
        </is>
      </c>
      <c r="E35" s="2" t="inlineStr">
        <is>
          <t>Beauty &amp; Makeup</t>
        </is>
      </c>
      <c r="F35" s="2" t="inlineStr">
        <is>
          <t>BM-STUDIO</t>
        </is>
      </c>
      <c r="G35" s="2" t="inlineStr">
        <is>
          <t>Wedding &amp; Occasion</t>
        </is>
      </c>
      <c r="H35" s="2" t="inlineStr">
        <is>
          <t>Bridal Makeup Team &amp; Makeup Academy</t>
        </is>
      </c>
      <c r="I35" s="2" t="inlineStr">
        <is>
          <t>Delhi NCR</t>
        </is>
      </c>
      <c r="J35" s="2" t="inlineStr">
        <is>
          <t>C — Strong Mid-tier</t>
        </is>
      </c>
      <c r="K35" s="2" t="inlineStr">
        <is>
          <t>Bridal team + academy</t>
        </is>
      </c>
      <c r="L35" s="2" t="inlineStr">
        <is>
          <t>P0</t>
        </is>
      </c>
      <c r="M35" s="2" t="inlineStr">
        <is>
          <t>P1</t>
        </is>
      </c>
      <c r="N35" s="2" t="n">
        <v>74.09999999999999</v>
      </c>
      <c r="O35" s="2" t="n">
        <v>96</v>
      </c>
      <c r="P35" s="2" t="n">
        <v>66.90000000000001</v>
      </c>
      <c r="Q35" s="2" t="n">
        <v>73</v>
      </c>
      <c r="R35" s="2" t="n">
        <v>40</v>
      </c>
      <c r="S35" s="2" t="inlineStr">
        <is>
          <t>C1-DIRECT-VERIFIED</t>
        </is>
      </c>
      <c r="T35" s="2" t="inlineStr">
        <is>
          <t>Personal 1:1 email from founder/team to published business email</t>
        </is>
      </c>
      <c r="U35" s="2" t="inlineStr">
        <is>
          <t>https://www.meribindiya.com/</t>
        </is>
      </c>
      <c r="V35" s="2" t="inlineStr">
        <is>
          <t>2026-03 — site dateModified</t>
        </is>
      </c>
      <c r="W35" s="2" t="inlineStr">
        <is>
          <t>Bridal services team plus academy; site lists Bridal Services and Courses</t>
        </is>
      </c>
      <c r="X35" s="2" t="inlineStr">
        <is>
          <t>Own website (First-party site)</t>
        </is>
      </c>
      <c r="Y35" s="2" t="inlineStr">
        <is>
          <t>Readiness 74 (top 5% in category) | Commercial: Bridal services team plus academy; site lists Bridal Services and Courses | Active: 2026-03 — site dateModified</t>
        </is>
      </c>
      <c r="Z35" s="2" t="inlineStr">
        <is>
          <t>Lead with the studio's body of work and team. Ask how bookings arrive today. Service/booking availability at launch is being confirmed (EV-09).</t>
        </is>
      </c>
      <c r="AA35" s="2" t="inlineStr">
        <is>
          <t>Academy-focused; may prioritise course sales</t>
        </is>
      </c>
      <c r="AB35" s="2" t="inlineStr">
        <is>
          <t>Bookings already via wedding portals/Instagram; off-platform client contact (SP-4a open); peak-season time</t>
        </is>
      </c>
      <c r="AC35" s="2" t="inlineStr">
        <is>
          <t>E03-CTA-A Reply/15-min call</t>
        </is>
      </c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  <c r="AU35" s="2" t="inlineStr"/>
      <c r="AV35" s="2" t="inlineStr"/>
      <c r="AW35" s="2" t="inlineStr"/>
      <c r="AX35" s="2" t="inlineStr"/>
    </row>
    <row r="36">
      <c r="A36" s="2" t="n">
        <v>35</v>
      </c>
      <c r="B36" s="2" t="inlineStr">
        <is>
          <t>Wave 1 — Founding cohort</t>
        </is>
      </c>
      <c r="C36" s="2" t="inlineStr">
        <is>
          <t>UPK2-BM-003</t>
        </is>
      </c>
      <c r="D36" s="2" t="inlineStr">
        <is>
          <t>Sonal Sharma Makeup</t>
        </is>
      </c>
      <c r="E36" s="2" t="inlineStr">
        <is>
          <t>Beauty &amp; Makeup</t>
        </is>
      </c>
      <c r="F36" s="2" t="inlineStr">
        <is>
          <t>BM-INDEPENDENT-MUA</t>
        </is>
      </c>
      <c r="G36" s="2" t="inlineStr">
        <is>
          <t>Wedding &amp; Occasion</t>
        </is>
      </c>
      <c r="H36" s="2" t="inlineStr">
        <is>
          <t>Bridal &amp; Party Makeup Artist</t>
        </is>
      </c>
      <c r="I36" s="2" t="inlineStr">
        <is>
          <t>Delhi NCR</t>
        </is>
      </c>
      <c r="J36" s="2" t="inlineStr">
        <is>
          <t>B — Established Independent</t>
        </is>
      </c>
      <c r="K36" s="2" t="inlineStr">
        <is>
          <t>Independent artist</t>
        </is>
      </c>
      <c r="L36" s="2" t="inlineStr">
        <is>
          <t>P0</t>
        </is>
      </c>
      <c r="M36" s="2" t="inlineStr">
        <is>
          <t>P0</t>
        </is>
      </c>
      <c r="N36" s="2" t="n">
        <v>74.8</v>
      </c>
      <c r="O36" s="2" t="n">
        <v>97</v>
      </c>
      <c r="P36" s="2" t="n">
        <v>64</v>
      </c>
      <c r="Q36" s="2" t="n">
        <v>72</v>
      </c>
      <c r="R36" s="2" t="n">
        <v>25</v>
      </c>
      <c r="S36" s="2" t="inlineStr">
        <is>
          <t>C1-DIRECT-VERIFIED</t>
        </is>
      </c>
      <c r="T36" s="2" t="inlineStr">
        <is>
          <t>Personal 1:1 email from founder/team to published business email</t>
        </is>
      </c>
      <c r="U36" s="2" t="inlineStr">
        <is>
          <t>https://sonalsharmamakeup.com/</t>
        </is>
      </c>
      <c r="V36" s="2" t="inlineStr">
        <is>
          <t>2026-04 — site dateModified; copyright 2026</t>
        </is>
      </c>
      <c r="W36" s="2" t="inlineStr">
        <is>
          <t>Site claims 500+ brides; serves Delhi, Noida, Gurgaon, Faridabad</t>
        </is>
      </c>
      <c r="X36" s="2" t="inlineStr">
        <is>
          <t>Own website (First-party site)</t>
        </is>
      </c>
      <c r="Y36" s="2" t="inlineStr">
        <is>
          <t>Readiness 75 (top 4% in category) | Commercial: Site claims 500+ brides; serves Delhi, Noida, Gurgaon, Faridabad | Active: 2026-04 — site dateModified; copyright 2026 | Independent/emerging tier — fame not a factor</t>
        </is>
      </c>
      <c r="Z36" s="2" t="inlineStr">
        <is>
          <t>Lead with their bridal portfolio. Ask how bookings arrive today. Be explicit that service/booking availability at launch is being confirmed (EV-09).</t>
        </is>
      </c>
      <c r="AA36" s="2" t="inlineStr">
        <is>
          <t>Bookings mainly via Instagram/WhatsApp</t>
        </is>
      </c>
      <c r="AB36" s="2" t="inlineStr">
        <is>
          <t>Bookings already via wedding portals/Instagram; off-platform client contact (SP-4a open); peak-season time</t>
        </is>
      </c>
      <c r="AC36" s="2" t="inlineStr">
        <is>
          <t>E03-CTA-B Written terms + registration link</t>
        </is>
      </c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  <c r="AU36" s="2" t="inlineStr"/>
      <c r="AV36" s="2" t="inlineStr"/>
      <c r="AW36" s="2" t="inlineStr"/>
      <c r="AX36" s="2" t="inlineStr"/>
    </row>
    <row r="37">
      <c r="A37" s="2" t="n">
        <v>36</v>
      </c>
      <c r="B37" s="2" t="inlineStr">
        <is>
          <t>Wave 1 — Founding cohort</t>
        </is>
      </c>
      <c r="C37" s="2" t="inlineStr">
        <is>
          <t>UPK2-BM-006</t>
        </is>
      </c>
      <c r="D37" s="2" t="inlineStr">
        <is>
          <t>Shivangi Verma Makeup Studio &amp; Academy</t>
        </is>
      </c>
      <c r="E37" s="2" t="inlineStr">
        <is>
          <t>Beauty &amp; Makeup</t>
        </is>
      </c>
      <c r="F37" s="2" t="inlineStr">
        <is>
          <t>BM-STUDIO</t>
        </is>
      </c>
      <c r="G37" s="2" t="inlineStr">
        <is>
          <t>Wedding &amp; Occasion</t>
        </is>
      </c>
      <c r="H37" s="2" t="inlineStr">
        <is>
          <t>Bridal Makeup Artist &amp; Academy</t>
        </is>
      </c>
      <c r="I37" s="2" t="inlineStr">
        <is>
          <t>Delhi NCR</t>
        </is>
      </c>
      <c r="J37" s="2" t="inlineStr">
        <is>
          <t>B — Established Independent</t>
        </is>
      </c>
      <c r="K37" s="2" t="inlineStr">
        <is>
          <t>Studio + academy</t>
        </is>
      </c>
      <c r="L37" s="2" t="inlineStr">
        <is>
          <t>P0</t>
        </is>
      </c>
      <c r="M37" s="2" t="inlineStr">
        <is>
          <t>P0</t>
        </is>
      </c>
      <c r="N37" s="2" t="n">
        <v>76.2</v>
      </c>
      <c r="O37" s="2" t="n">
        <v>98</v>
      </c>
      <c r="P37" s="2" t="n">
        <v>63.7</v>
      </c>
      <c r="Q37" s="2" t="n">
        <v>72</v>
      </c>
      <c r="R37" s="2" t="n">
        <v>20</v>
      </c>
      <c r="S37" s="2" t="inlineStr">
        <is>
          <t>C1-DIRECT-VERIFIED</t>
        </is>
      </c>
      <c r="T37" s="2" t="inlineStr">
        <is>
          <t>Personal 1:1 email from founder/team to published business email</t>
        </is>
      </c>
      <c r="U37" s="2" t="inlineStr">
        <is>
          <t>https://shivangivermamakeupstudioandacademy.com/</t>
        </is>
      </c>
      <c r="V37" s="2" t="inlineStr">
        <is>
          <t>2026 — site copyright 2026</t>
        </is>
      </c>
      <c r="W37" s="2" t="inlineStr">
        <is>
          <t>Site: 13+ years, trained at Makeup Studio Netherlands, 1000+ brides (self-reported), bridal from ₹28,000</t>
        </is>
      </c>
      <c r="X37" s="2" t="inlineStr">
        <is>
          <t>Own website (First-party site)</t>
        </is>
      </c>
      <c r="Y37" s="2" t="inlineStr">
        <is>
          <t>Readiness 76 (top 3% in category) | Commercial: Site: 13+ years, trained at Makeup Studio Netherlands, 1000+ brides (self-reported), brid… | Active: 2026 — site copyright 2026 | Independent/emerging tier — fame not a factor</t>
        </is>
      </c>
      <c r="Z37" s="2" t="inlineStr">
        <is>
          <t>Lead with the studio's body of work and team. Ask how bookings arrive today. Service/booking availability at launch is being confirmed (EV-09).</t>
        </is>
      </c>
      <c r="AA37" s="2" t="inlineStr">
        <is>
          <t>—</t>
        </is>
      </c>
      <c r="AB37" s="2" t="inlineStr">
        <is>
          <t>Bookings already via wedding portals/Instagram; off-platform client contact (SP-4a open); peak-season time</t>
        </is>
      </c>
      <c r="AC37" s="2" t="inlineStr">
        <is>
          <t>E03-CTA-A Reply/15-min call</t>
        </is>
      </c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/>
      <c r="AN37" s="2" t="inlineStr"/>
      <c r="AO37" s="2" t="inlineStr"/>
      <c r="AP37" s="2" t="inlineStr"/>
      <c r="AQ37" s="2" t="inlineStr"/>
      <c r="AR37" s="2" t="inlineStr"/>
      <c r="AS37" s="2" t="inlineStr"/>
      <c r="AT37" s="2" t="inlineStr"/>
      <c r="AU37" s="2" t="inlineStr"/>
      <c r="AV37" s="2" t="inlineStr"/>
      <c r="AW37" s="2" t="inlineStr"/>
      <c r="AX37" s="2" t="inlineStr"/>
    </row>
    <row r="38">
      <c r="A38" s="2" t="n">
        <v>37</v>
      </c>
      <c r="B38" s="2" t="inlineStr">
        <is>
          <t>Wave 1 — Founding cohort</t>
        </is>
      </c>
      <c r="C38" s="2" t="inlineStr">
        <is>
          <t>UPK2-BM-277</t>
        </is>
      </c>
      <c r="D38" s="2" t="inlineStr">
        <is>
          <t>Ram Kumar Mehandi</t>
        </is>
      </c>
      <c r="E38" s="2" t="inlineStr">
        <is>
          <t>Beauty &amp; Makeup</t>
        </is>
      </c>
      <c r="F38" s="2" t="inlineStr">
        <is>
          <t>BM-MEHENDI</t>
        </is>
      </c>
      <c r="G38" s="2" t="inlineStr">
        <is>
          <t>Wedding &amp; Occasion</t>
        </is>
      </c>
      <c r="H38" s="2" t="inlineStr">
        <is>
          <t>Mehendi / henna artist</t>
        </is>
      </c>
      <c r="I38" s="2" t="inlineStr">
        <is>
          <t>Delhi NCR</t>
        </is>
      </c>
      <c r="J38" s="2" t="inlineStr">
        <is>
          <t>A — Emerging / High-potential</t>
        </is>
      </c>
      <c r="K38" s="2" t="inlineStr">
        <is>
          <t>Independent mehendi artist / team</t>
        </is>
      </c>
      <c r="L38" s="2" t="inlineStr">
        <is>
          <t>P0</t>
        </is>
      </c>
      <c r="M38" s="2" t="inlineStr">
        <is>
          <t>P0</t>
        </is>
      </c>
      <c r="N38" s="2" t="n">
        <v>74.7</v>
      </c>
      <c r="O38" s="2" t="n">
        <v>96</v>
      </c>
      <c r="P38" s="2" t="n">
        <v>62.6</v>
      </c>
      <c r="Q38" s="2" t="n">
        <v>67</v>
      </c>
      <c r="R38" s="2" t="n">
        <v>26</v>
      </c>
      <c r="S38" s="2" t="inlineStr">
        <is>
          <t>C1-DIRECT-VERIFIED</t>
        </is>
      </c>
      <c r="T38" s="2" t="inlineStr">
        <is>
          <t>Personal 1:1 email from founder/team to published business email</t>
        </is>
      </c>
      <c r="U38" s="2" t="inlineStr">
        <is>
          <t>https://ramkumarmehandi.com/landing/</t>
        </is>
      </c>
      <c r="V38" s="2" t="inlineStr">
        <is>
          <t>2026-01 — latest client review on WedMeGood profile</t>
        </is>
      </c>
      <c r="W38" s="2" t="inlineStr">
        <is>
          <t>4 client reviews on WedMeGood (rating 4.9); 1 of latest 4 shown reviews dated 2025–26; starting price ₹Price on Request per package/function listed</t>
        </is>
      </c>
      <c r="X38" s="2" t="inlineStr">
        <is>
          <t>WedMeGood (Vendor profile with client reviews); Own website (First-party site)</t>
        </is>
      </c>
      <c r="Y38" s="2" t="inlineStr">
        <is>
          <t>Readiness 75 (top 5% in category) | Commercial: 4 client reviews on WedMeGood (rating 4.9); 1 of latest 4 shown reviews dated 2025–26; st… | Active: 2026-01 — latest client review on WedMeGood profile | Independent/emerging tier — fame not a factor</t>
        </is>
      </c>
      <c r="Z38" s="2" t="inlineStr">
        <is>
          <t>Lead with a specific design style. Ask how bookings arrive today. Service/booking availability at launch is being confirmed (EV-09).</t>
        </is>
      </c>
      <c r="AA38" s="2" t="inlineStr">
        <is>
          <t>Bookings already arrive via WedMeGood/Instagram; may see limited need for another platform</t>
        </is>
      </c>
      <c r="AB38" s="2" t="inlineStr">
        <is>
          <t>Bookings already via wedding portals/Instagram; off-platform client contact (SP-4a open); peak-season time</t>
        </is>
      </c>
      <c r="AC38" s="2" t="inlineStr">
        <is>
          <t>E03-CTA-B Written terms + registration link</t>
        </is>
      </c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  <c r="AR38" s="2" t="inlineStr"/>
      <c r="AS38" s="2" t="inlineStr"/>
      <c r="AT38" s="2" t="inlineStr"/>
      <c r="AU38" s="2" t="inlineStr"/>
      <c r="AV38" s="2" t="inlineStr"/>
      <c r="AW38" s="2" t="inlineStr"/>
      <c r="AX38" s="2" t="inlineStr"/>
    </row>
    <row r="39">
      <c r="A39" s="2" t="n">
        <v>38</v>
      </c>
      <c r="B39" s="2" t="inlineStr">
        <is>
          <t>Wave 1 — Founding cohort</t>
        </is>
      </c>
      <c r="C39" s="2" t="inlineStr">
        <is>
          <t>UPK2-BM-064</t>
        </is>
      </c>
      <c r="D39" s="2" t="inlineStr">
        <is>
          <t>Zorain's Studio &amp; Academy</t>
        </is>
      </c>
      <c r="E39" s="2" t="inlineStr">
        <is>
          <t>Beauty &amp; Makeup</t>
        </is>
      </c>
      <c r="F39" s="2" t="inlineStr">
        <is>
          <t>BM-STUDIO</t>
        </is>
      </c>
      <c r="G39" s="2" t="inlineStr">
        <is>
          <t>Wedding &amp; Occasion</t>
        </is>
      </c>
      <c r="H39" s="2" t="inlineStr">
        <is>
          <t>Makeup Studio, Academy &amp; Products</t>
        </is>
      </c>
      <c r="I39" s="2" t="inlineStr">
        <is>
          <t>Bengaluru</t>
        </is>
      </c>
      <c r="J39" s="2" t="inlineStr">
        <is>
          <t>C — Strong Mid-tier</t>
        </is>
      </c>
      <c r="K39" s="2" t="inlineStr">
        <is>
          <t>Studio &amp; academy</t>
        </is>
      </c>
      <c r="L39" s="2" t="inlineStr">
        <is>
          <t>P0</t>
        </is>
      </c>
      <c r="M39" s="2" t="inlineStr">
        <is>
          <t>P1</t>
        </is>
      </c>
      <c r="N39" s="2" t="n">
        <v>69.90000000000001</v>
      </c>
      <c r="O39" s="2" t="n">
        <v>85</v>
      </c>
      <c r="P39" s="2" t="n">
        <v>64.2</v>
      </c>
      <c r="Q39" s="2" t="n">
        <v>71</v>
      </c>
      <c r="R39" s="2" t="n">
        <v>40</v>
      </c>
      <c r="S39" s="2" t="inlineStr">
        <is>
          <t>C1-DIRECT-VERIFIED</t>
        </is>
      </c>
      <c r="T39" s="2" t="inlineStr">
        <is>
          <t>Personal 1:1 email from founder/team to published business email</t>
        </is>
      </c>
      <c r="U39" s="2" t="inlineStr">
        <is>
          <t>https://zorainsstudio.com/</t>
        </is>
      </c>
      <c r="V39" s="2" t="inlineStr">
        <is>
          <t>2025-11 — site dateModified</t>
        </is>
      </c>
      <c r="W39" s="2" t="inlineStr">
        <is>
          <t>Training + services + products (site title); Koramangala</t>
        </is>
      </c>
      <c r="X39" s="2" t="inlineStr"/>
      <c r="Y39" s="2" t="inlineStr">
        <is>
          <t>Readiness 70 (top 16% in category) | Commercial: Training + services + products (site title); Koramangala | Active: 2025-11 — site dateModified</t>
        </is>
      </c>
      <c r="Z39" s="2" t="inlineStr">
        <is>
          <t>Lead with the studio's body of work and team. Ask how bookings arrive today. Service/booking availability at launch is being confirmed (EV-09).</t>
        </is>
      </c>
      <c r="AA39" s="2" t="inlineStr">
        <is>
          <t>Already gets leads via own site, Google and Instagram</t>
        </is>
      </c>
      <c r="AB39" s="2" t="inlineStr">
        <is>
          <t>Bookings already via wedding portals/Instagram; off-platform client contact (SP-4a open); peak-season time</t>
        </is>
      </c>
      <c r="AC39" s="2" t="inlineStr">
        <is>
          <t>E03-CTA-A Reply/15-min call</t>
        </is>
      </c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/>
      <c r="AN39" s="2" t="inlineStr"/>
      <c r="AO39" s="2" t="inlineStr"/>
      <c r="AP39" s="2" t="inlineStr"/>
      <c r="AQ39" s="2" t="inlineStr"/>
      <c r="AR39" s="2" t="inlineStr"/>
      <c r="AS39" s="2" t="inlineStr"/>
      <c r="AT39" s="2" t="inlineStr"/>
      <c r="AU39" s="2" t="inlineStr"/>
      <c r="AV39" s="2" t="inlineStr"/>
      <c r="AW39" s="2" t="inlineStr"/>
      <c r="AX39" s="2" t="inlineStr"/>
    </row>
    <row r="40">
      <c r="A40" s="2" t="n">
        <v>39</v>
      </c>
      <c r="B40" s="2" t="inlineStr">
        <is>
          <t>Wave 1 — Founding cohort</t>
        </is>
      </c>
      <c r="C40" s="2" t="inlineStr">
        <is>
          <t>UPK2-BM-021</t>
        </is>
      </c>
      <c r="D40" s="2" t="inlineStr">
        <is>
          <t>Brides by Sabahat</t>
        </is>
      </c>
      <c r="E40" s="2" t="inlineStr">
        <is>
          <t>Beauty &amp; Makeup</t>
        </is>
      </c>
      <c r="F40" s="2" t="inlineStr">
        <is>
          <t>BM-INDEPENDENT-MUA</t>
        </is>
      </c>
      <c r="G40" s="2" t="inlineStr">
        <is>
          <t>Wedding &amp; Occasion</t>
        </is>
      </c>
      <c r="H40" s="2" t="inlineStr">
        <is>
          <t>Celebrity &amp; Bridal MUA</t>
        </is>
      </c>
      <c r="I40" s="2" t="inlineStr">
        <is>
          <t>Mumbai</t>
        </is>
      </c>
      <c r="J40" s="2" t="inlineStr">
        <is>
          <t>C — Strong Mid-tier</t>
        </is>
      </c>
      <c r="K40" s="2" t="inlineStr">
        <is>
          <t>Independent professional</t>
        </is>
      </c>
      <c r="L40" s="2" t="inlineStr">
        <is>
          <t>P0</t>
        </is>
      </c>
      <c r="M40" s="2" t="inlineStr">
        <is>
          <t>P1</t>
        </is>
      </c>
      <c r="N40" s="2" t="n">
        <v>69.5</v>
      </c>
      <c r="O40" s="2" t="n">
        <v>78</v>
      </c>
      <c r="P40" s="2" t="n">
        <v>64</v>
      </c>
      <c r="Q40" s="2" t="n">
        <v>71</v>
      </c>
      <c r="R40" s="2" t="n">
        <v>40</v>
      </c>
      <c r="S40" s="2" t="inlineStr">
        <is>
          <t>C3-PRO-SOCIAL</t>
        </is>
      </c>
      <c r="T40" s="2" t="inlineStr">
        <is>
          <t>1:1 Instagram DM from Uepaki professional account</t>
        </is>
      </c>
      <c r="U40" s="2" t="inlineStr">
        <is>
          <t>https://www.instagram.com/bridesbysabahat?igsh=MWl6eTh0cm1kOHZ0Mg%3D%3D&amp;utm_source=qr</t>
        </is>
      </c>
      <c r="V40" s="2" t="inlineStr">
        <is>
          <t>2026-03 — WeddingSutra vendor profile last modified (page metadata)</t>
        </is>
      </c>
      <c r="W40" s="2" t="inlineStr">
        <is>
          <t>Ambani pre-wedding events; Tendulkar family (per WS bio, 2025-09)</t>
        </is>
      </c>
      <c r="X40" s="2" t="inlineStr">
        <is>
          <t>WeddingSutra (Vendor showcase profile (Makeup Artists))</t>
        </is>
      </c>
      <c r="Y40" s="2" t="inlineStr">
        <is>
          <t>Readiness 70 (top 23% in category) | Commercial: Ambani pre-wedding events; Tendulkar family (per WS bio, 2025-09) | Active: 2026-03 — WeddingSutra vendor profile last modified (page metadata)</t>
        </is>
      </c>
      <c r="Z40" s="2" t="inlineStr">
        <is>
          <t>Lead with their bridal portfolio. Ask how bookings arrive today. Be explicit that service/booking availability at launch is being confirmed (EV-09).</t>
        </is>
      </c>
      <c r="AA40" s="2" t="inlineStr">
        <is>
          <t>Fully booked via referrals; limited need for another listing</t>
        </is>
      </c>
      <c r="AB40" s="2" t="inlineStr">
        <is>
          <t>Bookings already via wedding portals/Instagram; off-platform client contact (SP-4a open); peak-season time</t>
        </is>
      </c>
      <c r="AC40" s="2" t="inlineStr">
        <is>
          <t>E03-CTA-B Written terms + registration link</t>
        </is>
      </c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  <c r="AU40" s="2" t="inlineStr"/>
      <c r="AV40" s="2" t="inlineStr"/>
      <c r="AW40" s="2" t="inlineStr"/>
      <c r="AX40" s="2" t="inlineStr"/>
    </row>
    <row r="41">
      <c r="A41" s="2" t="n">
        <v>40</v>
      </c>
      <c r="B41" s="2" t="inlineStr">
        <is>
          <t>Wave 1 — Founding cohort</t>
        </is>
      </c>
      <c r="C41" s="2" t="inlineStr">
        <is>
          <t>UPK2-BM-036</t>
        </is>
      </c>
      <c r="D41" s="2" t="inlineStr">
        <is>
          <t>Vrunda's Beauty Maker</t>
        </is>
      </c>
      <c r="E41" s="2" t="inlineStr">
        <is>
          <t>Beauty &amp; Makeup</t>
        </is>
      </c>
      <c r="F41" s="2" t="inlineStr">
        <is>
          <t>BM-INDEPENDENT-MUA</t>
        </is>
      </c>
      <c r="G41" s="2" t="inlineStr">
        <is>
          <t>Wedding &amp; Occasion</t>
        </is>
      </c>
      <c r="H41" s="2" t="inlineStr">
        <is>
          <t>HD Bridal Hair &amp; Makeup</t>
        </is>
      </c>
      <c r="I41" s="2" t="inlineStr">
        <is>
          <t>Mumbai</t>
        </is>
      </c>
      <c r="J41" s="2" t="inlineStr">
        <is>
          <t>B — Established Independent</t>
        </is>
      </c>
      <c r="K41" s="2" t="inlineStr">
        <is>
          <t>Independent professional</t>
        </is>
      </c>
      <c r="L41" s="2" t="inlineStr">
        <is>
          <t>P0</t>
        </is>
      </c>
      <c r="M41" s="2" t="inlineStr">
        <is>
          <t>P0</t>
        </is>
      </c>
      <c r="N41" s="2" t="n">
        <v>68.7</v>
      </c>
      <c r="O41" s="2" t="n">
        <v>72</v>
      </c>
      <c r="P41" s="2" t="n">
        <v>59.2</v>
      </c>
      <c r="Q41" s="2" t="n">
        <v>66</v>
      </c>
      <c r="R41" s="2" t="n">
        <v>25</v>
      </c>
      <c r="S41" s="2" t="inlineStr">
        <is>
          <t>C3-PRO-SOCIAL</t>
        </is>
      </c>
      <c r="T41" s="2" t="inlineStr">
        <is>
          <t>1:1 Instagram DM from Uepaki professional account</t>
        </is>
      </c>
      <c r="U41" s="2" t="inlineStr">
        <is>
          <t>https://beautymaker.in/</t>
        </is>
      </c>
      <c r="V41" s="2" t="inlineStr">
        <is>
          <t>2026-08 — site dateModified</t>
        </is>
      </c>
      <c r="W41" s="2" t="inlineStr">
        <is>
          <t>Bridal consultations; training (site)</t>
        </is>
      </c>
      <c r="X41" s="2" t="inlineStr"/>
      <c r="Y41" s="2" t="inlineStr">
        <is>
          <t>Readiness 69 (top 29% in category) | Commercial: Bridal consultations; training (site) | Active: 2026-08 — site dateModified | Independent/emerging tier — fame not a factor</t>
        </is>
      </c>
      <c r="Z41" s="2" t="inlineStr">
        <is>
          <t>Lead with their bridal portfolio. Ask how bookings arrive today. Be explicit that service/booking availability at launch is being confirmed (EV-09).</t>
        </is>
      </c>
      <c r="AA41" s="2" t="inlineStr">
        <is>
          <t>Already gets leads via own site, Google and Instagram</t>
        </is>
      </c>
      <c r="AB41" s="2" t="inlineStr">
        <is>
          <t>Bookings already via wedding portals/Instagram; off-platform client contact (SP-4a open); peak-season time</t>
        </is>
      </c>
      <c r="AC41" s="2" t="inlineStr">
        <is>
          <t>E03-CTA-A Reply/15-min call</t>
        </is>
      </c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/>
      <c r="AN41" s="2" t="inlineStr"/>
      <c r="AO41" s="2" t="inlineStr"/>
      <c r="AP41" s="2" t="inlineStr"/>
      <c r="AQ41" s="2" t="inlineStr"/>
      <c r="AR41" s="2" t="inlineStr"/>
      <c r="AS41" s="2" t="inlineStr"/>
      <c r="AT41" s="2" t="inlineStr"/>
      <c r="AU41" s="2" t="inlineStr"/>
      <c r="AV41" s="2" t="inlineStr"/>
      <c r="AW41" s="2" t="inlineStr"/>
      <c r="AX41" s="2" t="inlineStr"/>
    </row>
    <row r="42">
      <c r="A42" s="2" t="n">
        <v>41</v>
      </c>
      <c r="B42" s="2" t="inlineStr">
        <is>
          <t>Wave 1 — Founding cohort</t>
        </is>
      </c>
      <c r="C42" s="2" t="inlineStr">
        <is>
          <t>UPK2-BM-029</t>
        </is>
      </c>
      <c r="D42" s="2" t="inlineStr">
        <is>
          <t>Richa Thakkar Makeup</t>
        </is>
      </c>
      <c r="E42" s="2" t="inlineStr">
        <is>
          <t>Beauty &amp; Makeup</t>
        </is>
      </c>
      <c r="F42" s="2" t="inlineStr">
        <is>
          <t>BM-INDEPENDENT-MUA</t>
        </is>
      </c>
      <c r="G42" s="2" t="inlineStr">
        <is>
          <t>Wedding &amp; Occasion</t>
        </is>
      </c>
      <c r="H42" s="2" t="inlineStr">
        <is>
          <t>Bridal Eye Makeup &amp; Hairstyling</t>
        </is>
      </c>
      <c r="I42" s="2" t="inlineStr">
        <is>
          <t>Mumbai</t>
        </is>
      </c>
      <c r="J42" s="2" t="inlineStr">
        <is>
          <t>B — Established Independent</t>
        </is>
      </c>
      <c r="K42" s="2" t="inlineStr">
        <is>
          <t>Independent professional</t>
        </is>
      </c>
      <c r="L42" s="2" t="inlineStr">
        <is>
          <t>P0</t>
        </is>
      </c>
      <c r="M42" s="2" t="inlineStr">
        <is>
          <t>P0</t>
        </is>
      </c>
      <c r="N42" s="2" t="n">
        <v>69.09999999999999</v>
      </c>
      <c r="O42" s="2" t="n">
        <v>76</v>
      </c>
      <c r="P42" s="2" t="n">
        <v>61.2</v>
      </c>
      <c r="Q42" s="2" t="n">
        <v>69</v>
      </c>
      <c r="R42" s="2" t="n">
        <v>30</v>
      </c>
      <c r="S42" s="2" t="inlineStr">
        <is>
          <t>C3-PRO-SOCIAL</t>
        </is>
      </c>
      <c r="T42" s="2" t="inlineStr">
        <is>
          <t>1:1 Instagram DM from Uepaki professional account</t>
        </is>
      </c>
      <c r="U42" s="2" t="inlineStr">
        <is>
          <t>https://www.instagram.com/richa_thakkar26/</t>
        </is>
      </c>
      <c r="V42" s="2" t="inlineStr">
        <is>
          <t>2026-09 — WeddingSutra vendor profile last modified (page metadata)</t>
        </is>
      </c>
      <c r="W42" s="2" t="inlineStr">
        <is>
          <t>4+ yrs; travels pan-India; team of eight (per WS bio)</t>
        </is>
      </c>
      <c r="X42" s="2" t="inlineStr">
        <is>
          <t>WeddingSutra (Vendor showcase profile (Makeup Artists))</t>
        </is>
      </c>
      <c r="Y42" s="2" t="inlineStr">
        <is>
          <t>Readiness 69 (top 25% in category) | Commercial: 4+ yrs; travels pan-India; team of eight (per WS bio) | Active: 2026-09 — WeddingSutra vendor profile last modified (page metadata) | Independent/emerging tier — fame not a factor</t>
        </is>
      </c>
      <c r="Z42" s="2" t="inlineStr">
        <is>
          <t>Lead with their bridal portfolio. Ask how bookings arrive today. Be explicit that service/booking availability at launch is being confirmed (EV-09).</t>
        </is>
      </c>
      <c r="AA42" s="2" t="inlineStr">
        <is>
          <t>Bookings already flow via Instagram/WhatsApp and wedding portals</t>
        </is>
      </c>
      <c r="AB42" s="2" t="inlineStr">
        <is>
          <t>Bookings already via wedding portals/Instagram; off-platform client contact (SP-4a open); peak-season time</t>
        </is>
      </c>
      <c r="AC42" s="2" t="inlineStr">
        <is>
          <t>E03-CTA-B Written terms + registration link</t>
        </is>
      </c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  <c r="AU42" s="2" t="inlineStr"/>
      <c r="AV42" s="2" t="inlineStr"/>
      <c r="AW42" s="2" t="inlineStr"/>
      <c r="AX42" s="2" t="inlineStr"/>
    </row>
    <row r="43">
      <c r="A43" s="2" t="n">
        <v>42</v>
      </c>
      <c r="B43" s="2" t="inlineStr">
        <is>
          <t>Wave 1 — Founding cohort</t>
        </is>
      </c>
      <c r="C43" s="2" t="inlineStr">
        <is>
          <t>UPK2-BM-048</t>
        </is>
      </c>
      <c r="D43" s="2" t="inlineStr">
        <is>
          <t>The Makeup Wala</t>
        </is>
      </c>
      <c r="E43" s="2" t="inlineStr">
        <is>
          <t>Beauty &amp; Makeup</t>
        </is>
      </c>
      <c r="F43" s="2" t="inlineStr">
        <is>
          <t>BM-STUDIO</t>
        </is>
      </c>
      <c r="G43" s="2" t="inlineStr">
        <is>
          <t>Wedding &amp; Occasion</t>
        </is>
      </c>
      <c r="H43" s="2" t="inlineStr">
        <is>
          <t>Bridal, Party &amp; Airbrush Makeup Artist</t>
        </is>
      </c>
      <c r="I43" s="2" t="inlineStr">
        <is>
          <t>Delhi NCR</t>
        </is>
      </c>
      <c r="J43" s="2" t="inlineStr">
        <is>
          <t>B — Established Independent</t>
        </is>
      </c>
      <c r="K43" s="2" t="inlineStr">
        <is>
          <t>Makeup studio</t>
        </is>
      </c>
      <c r="L43" s="2" t="inlineStr">
        <is>
          <t>P0</t>
        </is>
      </c>
      <c r="M43" s="2" t="inlineStr">
        <is>
          <t>P0</t>
        </is>
      </c>
      <c r="N43" s="2" t="n">
        <v>71.90000000000001</v>
      </c>
      <c r="O43" s="2" t="n">
        <v>89</v>
      </c>
      <c r="P43" s="2" t="n">
        <v>57.4</v>
      </c>
      <c r="Q43" s="2" t="n">
        <v>65</v>
      </c>
      <c r="R43" s="2" t="n">
        <v>10</v>
      </c>
      <c r="S43" s="2" t="inlineStr">
        <is>
          <t>C1-DIRECT-VERIFIED</t>
        </is>
      </c>
      <c r="T43" s="2" t="inlineStr">
        <is>
          <t>Personal 1:1 email from founder/team to published business email</t>
        </is>
      </c>
      <c r="U43" s="2" t="inlineStr">
        <is>
          <t>https://www.themakeupwala.com/contact/</t>
        </is>
      </c>
      <c r="V43" s="2" t="inlineStr">
        <is>
          <t>2026-07 — site dateModified</t>
        </is>
      </c>
      <c r="W43" s="2" t="inlineStr">
        <is>
          <t>Malviya Nagar studio serving South Delhi &amp; NCR; bridal, HD, airbrush</t>
        </is>
      </c>
      <c r="X43" s="2" t="inlineStr">
        <is>
          <t>Own website (First-party site)</t>
        </is>
      </c>
      <c r="Y43" s="2" t="inlineStr">
        <is>
          <t>Readiness 72 (top 12% in category) | Commercial: Malviya Nagar studio serving South Delhi &amp; NCR; bridal, HD, airbrush | Active: 2026-07 — site dateModified | Independent/emerging tier — fame not a factor</t>
        </is>
      </c>
      <c r="Z43" s="2" t="inlineStr">
        <is>
          <t>Lead with the studio's body of work and team. Ask how bookings arrive today. Service/booking availability at launch is being confirmed (EV-09).</t>
        </is>
      </c>
      <c r="AA43" s="2" t="inlineStr">
        <is>
          <t>—</t>
        </is>
      </c>
      <c r="AB43" s="2" t="inlineStr">
        <is>
          <t>Bookings already via wedding portals/Instagram; off-platform client contact (SP-4a open); peak-season time</t>
        </is>
      </c>
      <c r="AC43" s="2" t="inlineStr">
        <is>
          <t>E03-CTA-A Reply/15-min call</t>
        </is>
      </c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  <c r="AM43" s="2" t="inlineStr"/>
      <c r="AN43" s="2" t="inlineStr"/>
      <c r="AO43" s="2" t="inlineStr"/>
      <c r="AP43" s="2" t="inlineStr"/>
      <c r="AQ43" s="2" t="inlineStr"/>
      <c r="AR43" s="2" t="inlineStr"/>
      <c r="AS43" s="2" t="inlineStr"/>
      <c r="AT43" s="2" t="inlineStr"/>
      <c r="AU43" s="2" t="inlineStr"/>
      <c r="AV43" s="2" t="inlineStr"/>
      <c r="AW43" s="2" t="inlineStr"/>
      <c r="AX43" s="2" t="inlineStr"/>
    </row>
    <row r="44">
      <c r="A44" s="2" t="n">
        <v>43</v>
      </c>
      <c r="B44" s="2" t="inlineStr">
        <is>
          <t>Wave 1 — Founding cohort</t>
        </is>
      </c>
      <c r="C44" s="2" t="inlineStr">
        <is>
          <t>UPK2-FL-166</t>
        </is>
      </c>
      <c r="D44" s="2" t="inlineStr">
        <is>
          <t>Preeti Mohan</t>
        </is>
      </c>
      <c r="E44" s="2" t="inlineStr">
        <is>
          <t>Fashion &amp; Lifestyle</t>
        </is>
      </c>
      <c r="F44" s="2" t="inlineStr">
        <is>
          <t>FL-JEWELLERY</t>
        </is>
      </c>
      <c r="G44" s="2" t="inlineStr">
        <is>
          <t>Wedding &amp; Occasion</t>
        </is>
      </c>
      <c r="H44" s="2" t="inlineStr">
        <is>
          <t>Designer jewellery</t>
        </is>
      </c>
      <c r="I44" s="2" t="inlineStr">
        <is>
          <t>Delhi NCR</t>
        </is>
      </c>
      <c r="J44" s="2" t="inlineStr">
        <is>
          <t>B — Established Independent</t>
        </is>
      </c>
      <c r="K44" s="2" t="inlineStr">
        <is>
          <t>Label/brand (D2C store)</t>
        </is>
      </c>
      <c r="L44" s="2" t="inlineStr">
        <is>
          <t>P0</t>
        </is>
      </c>
      <c r="M44" s="2" t="inlineStr">
        <is>
          <t>P0</t>
        </is>
      </c>
      <c r="N44" s="2" t="n">
        <v>87</v>
      </c>
      <c r="O44" s="2" t="n">
        <v>100</v>
      </c>
      <c r="P44" s="2" t="n">
        <v>79.3</v>
      </c>
      <c r="Q44" s="2" t="n">
        <v>86</v>
      </c>
      <c r="R44" s="2" t="n">
        <v>50</v>
      </c>
      <c r="S44" s="2" t="inlineStr">
        <is>
          <t>C1-DIRECT-VERIFIED</t>
        </is>
      </c>
      <c r="T44" s="2" t="inlineStr">
        <is>
          <t>Personal 1:1 email from founder/team to published business email</t>
        </is>
      </c>
      <c r="U44" s="2" t="inlineStr">
        <is>
          <t>https://preetimohan.com/pages/contact</t>
        </is>
      </c>
      <c r="V44" s="2" t="inlineStr">
        <is>
          <t>2026-09 — newest product published on own Shopify store (MAWYA MINT GREEN POLKI NECKLACE SET) per products.json</t>
        </is>
      </c>
      <c r="W44" s="2" t="inlineStr">
        <is>
          <t>Own online store live with 250+ products listed; stocked by multi-designer retailer(s): Aza Fashions, Ogaan</t>
        </is>
      </c>
      <c r="X44" s="2" t="inlineStr">
        <is>
          <t>Aza Fashions (stocked designer (designer index)); Ogaan (stocked designer (designer index))</t>
        </is>
      </c>
      <c r="Y44" s="2" t="inlineStr">
        <is>
          <t>Readiness 87 (top 1% in category) | Commercial: Own online store live with 250+ products listed; stocked by multi-designer retailer(s): A… | Active: 2026-09 — newest product published on own Shopify store (MAWYA MINT G… | Marketplace-familiar: Aza Fashions); Ogaan) | Independent/emerging tier — fame not a factor</t>
        </is>
      </c>
      <c r="Z44" s="2" t="inlineStr">
        <is>
          <t>Lead with a specific collection. Position as an additional channel under the label's own name. No sales promises.</t>
        </is>
      </c>
      <c r="AA44" s="2" t="inlineStr">
        <is>
          <t>Already has own D2C store and established multi-designer stockists</t>
        </is>
      </c>
      <c r="AB44" s="2" t="inlineStr">
        <is>
          <t>Own D2C store/stockists already; "who else is on it?"; commission vs stockist margin</t>
        </is>
      </c>
      <c r="AC44" s="2" t="inlineStr">
        <is>
          <t>E03-CTA-B Written terms + registration link</t>
        </is>
      </c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/>
      <c r="AN44" s="2" t="inlineStr"/>
      <c r="AO44" s="2" t="inlineStr"/>
      <c r="AP44" s="2" t="inlineStr"/>
      <c r="AQ44" s="2" t="inlineStr"/>
      <c r="AR44" s="2" t="inlineStr"/>
      <c r="AS44" s="2" t="inlineStr"/>
      <c r="AT44" s="2" t="inlineStr"/>
      <c r="AU44" s="2" t="inlineStr"/>
      <c r="AV44" s="2" t="inlineStr"/>
      <c r="AW44" s="2" t="inlineStr"/>
      <c r="AX44" s="2" t="inlineStr"/>
    </row>
    <row r="45">
      <c r="A45" s="2" t="n">
        <v>44</v>
      </c>
      <c r="B45" s="2" t="inlineStr">
        <is>
          <t>Wave 1 — Founding cohort</t>
        </is>
      </c>
      <c r="C45" s="2" t="inlineStr">
        <is>
          <t>UPK2-FL-162</t>
        </is>
      </c>
      <c r="D45" s="2" t="inlineStr">
        <is>
          <t>Azga</t>
        </is>
      </c>
      <c r="E45" s="2" t="inlineStr">
        <is>
          <t>Fashion &amp; Lifestyle</t>
        </is>
      </c>
      <c r="F45" s="2" t="inlineStr">
        <is>
          <t>FL-CONTEMPORARY</t>
        </is>
      </c>
      <c r="G45" s="2" t="inlineStr">
        <is>
          <t>Brand &amp; Everyday Style</t>
        </is>
      </c>
      <c r="H45" s="2" t="inlineStr">
        <is>
          <t>Contemporary ready-to-wear / festive pret</t>
        </is>
      </c>
      <c r="I45" s="2" t="inlineStr">
        <is>
          <t>Jaipur</t>
        </is>
      </c>
      <c r="J45" s="2" t="inlineStr">
        <is>
          <t>B — Established Independent</t>
        </is>
      </c>
      <c r="K45" s="2" t="inlineStr">
        <is>
          <t>Label/brand (D2C store)</t>
        </is>
      </c>
      <c r="L45" s="2" t="inlineStr">
        <is>
          <t>P0</t>
        </is>
      </c>
      <c r="M45" s="2" t="inlineStr">
        <is>
          <t>P0</t>
        </is>
      </c>
      <c r="N45" s="2" t="n">
        <v>87</v>
      </c>
      <c r="O45" s="2" t="n">
        <v>100</v>
      </c>
      <c r="P45" s="2" t="n">
        <v>79.3</v>
      </c>
      <c r="Q45" s="2" t="n">
        <v>86</v>
      </c>
      <c r="R45" s="2" t="n">
        <v>50</v>
      </c>
      <c r="S45" s="2" t="inlineStr">
        <is>
          <t>C1-DIRECT-VERIFIED</t>
        </is>
      </c>
      <c r="T45" s="2" t="inlineStr">
        <is>
          <t>Personal 1:1 email from founder/team to published business email</t>
        </is>
      </c>
      <c r="U45" s="2" t="inlineStr">
        <is>
          <t>https://www.azga.in/pages/reach-us</t>
        </is>
      </c>
      <c r="V45" s="2" t="inlineStr">
        <is>
          <t>2026-09 — newest product published on own Shopify store (Aurelia Botanical Enamel Earrings - Turquoise &amp; Green) per products.json</t>
        </is>
      </c>
      <c r="W45" s="2" t="inlineStr">
        <is>
          <t>Own online store live with 250+ products listed; stocked by multi-designer retailer(s): Aza Fashions, Ogaan</t>
        </is>
      </c>
      <c r="X45" s="2" t="inlineStr">
        <is>
          <t>Aza Fashions (stocked designer (designer index)); Ogaan (stocked designer (designer index))</t>
        </is>
      </c>
      <c r="Y45" s="2" t="inlineStr">
        <is>
          <t>Readiness 87 (top 1% in category) | Commercial: Own online store live with 250+ products listed; stocked by multi-designer retailer(s): A… | Active: 2026-09 — newest product published on own Shopify store (Aurelia Bota… | Marketplace-familiar: Aza Fashions); Ogaan) | Independent/emerging tier — fame not a factor</t>
        </is>
      </c>
      <c r="Z45" s="2" t="inlineStr">
        <is>
          <t>Lead with the label's own range and identity. Position as an additional channel next to own store and stockists. No sales or reach promises.</t>
        </is>
      </c>
      <c r="AA45" s="2" t="inlineStr">
        <is>
          <t>Already has own D2C store and established multi-designer stockists</t>
        </is>
      </c>
      <c r="AB45" s="2" t="inlineStr">
        <is>
          <t>Own D2C store/stockists already; "who else is on it?"; commission vs stockist margin</t>
        </is>
      </c>
      <c r="AC45" s="2" t="inlineStr">
        <is>
          <t>E03-CTA-A Reply/15-min call</t>
        </is>
      </c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  <c r="AM45" s="2" t="inlineStr"/>
      <c r="AN45" s="2" t="inlineStr"/>
      <c r="AO45" s="2" t="inlineStr"/>
      <c r="AP45" s="2" t="inlineStr"/>
      <c r="AQ45" s="2" t="inlineStr"/>
      <c r="AR45" s="2" t="inlineStr"/>
      <c r="AS45" s="2" t="inlineStr"/>
      <c r="AT45" s="2" t="inlineStr"/>
      <c r="AU45" s="2" t="inlineStr"/>
      <c r="AV45" s="2" t="inlineStr"/>
      <c r="AW45" s="2" t="inlineStr"/>
      <c r="AX45" s="2" t="inlineStr"/>
    </row>
    <row r="46">
      <c r="A46" s="2" t="n">
        <v>45</v>
      </c>
      <c r="B46" s="2" t="inlineStr">
        <is>
          <t>Wave 1 — Founding cohort</t>
        </is>
      </c>
      <c r="C46" s="2" t="inlineStr">
        <is>
          <t>UPK2-FL-169</t>
        </is>
      </c>
      <c r="D46" s="2" t="inlineStr">
        <is>
          <t>Lajjoo C</t>
        </is>
      </c>
      <c r="E46" s="2" t="inlineStr">
        <is>
          <t>Fashion &amp; Lifestyle</t>
        </is>
      </c>
      <c r="F46" s="2" t="inlineStr">
        <is>
          <t>FL-OCCASION-BRIDAL</t>
        </is>
      </c>
      <c r="G46" s="2" t="inlineStr">
        <is>
          <t>Wedding &amp; Occasion</t>
        </is>
      </c>
      <c r="H46" s="2" t="inlineStr">
        <is>
          <t>Occasion &amp; bridal wear (lehengas, sarees, festive sets)</t>
        </is>
      </c>
      <c r="I46" s="2" t="inlineStr">
        <is>
          <t>Mumbai</t>
        </is>
      </c>
      <c r="J46" s="2" t="inlineStr">
        <is>
          <t>B — Established Independent</t>
        </is>
      </c>
      <c r="K46" s="2" t="inlineStr">
        <is>
          <t>Label/brand (D2C store)</t>
        </is>
      </c>
      <c r="L46" s="2" t="inlineStr">
        <is>
          <t>P0</t>
        </is>
      </c>
      <c r="M46" s="2" t="inlineStr">
        <is>
          <t>P0</t>
        </is>
      </c>
      <c r="N46" s="2" t="n">
        <v>86</v>
      </c>
      <c r="O46" s="2" t="n">
        <v>99</v>
      </c>
      <c r="P46" s="2" t="n">
        <v>78.8</v>
      </c>
      <c r="Q46" s="2" t="n">
        <v>86</v>
      </c>
      <c r="R46" s="2" t="n">
        <v>50</v>
      </c>
      <c r="S46" s="2" t="inlineStr">
        <is>
          <t>C1-DIRECT-VERIFIED</t>
        </is>
      </c>
      <c r="T46" s="2" t="inlineStr">
        <is>
          <t>Personal 1:1 email from founder/team to published business email</t>
        </is>
      </c>
      <c r="U46" s="2" t="inlineStr">
        <is>
          <t>https://lajjooc.com/</t>
        </is>
      </c>
      <c r="V46" s="2" t="inlineStr">
        <is>
          <t>2026-07 — newest product published on own Shopify store (Nargis Kurta and Pant) per products.json</t>
        </is>
      </c>
      <c r="W46" s="2" t="inlineStr">
        <is>
          <t>Own online store live with 250+ products listed; stocked by multi-designer retailer(s): Aza Fashions, Ogaan</t>
        </is>
      </c>
      <c r="X46" s="2" t="inlineStr">
        <is>
          <t>Aza Fashions (stocked designer (designer index)); Ogaan (stocked designer (designer index))</t>
        </is>
      </c>
      <c r="Y46" s="2" t="inlineStr">
        <is>
          <t>Readiness 86 (top 2% in category) | Commercial: Own online store live with 250+ products listed; stocked by multi-designer retailer(s): A… | Active: 2026-07 — newest product published on own Shopify store (Nargis Kurta… | Marketplace-familiar: Aza Fashions); Ogaan) | Independent/emerging tier — fame not a factor</t>
        </is>
      </c>
      <c r="Z46" s="2" t="inlineStr">
        <is>
          <t>Lead with the label's craft and name. Ask how made-to-order/bridal enquiries reach them today. Position Uepaki as an additional professional channel, not a replacement for stockists.</t>
        </is>
      </c>
      <c r="AA46" s="2" t="inlineStr">
        <is>
          <t>Already has own D2C store and established multi-designer stockists</t>
        </is>
      </c>
      <c r="AB46" s="2" t="inlineStr">
        <is>
          <t>Own D2C store/stockists already; "who else is on it?"; commission vs stockist margin</t>
        </is>
      </c>
      <c r="AC46" s="2" t="inlineStr">
        <is>
          <t>E03-CTA-B Written terms + registration link</t>
        </is>
      </c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inlineStr"/>
      <c r="AR46" s="2" t="inlineStr"/>
      <c r="AS46" s="2" t="inlineStr"/>
      <c r="AT46" s="2" t="inlineStr"/>
      <c r="AU46" s="2" t="inlineStr"/>
      <c r="AV46" s="2" t="inlineStr"/>
      <c r="AW46" s="2" t="inlineStr"/>
      <c r="AX46" s="2" t="inlineStr"/>
    </row>
    <row r="47">
      <c r="A47" s="2" t="n">
        <v>46</v>
      </c>
      <c r="B47" s="2" t="inlineStr">
        <is>
          <t>Wave 1 — Founding cohort</t>
        </is>
      </c>
      <c r="C47" s="2" t="inlineStr">
        <is>
          <t>UPK2-FL-175</t>
        </is>
      </c>
      <c r="D47" s="2" t="inlineStr">
        <is>
          <t>Madzin</t>
        </is>
      </c>
      <c r="E47" s="2" t="inlineStr">
        <is>
          <t>Fashion &amp; Lifestyle</t>
        </is>
      </c>
      <c r="F47" s="2" t="inlineStr">
        <is>
          <t>FL-OCCASION-BRIDAL</t>
        </is>
      </c>
      <c r="G47" s="2" t="inlineStr">
        <is>
          <t>Wedding &amp; Occasion</t>
        </is>
      </c>
      <c r="H47" s="2" t="inlineStr">
        <is>
          <t>Occasion &amp; bridal wear (lehengas, sarees, festive sets)</t>
        </is>
      </c>
      <c r="I47" s="2" t="inlineStr">
        <is>
          <t>Delhi NCR</t>
        </is>
      </c>
      <c r="J47" s="2" t="inlineStr">
        <is>
          <t>B — Established Independent</t>
        </is>
      </c>
      <c r="K47" s="2" t="inlineStr">
        <is>
          <t>Label/brand (D2C store)</t>
        </is>
      </c>
      <c r="L47" s="2" t="inlineStr">
        <is>
          <t>P0</t>
        </is>
      </c>
      <c r="M47" s="2" t="inlineStr">
        <is>
          <t>P0</t>
        </is>
      </c>
      <c r="N47" s="2" t="n">
        <v>86</v>
      </c>
      <c r="O47" s="2" t="n">
        <v>99</v>
      </c>
      <c r="P47" s="2" t="n">
        <v>78.5</v>
      </c>
      <c r="Q47" s="2" t="n">
        <v>85</v>
      </c>
      <c r="R47" s="2" t="n">
        <v>50</v>
      </c>
      <c r="S47" s="2" t="inlineStr">
        <is>
          <t>C1-DIRECT-VERIFIED</t>
        </is>
      </c>
      <c r="T47" s="2" t="inlineStr">
        <is>
          <t>Personal 1:1 email from founder/team to published business email</t>
        </is>
      </c>
      <c r="U47" s="2" t="inlineStr">
        <is>
          <t>https://www.madzinlabel.com/pages/contact</t>
        </is>
      </c>
      <c r="V47" s="2" t="inlineStr">
        <is>
          <t>2026-10 — newest product published on own Shopify store (Nightsky &amp; Rose Pink Hand Embroidered Silk Lehenga Set) per products.json</t>
        </is>
      </c>
      <c r="W47" s="2" t="inlineStr">
        <is>
          <t>Own online store live with 250+ products listed; stocked by multi-designer retailer(s): Aza Fashions, Ogaan</t>
        </is>
      </c>
      <c r="X47" s="2" t="inlineStr">
        <is>
          <t>Aza Fashions (stocked designer (designer index)); Ogaan (stocked designer (designer index))</t>
        </is>
      </c>
      <c r="Y47" s="2" t="inlineStr">
        <is>
          <t>Readiness 86 (top 2% in category) | Commercial: Own online store live with 250+ products listed; stocked by multi-designer retailer(s): A… | Active: 2026-10 — newest product published on own Shopify store (Nightsky &amp; R… | Marketplace-familiar: Aza Fashions); Ogaan) | Independent/emerging tier — fame not a factor</t>
        </is>
      </c>
      <c r="Z47" s="2" t="inlineStr">
        <is>
          <t>Lead with the label's craft and name. Ask how made-to-order/bridal enquiries reach them today. Position Uepaki as an additional professional channel, not a replacement for stockists.</t>
        </is>
      </c>
      <c r="AA47" s="2" t="inlineStr">
        <is>
          <t>Already has own D2C store and established multi-designer stockists</t>
        </is>
      </c>
      <c r="AB47" s="2" t="inlineStr">
        <is>
          <t>Own D2C store/stockists already; "who else is on it?"; commission vs stockist margin</t>
        </is>
      </c>
      <c r="AC47" s="2" t="inlineStr">
        <is>
          <t>E03-CTA-A Reply/15-min call</t>
        </is>
      </c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  <c r="AK47" s="2" t="inlineStr"/>
      <c r="AL47" s="2" t="inlineStr"/>
      <c r="AM47" s="2" t="inlineStr"/>
      <c r="AN47" s="2" t="inlineStr"/>
      <c r="AO47" s="2" t="inlineStr"/>
      <c r="AP47" s="2" t="inlineStr"/>
      <c r="AQ47" s="2" t="inlineStr"/>
      <c r="AR47" s="2" t="inlineStr"/>
      <c r="AS47" s="2" t="inlineStr"/>
      <c r="AT47" s="2" t="inlineStr"/>
      <c r="AU47" s="2" t="inlineStr"/>
      <c r="AV47" s="2" t="inlineStr"/>
      <c r="AW47" s="2" t="inlineStr"/>
      <c r="AX47" s="2" t="inlineStr"/>
    </row>
    <row r="48">
      <c r="A48" s="2" t="n">
        <v>47</v>
      </c>
      <c r="B48" s="2" t="inlineStr">
        <is>
          <t>Wave 1 — Founding cohort</t>
        </is>
      </c>
      <c r="C48" s="2" t="inlineStr">
        <is>
          <t>UPK2-FL-176</t>
        </is>
      </c>
      <c r="D48" s="2" t="inlineStr">
        <is>
          <t>Pita Nila</t>
        </is>
      </c>
      <c r="E48" s="2" t="inlineStr">
        <is>
          <t>Fashion &amp; Lifestyle</t>
        </is>
      </c>
      <c r="F48" s="2" t="inlineStr">
        <is>
          <t>FL-OCCASION-BRIDAL</t>
        </is>
      </c>
      <c r="G48" s="2" t="inlineStr">
        <is>
          <t>Wedding &amp; Occasion</t>
        </is>
      </c>
      <c r="H48" s="2" t="inlineStr">
        <is>
          <t>Occasion &amp; bridal wear (lehengas, sarees, festive sets)</t>
        </is>
      </c>
      <c r="I48" s="2" t="inlineStr">
        <is>
          <t>Delhi NCR</t>
        </is>
      </c>
      <c r="J48" s="2" t="inlineStr">
        <is>
          <t>B — Established Independent</t>
        </is>
      </c>
      <c r="K48" s="2" t="inlineStr">
        <is>
          <t>Label/brand (D2C store)</t>
        </is>
      </c>
      <c r="L48" s="2" t="inlineStr">
        <is>
          <t>P0</t>
        </is>
      </c>
      <c r="M48" s="2" t="inlineStr">
        <is>
          <t>P0</t>
        </is>
      </c>
      <c r="N48" s="2" t="n">
        <v>86</v>
      </c>
      <c r="O48" s="2" t="n">
        <v>99</v>
      </c>
      <c r="P48" s="2" t="n">
        <v>78.5</v>
      </c>
      <c r="Q48" s="2" t="n">
        <v>85</v>
      </c>
      <c r="R48" s="2" t="n">
        <v>50</v>
      </c>
      <c r="S48" s="2" t="inlineStr">
        <is>
          <t>C1-DIRECT-VERIFIED</t>
        </is>
      </c>
      <c r="T48" s="2" t="inlineStr">
        <is>
          <t>Personal 1:1 email from founder/team to published business email</t>
        </is>
      </c>
      <c r="U48" s="2" t="inlineStr">
        <is>
          <t>https://www.pitanila.com/pages/contact-us</t>
        </is>
      </c>
      <c r="V48" s="2" t="inlineStr">
        <is>
          <t>2026-09 — newest product published on own Shopify store (ZOHRA SAREE - PURPLE) per products.json</t>
        </is>
      </c>
      <c r="W48" s="2" t="inlineStr">
        <is>
          <t>Own online store live with 250+ products listed; stocked by multi-designer retailer(s): Aza Fashions, Ogaan</t>
        </is>
      </c>
      <c r="X48" s="2" t="inlineStr">
        <is>
          <t>Aza Fashions (stocked designer (designer index)); Ogaan (stocked designer (designer index))</t>
        </is>
      </c>
      <c r="Y48" s="2" t="inlineStr">
        <is>
          <t>Readiness 86 (top 2% in category) | Commercial: Own online store live with 250+ products listed; stocked by multi-designer retailer(s): A… | Active: 2026-09 — newest product published on own Shopify store (ZOHRA SAREE… | Marketplace-familiar: Aza Fashions); Ogaan) | Independent/emerging tier — fame not a factor</t>
        </is>
      </c>
      <c r="Z48" s="2" t="inlineStr">
        <is>
          <t>Lead with the label's craft and name. Ask how made-to-order/bridal enquiries reach them today. Position Uepaki as an additional professional channel, not a replacement for stockists.</t>
        </is>
      </c>
      <c r="AA48" s="2" t="inlineStr">
        <is>
          <t>Already has own D2C store and established multi-designer stockists</t>
        </is>
      </c>
      <c r="AB48" s="2" t="inlineStr">
        <is>
          <t>Own D2C store/stockists already; "who else is on it?"; commission vs stockist margin</t>
        </is>
      </c>
      <c r="AC48" s="2" t="inlineStr">
        <is>
          <t>E03-CTA-B Written terms + registration link</t>
        </is>
      </c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  <c r="AM48" s="2" t="inlineStr"/>
      <c r="AN48" s="2" t="inlineStr"/>
      <c r="AO48" s="2" t="inlineStr"/>
      <c r="AP48" s="2" t="inlineStr"/>
      <c r="AQ48" s="2" t="inlineStr"/>
      <c r="AR48" s="2" t="inlineStr"/>
      <c r="AS48" s="2" t="inlineStr"/>
      <c r="AT48" s="2" t="inlineStr"/>
      <c r="AU48" s="2" t="inlineStr"/>
      <c r="AV48" s="2" t="inlineStr"/>
      <c r="AW48" s="2" t="inlineStr"/>
      <c r="AX48" s="2" t="inlineStr"/>
    </row>
    <row r="49">
      <c r="A49" s="2" t="n">
        <v>48</v>
      </c>
      <c r="B49" s="2" t="inlineStr">
        <is>
          <t>Wave 1 — Founding cohort</t>
        </is>
      </c>
      <c r="C49" s="2" t="inlineStr">
        <is>
          <t>UPK2-FL-179</t>
        </is>
      </c>
      <c r="D49" s="2" t="inlineStr">
        <is>
          <t>Itrh</t>
        </is>
      </c>
      <c r="E49" s="2" t="inlineStr">
        <is>
          <t>Fashion &amp; Lifestyle</t>
        </is>
      </c>
      <c r="F49" s="2" t="inlineStr">
        <is>
          <t>FL-OCCASION-BRIDAL</t>
        </is>
      </c>
      <c r="G49" s="2" t="inlineStr">
        <is>
          <t>Wedding &amp; Occasion</t>
        </is>
      </c>
      <c r="H49" s="2" t="inlineStr">
        <is>
          <t>Occasion &amp; bridal wear (lehengas, sarees, festive sets)</t>
        </is>
      </c>
      <c r="I49" s="2" t="inlineStr">
        <is>
          <t>Delhi NCR</t>
        </is>
      </c>
      <c r="J49" s="2" t="inlineStr">
        <is>
          <t>B — Established Independent</t>
        </is>
      </c>
      <c r="K49" s="2" t="inlineStr">
        <is>
          <t>Label/brand (D2C store)</t>
        </is>
      </c>
      <c r="L49" s="2" t="inlineStr">
        <is>
          <t>P0</t>
        </is>
      </c>
      <c r="M49" s="2" t="inlineStr">
        <is>
          <t>P0</t>
        </is>
      </c>
      <c r="N49" s="2" t="n">
        <v>87</v>
      </c>
      <c r="O49" s="2" t="n">
        <v>100</v>
      </c>
      <c r="P49" s="2" t="n">
        <v>78.09999999999999</v>
      </c>
      <c r="Q49" s="2" t="n">
        <v>82</v>
      </c>
      <c r="R49" s="2" t="n">
        <v>50</v>
      </c>
      <c r="S49" s="2" t="inlineStr">
        <is>
          <t>C1-DIRECT-VERIFIED</t>
        </is>
      </c>
      <c r="T49" s="2" t="inlineStr">
        <is>
          <t>1:1 message via own-website contact form</t>
        </is>
      </c>
      <c r="U49" s="2" t="inlineStr">
        <is>
          <t>https://itrh.co/pages/contact</t>
        </is>
      </c>
      <c r="V49" s="2" t="inlineStr">
        <is>
          <t>2026-10 — newest product published on own Shopify store (Kalyani in Noir Saree) per products.json</t>
        </is>
      </c>
      <c r="W49" s="2" t="inlineStr">
        <is>
          <t>Own online store live with 250+ products listed; stocked by multi-designer retailer(s): Aza Fashions, Ogaan</t>
        </is>
      </c>
      <c r="X49" s="2" t="inlineStr">
        <is>
          <t>Aza Fashions (stocked designer (designer index)); Ogaan (stocked designer (designer index))</t>
        </is>
      </c>
      <c r="Y49" s="2" t="inlineStr">
        <is>
          <t>Readiness 87 (top 1% in category) | Commercial: Own online store live with 250+ products listed; stocked by multi-designer retailer(s): A… | Active: 2026-10 — newest product published on own Shopify store (Kalyani in N… | Marketplace-familiar: Aza Fashions); Ogaan) | Independent/emerging tier — fame not a factor</t>
        </is>
      </c>
      <c r="Z49" s="2" t="inlineStr">
        <is>
          <t>Lead with the label's craft and name. Ask how made-to-order/bridal enquiries reach them today. Position Uepaki as an additional professional channel, not a replacement for stockists.</t>
        </is>
      </c>
      <c r="AA49" s="2" t="inlineStr">
        <is>
          <t>Already has own D2C store and established multi-designer stockists</t>
        </is>
      </c>
      <c r="AB49" s="2" t="inlineStr">
        <is>
          <t>Own D2C store/stockists already; "who else is on it?"; commission vs stockist margin</t>
        </is>
      </c>
      <c r="AC49" s="2" t="inlineStr">
        <is>
          <t>E03-CTA-A Reply/15-min call</t>
        </is>
      </c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  <c r="AK49" s="2" t="inlineStr"/>
      <c r="AL49" s="2" t="inlineStr"/>
      <c r="AM49" s="2" t="inlineStr"/>
      <c r="AN49" s="2" t="inlineStr"/>
      <c r="AO49" s="2" t="inlineStr"/>
      <c r="AP49" s="2" t="inlineStr"/>
      <c r="AQ49" s="2" t="inlineStr"/>
      <c r="AR49" s="2" t="inlineStr"/>
      <c r="AS49" s="2" t="inlineStr"/>
      <c r="AT49" s="2" t="inlineStr"/>
      <c r="AU49" s="2" t="inlineStr"/>
      <c r="AV49" s="2" t="inlineStr"/>
      <c r="AW49" s="2" t="inlineStr"/>
      <c r="AX49" s="2" t="inlineStr"/>
    </row>
    <row r="50">
      <c r="A50" s="2" t="n">
        <v>49</v>
      </c>
      <c r="B50" s="2" t="inlineStr">
        <is>
          <t>Wave 1 — Founding cohort</t>
        </is>
      </c>
      <c r="C50" s="2" t="inlineStr">
        <is>
          <t>UPK2-FL-181</t>
        </is>
      </c>
      <c r="D50" s="2" t="inlineStr">
        <is>
          <t>Jajaabor</t>
        </is>
      </c>
      <c r="E50" s="2" t="inlineStr">
        <is>
          <t>Fashion &amp; Lifestyle</t>
        </is>
      </c>
      <c r="F50" s="2" t="inlineStr">
        <is>
          <t>FL-CONTEMPORARY</t>
        </is>
      </c>
      <c r="G50" s="2" t="inlineStr">
        <is>
          <t>Brand &amp; Everyday Style</t>
        </is>
      </c>
      <c r="H50" s="2" t="inlineStr">
        <is>
          <t>Contemporary ready-to-wear / festive pret</t>
        </is>
      </c>
      <c r="I50" s="2" t="inlineStr">
        <is>
          <t>Delhi NCR</t>
        </is>
      </c>
      <c r="J50" s="2" t="inlineStr">
        <is>
          <t>B — Established Independent</t>
        </is>
      </c>
      <c r="K50" s="2" t="inlineStr">
        <is>
          <t>Label/brand (D2C store)</t>
        </is>
      </c>
      <c r="L50" s="2" t="inlineStr">
        <is>
          <t>P0</t>
        </is>
      </c>
      <c r="M50" s="2" t="inlineStr">
        <is>
          <t>P0</t>
        </is>
      </c>
      <c r="N50" s="2" t="n">
        <v>85</v>
      </c>
      <c r="O50" s="2" t="n">
        <v>98</v>
      </c>
      <c r="P50" s="2" t="n">
        <v>78</v>
      </c>
      <c r="Q50" s="2" t="n">
        <v>85</v>
      </c>
      <c r="R50" s="2" t="n">
        <v>50</v>
      </c>
      <c r="S50" s="2" t="inlineStr">
        <is>
          <t>C1-DIRECT-VERIFIED</t>
        </is>
      </c>
      <c r="T50" s="2" t="inlineStr">
        <is>
          <t>Personal 1:1 email from founder/team to published business email</t>
        </is>
      </c>
      <c r="U50" s="2" t="inlineStr">
        <is>
          <t>https://jajaabor.com/pages/contact-us</t>
        </is>
      </c>
      <c r="V50" s="2" t="inlineStr">
        <is>
          <t>2026-07 — newest product published on own Shopify store (LONG EMB GOLD JACKET COMBINED WITH EMB GOLD SHORT TRENCH + E) per products.json</t>
        </is>
      </c>
      <c r="W50" s="2" t="inlineStr">
        <is>
          <t>Own online store live with 250+ products listed; stocked by multi-designer retailer(s): Aza Fashions, Ogaan</t>
        </is>
      </c>
      <c r="X50" s="2" t="inlineStr">
        <is>
          <t>Aza Fashions (stocked designer (designer index)); Ogaan (stocked designer (designer index))</t>
        </is>
      </c>
      <c r="Y50" s="2" t="inlineStr">
        <is>
          <t>Readiness 85 (top 3% in category) | Commercial: Own online store live with 250+ products listed; stocked by multi-designer retailer(s): A… | Active: 2026-07 — newest product published on own Shopify store (LONG EMB GOL… | Marketplace-familiar: Aza Fashions); Ogaan) | Independent/emerging tier — fame not a factor</t>
        </is>
      </c>
      <c r="Z50" s="2" t="inlineStr">
        <is>
          <t>Lead with the label's own range and identity. Position as an additional channel next to own store and stockists. No sales or reach promises.</t>
        </is>
      </c>
      <c r="AA50" s="2" t="inlineStr">
        <is>
          <t>Already has own D2C store and established multi-designer stockists</t>
        </is>
      </c>
      <c r="AB50" s="2" t="inlineStr">
        <is>
          <t>Own D2C store/stockists already; "who else is on it?"; commission vs stockist margin</t>
        </is>
      </c>
      <c r="AC50" s="2" t="inlineStr">
        <is>
          <t>E03-CTA-B Written terms + registration link</t>
        </is>
      </c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  <c r="AK50" s="2" t="inlineStr"/>
      <c r="AL50" s="2" t="inlineStr"/>
      <c r="AM50" s="2" t="inlineStr"/>
      <c r="AN50" s="2" t="inlineStr"/>
      <c r="AO50" s="2" t="inlineStr"/>
      <c r="AP50" s="2" t="inlineStr"/>
      <c r="AQ50" s="2" t="inlineStr"/>
      <c r="AR50" s="2" t="inlineStr"/>
      <c r="AS50" s="2" t="inlineStr"/>
      <c r="AT50" s="2" t="inlineStr"/>
      <c r="AU50" s="2" t="inlineStr"/>
      <c r="AV50" s="2" t="inlineStr"/>
      <c r="AW50" s="2" t="inlineStr"/>
      <c r="AX50" s="2" t="inlineStr"/>
    </row>
    <row r="51">
      <c r="A51" s="2" t="n">
        <v>50</v>
      </c>
      <c r="B51" s="2" t="inlineStr">
        <is>
          <t>Wave 1 — Founding cohort</t>
        </is>
      </c>
      <c r="C51" s="2" t="inlineStr">
        <is>
          <t>UPK2-FL-180</t>
        </is>
      </c>
      <c r="D51" s="2" t="inlineStr">
        <is>
          <t>Ituvana</t>
        </is>
      </c>
      <c r="E51" s="2" t="inlineStr">
        <is>
          <t>Fashion &amp; Lifestyle</t>
        </is>
      </c>
      <c r="F51" s="2" t="inlineStr">
        <is>
          <t>FL-JEWELLERY</t>
        </is>
      </c>
      <c r="G51" s="2" t="inlineStr">
        <is>
          <t>Wedding &amp; Occasion</t>
        </is>
      </c>
      <c r="H51" s="2" t="inlineStr">
        <is>
          <t>Designer jewellery</t>
        </is>
      </c>
      <c r="I51" s="2" t="inlineStr">
        <is>
          <t>Delhi NCR</t>
        </is>
      </c>
      <c r="J51" s="2" t="inlineStr">
        <is>
          <t>B — Established Independent</t>
        </is>
      </c>
      <c r="K51" s="2" t="inlineStr">
        <is>
          <t>Label/brand (D2C store)</t>
        </is>
      </c>
      <c r="L51" s="2" t="inlineStr">
        <is>
          <t>P0</t>
        </is>
      </c>
      <c r="M51" s="2" t="inlineStr">
        <is>
          <t>P0</t>
        </is>
      </c>
      <c r="N51" s="2" t="n">
        <v>85</v>
      </c>
      <c r="O51" s="2" t="n">
        <v>98</v>
      </c>
      <c r="P51" s="2" t="n">
        <v>78</v>
      </c>
      <c r="Q51" s="2" t="n">
        <v>85</v>
      </c>
      <c r="R51" s="2" t="n">
        <v>50</v>
      </c>
      <c r="S51" s="2" t="inlineStr">
        <is>
          <t>C1-DIRECT-VERIFIED</t>
        </is>
      </c>
      <c r="T51" s="2" t="inlineStr">
        <is>
          <t>Personal 1:1 email from founder/team to published business email</t>
        </is>
      </c>
      <c r="U51" s="2" t="inlineStr">
        <is>
          <t>https://www.ituvana.com/pages/contact-us</t>
        </is>
      </c>
      <c r="V51" s="2" t="inlineStr">
        <is>
          <t>2026-10 — newest product published on own Shopify store (Chaya Chappals) per products.json</t>
        </is>
      </c>
      <c r="W51" s="2" t="inlineStr">
        <is>
          <t>Own online store live with 194 products listed; stocked by multi-designer retailer(s): Aza Fashions, Ogaan</t>
        </is>
      </c>
      <c r="X51" s="2" t="inlineStr">
        <is>
          <t>Aza Fashions (stocked designer (designer index)); Ogaan (stocked designer (designer index))</t>
        </is>
      </c>
      <c r="Y51" s="2" t="inlineStr">
        <is>
          <t>Readiness 85 (top 3% in category) | Commercial: Own online store live with 194 products listed; stocked by multi-designer retailer(s): Az… | Active: 2026-10 — newest product published on own Shopify store (Chaya Chappa… | Marketplace-familiar: Aza Fashions); Ogaan) | Independent/emerging tier — fame not a factor</t>
        </is>
      </c>
      <c r="Z51" s="2" t="inlineStr">
        <is>
          <t>Lead with a specific collection. Position as an additional channel under the label's own name. No sales promises.</t>
        </is>
      </c>
      <c r="AA51" s="2" t="inlineStr">
        <is>
          <t>Already has own D2C store and established multi-designer stockists</t>
        </is>
      </c>
      <c r="AB51" s="2" t="inlineStr">
        <is>
          <t>Own D2C store/stockists already; "who else is on it?"; commission vs stockist margin</t>
        </is>
      </c>
      <c r="AC51" s="2" t="inlineStr">
        <is>
          <t>E03-CTA-A Reply/15-min call</t>
        </is>
      </c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  <c r="AK51" s="2" t="inlineStr"/>
      <c r="AL51" s="2" t="inlineStr"/>
      <c r="AM51" s="2" t="inlineStr"/>
      <c r="AN51" s="2" t="inlineStr"/>
      <c r="AO51" s="2" t="inlineStr"/>
      <c r="AP51" s="2" t="inlineStr"/>
      <c r="AQ51" s="2" t="inlineStr"/>
      <c r="AR51" s="2" t="inlineStr"/>
      <c r="AS51" s="2" t="inlineStr"/>
      <c r="AT51" s="2" t="inlineStr"/>
      <c r="AU51" s="2" t="inlineStr"/>
      <c r="AV51" s="2" t="inlineStr"/>
      <c r="AW51" s="2" t="inlineStr"/>
      <c r="AX51" s="2" t="inlineStr"/>
    </row>
    <row r="52">
      <c r="A52" s="2" t="n">
        <v>51</v>
      </c>
      <c r="B52" s="2" t="inlineStr">
        <is>
          <t>Wave 1 — Founding cohort</t>
        </is>
      </c>
      <c r="C52" s="2" t="inlineStr">
        <is>
          <t>UPK2-FL-183</t>
        </is>
      </c>
      <c r="D52" s="2" t="inlineStr">
        <is>
          <t>Kavita Bhartia</t>
        </is>
      </c>
      <c r="E52" s="2" t="inlineStr">
        <is>
          <t>Fashion &amp; Lifestyle</t>
        </is>
      </c>
      <c r="F52" s="2" t="inlineStr">
        <is>
          <t>FL-OCCASION-BRIDAL</t>
        </is>
      </c>
      <c r="G52" s="2" t="inlineStr">
        <is>
          <t>Wedding &amp; Occasion</t>
        </is>
      </c>
      <c r="H52" s="2" t="inlineStr">
        <is>
          <t>Occasion &amp; bridal wear (lehengas, sarees, festive sets)</t>
        </is>
      </c>
      <c r="I52" s="2" t="inlineStr">
        <is>
          <t>Delhi NCR</t>
        </is>
      </c>
      <c r="J52" s="2" t="inlineStr">
        <is>
          <t>B — Established Independent</t>
        </is>
      </c>
      <c r="K52" s="2" t="inlineStr">
        <is>
          <t>Label/brand (D2C store)</t>
        </is>
      </c>
      <c r="L52" s="2" t="inlineStr">
        <is>
          <t>P0</t>
        </is>
      </c>
      <c r="M52" s="2" t="inlineStr">
        <is>
          <t>P0</t>
        </is>
      </c>
      <c r="N52" s="2" t="n">
        <v>85</v>
      </c>
      <c r="O52" s="2" t="n">
        <v>98</v>
      </c>
      <c r="P52" s="2" t="n">
        <v>78</v>
      </c>
      <c r="Q52" s="2" t="n">
        <v>85</v>
      </c>
      <c r="R52" s="2" t="n">
        <v>50</v>
      </c>
      <c r="S52" s="2" t="inlineStr">
        <is>
          <t>C1-DIRECT-VERIFIED</t>
        </is>
      </c>
      <c r="T52" s="2" t="inlineStr">
        <is>
          <t>Personal 1:1 email from founder/team to published business email</t>
        </is>
      </c>
      <c r="U52" s="2" t="inlineStr">
        <is>
          <t>https://kavitabhartia.com/pages/contact</t>
        </is>
      </c>
      <c r="V52" s="2" t="inlineStr">
        <is>
          <t>2026-09 — newest product published on own Shopify store (Blue Printed and Embroidered Loose Fit Kurta with Salwar) per products.json</t>
        </is>
      </c>
      <c r="W52" s="2" t="inlineStr">
        <is>
          <t>Own online store live with 250+ products listed; stocked by multi-designer retailer(s): Aza Fashions, Ogaan</t>
        </is>
      </c>
      <c r="X52" s="2" t="inlineStr">
        <is>
          <t>Aza Fashions (stocked designer (designer index)); Ogaan (stocked designer (designer index))</t>
        </is>
      </c>
      <c r="Y52" s="2" t="inlineStr">
        <is>
          <t>Readiness 85 (top 3% in category) | Commercial: Own online store live with 250+ products listed; stocked by multi-designer retailer(s): A… | Active: 2026-09 — newest product published on own Shopify store (Blue Printed… | Marketplace-familiar: Aza Fashions); Ogaan) | Independent/emerging tier — fame not a factor</t>
        </is>
      </c>
      <c r="Z52" s="2" t="inlineStr">
        <is>
          <t>Lead with the label's craft and name. Ask how made-to-order/bridal enquiries reach them today. Position Uepaki as an additional professional channel, not a replacement for stockists.</t>
        </is>
      </c>
      <c r="AA52" s="2" t="inlineStr">
        <is>
          <t>Already has own D2C store and established multi-designer stockists</t>
        </is>
      </c>
      <c r="AB52" s="2" t="inlineStr">
        <is>
          <t>Own D2C store/stockists already; "who else is on it?"; commission vs stockist margin</t>
        </is>
      </c>
      <c r="AC52" s="2" t="inlineStr">
        <is>
          <t>E03-CTA-B Written terms + registration link</t>
        </is>
      </c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/>
      <c r="AN52" s="2" t="inlineStr"/>
      <c r="AO52" s="2" t="inlineStr"/>
      <c r="AP52" s="2" t="inlineStr"/>
      <c r="AQ52" s="2" t="inlineStr"/>
      <c r="AR52" s="2" t="inlineStr"/>
      <c r="AS52" s="2" t="inlineStr"/>
      <c r="AT52" s="2" t="inlineStr"/>
      <c r="AU52" s="2" t="inlineStr"/>
      <c r="AV52" s="2" t="inlineStr"/>
      <c r="AW52" s="2" t="inlineStr"/>
      <c r="AX52" s="2" t="inlineStr"/>
    </row>
    <row r="53">
      <c r="A53" s="2" t="n">
        <v>52</v>
      </c>
      <c r="B53" s="2" t="inlineStr">
        <is>
          <t>Wave 1 — Founding cohort</t>
        </is>
      </c>
      <c r="C53" s="2" t="inlineStr">
        <is>
          <t>UPK2-FL-186</t>
        </is>
      </c>
      <c r="D53" s="2" t="inlineStr">
        <is>
          <t>Parul And Preyanka</t>
        </is>
      </c>
      <c r="E53" s="2" t="inlineStr">
        <is>
          <t>Fashion &amp; Lifestyle</t>
        </is>
      </c>
      <c r="F53" s="2" t="inlineStr">
        <is>
          <t>FL-OCCASION-BRIDAL</t>
        </is>
      </c>
      <c r="G53" s="2" t="inlineStr">
        <is>
          <t>Wedding &amp; Occasion</t>
        </is>
      </c>
      <c r="H53" s="2" t="inlineStr">
        <is>
          <t>Occasion &amp; bridal wear (lehengas, sarees, festive sets)</t>
        </is>
      </c>
      <c r="I53" s="2" t="inlineStr">
        <is>
          <t>Delhi NCR</t>
        </is>
      </c>
      <c r="J53" s="2" t="inlineStr">
        <is>
          <t>B — Established Independent</t>
        </is>
      </c>
      <c r="K53" s="2" t="inlineStr">
        <is>
          <t>Label/brand (D2C store)</t>
        </is>
      </c>
      <c r="L53" s="2" t="inlineStr">
        <is>
          <t>P0</t>
        </is>
      </c>
      <c r="M53" s="2" t="inlineStr">
        <is>
          <t>P0</t>
        </is>
      </c>
      <c r="N53" s="2" t="n">
        <v>85</v>
      </c>
      <c r="O53" s="2" t="n">
        <v>98</v>
      </c>
      <c r="P53" s="2" t="n">
        <v>78</v>
      </c>
      <c r="Q53" s="2" t="n">
        <v>85</v>
      </c>
      <c r="R53" s="2" t="n">
        <v>50</v>
      </c>
      <c r="S53" s="2" t="inlineStr">
        <is>
          <t>C1-DIRECT-VERIFIED</t>
        </is>
      </c>
      <c r="T53" s="2" t="inlineStr">
        <is>
          <t>Personal 1:1 email from founder/team to published business email</t>
        </is>
      </c>
      <c r="U53" s="2" t="inlineStr">
        <is>
          <t>https://parulandpreyanka.com/pages/contact</t>
        </is>
      </c>
      <c r="V53" s="2" t="inlineStr">
        <is>
          <t>2026-09 — newest product published on own Shopify store (OLIVE BOMBER JACKET) per products.json</t>
        </is>
      </c>
      <c r="W53" s="2" t="inlineStr">
        <is>
          <t>Own online store live with 250+ products listed; stocked by multi-designer retailer(s): Aza Fashions, Ogaan</t>
        </is>
      </c>
      <c r="X53" s="2" t="inlineStr">
        <is>
          <t>Aza Fashions (stocked designer (designer index)); Ogaan (stocked designer (designer index))</t>
        </is>
      </c>
      <c r="Y53" s="2" t="inlineStr">
        <is>
          <t>Readiness 85 (top 3% in category) | Commercial: Own online store live with 250+ products listed; stocked by multi-designer retailer(s): A… | Active: 2026-09 — newest product published on own Shopify store (OLIVE BOMBER… | Marketplace-familiar: Aza Fashions); Ogaan) | Independent/emerging tier — fame not a factor</t>
        </is>
      </c>
      <c r="Z53" s="2" t="inlineStr">
        <is>
          <t>Lead with the label's craft and name. Ask how made-to-order/bridal enquiries reach them today. Position Uepaki as an additional professional channel, not a replacement for stockists.</t>
        </is>
      </c>
      <c r="AA53" s="2" t="inlineStr">
        <is>
          <t>Already has own D2C store and established multi-designer stockists</t>
        </is>
      </c>
      <c r="AB53" s="2" t="inlineStr">
        <is>
          <t>Own D2C store/stockists already; "who else is on it?"; commission vs stockist margin</t>
        </is>
      </c>
      <c r="AC53" s="2" t="inlineStr">
        <is>
          <t>E03-CTA-A Reply/15-min call</t>
        </is>
      </c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  <c r="AK53" s="2" t="inlineStr"/>
      <c r="AL53" s="2" t="inlineStr"/>
      <c r="AM53" s="2" t="inlineStr"/>
      <c r="AN53" s="2" t="inlineStr"/>
      <c r="AO53" s="2" t="inlineStr"/>
      <c r="AP53" s="2" t="inlineStr"/>
      <c r="AQ53" s="2" t="inlineStr"/>
      <c r="AR53" s="2" t="inlineStr"/>
      <c r="AS53" s="2" t="inlineStr"/>
      <c r="AT53" s="2" t="inlineStr"/>
      <c r="AU53" s="2" t="inlineStr"/>
      <c r="AV53" s="2" t="inlineStr"/>
      <c r="AW53" s="2" t="inlineStr"/>
      <c r="AX53" s="2" t="inlineStr"/>
    </row>
    <row r="54">
      <c r="A54" s="2" t="n">
        <v>53</v>
      </c>
      <c r="B54" s="2" t="inlineStr">
        <is>
          <t>Wave 1 — Founding cohort</t>
        </is>
      </c>
      <c r="C54" s="2" t="inlineStr">
        <is>
          <t>UPK2-FL-188</t>
        </is>
      </c>
      <c r="D54" s="2" t="inlineStr">
        <is>
          <t>Varnika Arora</t>
        </is>
      </c>
      <c r="E54" s="2" t="inlineStr">
        <is>
          <t>Fashion &amp; Lifestyle</t>
        </is>
      </c>
      <c r="F54" s="2" t="inlineStr">
        <is>
          <t>FL-JEWELLERY</t>
        </is>
      </c>
      <c r="G54" s="2" t="inlineStr">
        <is>
          <t>Wedding &amp; Occasion</t>
        </is>
      </c>
      <c r="H54" s="2" t="inlineStr">
        <is>
          <t>Designer jewellery</t>
        </is>
      </c>
      <c r="I54" s="2" t="inlineStr">
        <is>
          <t>Mumbai</t>
        </is>
      </c>
      <c r="J54" s="2" t="inlineStr">
        <is>
          <t>B — Established Independent</t>
        </is>
      </c>
      <c r="K54" s="2" t="inlineStr">
        <is>
          <t>Label/brand (D2C store)</t>
        </is>
      </c>
      <c r="L54" s="2" t="inlineStr">
        <is>
          <t>P0</t>
        </is>
      </c>
      <c r="M54" s="2" t="inlineStr">
        <is>
          <t>P0</t>
        </is>
      </c>
      <c r="N54" s="2" t="n">
        <v>85</v>
      </c>
      <c r="O54" s="2" t="n">
        <v>98</v>
      </c>
      <c r="P54" s="2" t="n">
        <v>78</v>
      </c>
      <c r="Q54" s="2" t="n">
        <v>85</v>
      </c>
      <c r="R54" s="2" t="n">
        <v>50</v>
      </c>
      <c r="S54" s="2" t="inlineStr">
        <is>
          <t>C1-DIRECT-VERIFIED</t>
        </is>
      </c>
      <c r="T54" s="2" t="inlineStr">
        <is>
          <t>Personal 1:1 email from founder/team to published business email</t>
        </is>
      </c>
      <c r="U54" s="2" t="inlineStr">
        <is>
          <t>https://varnikaarora.com/pages/contact-us-new</t>
        </is>
      </c>
      <c r="V54" s="2" t="inlineStr">
        <is>
          <t>2026-10 — newest product published on own Shopify store (Titan Ring) per products.json</t>
        </is>
      </c>
      <c r="W54" s="2" t="inlineStr">
        <is>
          <t>Own online store live with 250+ products listed; stocked by multi-designer retailer(s): Aza Fashions, Ogaan</t>
        </is>
      </c>
      <c r="X54" s="2" t="inlineStr">
        <is>
          <t>Aza Fashions (stocked designer (designer index)); Ogaan (stocked designer (designer index))</t>
        </is>
      </c>
      <c r="Y54" s="2" t="inlineStr">
        <is>
          <t>Readiness 85 (top 3% in category) | Commercial: Own online store live with 250+ products listed; stocked by multi-designer retailer(s): A… | Active: 2026-10 — newest product published on own Shopify store (Titan Ring)… | Marketplace-familiar: Aza Fashions); Ogaan) | Independent/emerging tier — fame not a factor</t>
        </is>
      </c>
      <c r="Z54" s="2" t="inlineStr">
        <is>
          <t>Lead with a specific collection. Position as an additional channel under the label's own name. No sales promises.</t>
        </is>
      </c>
      <c r="AA54" s="2" t="inlineStr">
        <is>
          <t>Already has own D2C store and established multi-designer stockists</t>
        </is>
      </c>
      <c r="AB54" s="2" t="inlineStr">
        <is>
          <t>Own D2C store/stockists already; "who else is on it?"; commission vs stockist margin</t>
        </is>
      </c>
      <c r="AC54" s="2" t="inlineStr">
        <is>
          <t>E03-CTA-B Written terms + registration link</t>
        </is>
      </c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  <c r="AM54" s="2" t="inlineStr"/>
      <c r="AN54" s="2" t="inlineStr"/>
      <c r="AO54" s="2" t="inlineStr"/>
      <c r="AP54" s="2" t="inlineStr"/>
      <c r="AQ54" s="2" t="inlineStr"/>
      <c r="AR54" s="2" t="inlineStr"/>
      <c r="AS54" s="2" t="inlineStr"/>
      <c r="AT54" s="2" t="inlineStr"/>
      <c r="AU54" s="2" t="inlineStr"/>
      <c r="AV54" s="2" t="inlineStr"/>
      <c r="AW54" s="2" t="inlineStr"/>
      <c r="AX54" s="2" t="inlineStr"/>
    </row>
    <row r="55">
      <c r="A55" s="2" t="n">
        <v>54</v>
      </c>
      <c r="B55" s="2" t="inlineStr">
        <is>
          <t>Wave 1 — Founding cohort</t>
        </is>
      </c>
      <c r="C55" s="2" t="inlineStr">
        <is>
          <t>UPK2-FL-185</t>
        </is>
      </c>
      <c r="D55" s="2" t="inlineStr">
        <is>
          <t>One Not Two</t>
        </is>
      </c>
      <c r="E55" s="2" t="inlineStr">
        <is>
          <t>Fashion &amp; Lifestyle</t>
        </is>
      </c>
      <c r="F55" s="2" t="inlineStr">
        <is>
          <t>FL-CONTEMPORARY</t>
        </is>
      </c>
      <c r="G55" s="2" t="inlineStr">
        <is>
          <t>Brand &amp; Everyday Style</t>
        </is>
      </c>
      <c r="H55" s="2" t="inlineStr">
        <is>
          <t>Contemporary ready-to-wear / festive pret</t>
        </is>
      </c>
      <c r="I55" s="2" t="inlineStr">
        <is>
          <t>Delhi NCR</t>
        </is>
      </c>
      <c r="J55" s="2" t="inlineStr">
        <is>
          <t>B — Established Independent</t>
        </is>
      </c>
      <c r="K55" s="2" t="inlineStr">
        <is>
          <t>Label/brand (D2C store)</t>
        </is>
      </c>
      <c r="L55" s="2" t="inlineStr">
        <is>
          <t>P0</t>
        </is>
      </c>
      <c r="M55" s="2" t="inlineStr">
        <is>
          <t>P0</t>
        </is>
      </c>
      <c r="N55" s="2" t="n">
        <v>85</v>
      </c>
      <c r="O55" s="2" t="n">
        <v>98</v>
      </c>
      <c r="P55" s="2" t="n">
        <v>78</v>
      </c>
      <c r="Q55" s="2" t="n">
        <v>85</v>
      </c>
      <c r="R55" s="2" t="n">
        <v>50</v>
      </c>
      <c r="S55" s="2" t="inlineStr">
        <is>
          <t>C1-DIRECT-VERIFIED</t>
        </is>
      </c>
      <c r="T55" s="2" t="inlineStr">
        <is>
          <t>Personal 1:1 email from founder/team to published business email</t>
        </is>
      </c>
      <c r="U55" s="2" t="inlineStr">
        <is>
          <t>https://onenottwo.com/pages/contact</t>
        </is>
      </c>
      <c r="V55" s="2" t="inlineStr">
        <is>
          <t>2026-10 — newest product published on own Shopify store (Silver silk kalidar salwar set with intricate hand embroider) per products.json</t>
        </is>
      </c>
      <c r="W55" s="2" t="inlineStr">
        <is>
          <t>Own online store live with 250+ products listed; stocked by multi-designer retailer(s): Aza Fashions, Ogaan</t>
        </is>
      </c>
      <c r="X55" s="2" t="inlineStr">
        <is>
          <t>Aza Fashions (stocked designer (designer index)); Ogaan (stocked designer (designer index))</t>
        </is>
      </c>
      <c r="Y55" s="2" t="inlineStr">
        <is>
          <t>Readiness 85 (top 3% in category) | Commercial: Own online store live with 250+ products listed; stocked by multi-designer retailer(s): A… | Active: 2026-10 — newest product published on own Shopify store (Silver silk… | Marketplace-familiar: Aza Fashions); Ogaan) | Independent/emerging tier — fame not a factor</t>
        </is>
      </c>
      <c r="Z55" s="2" t="inlineStr">
        <is>
          <t>Lead with the label's own range and identity. Position as an additional channel next to own store and stockists. No sales or reach promises.</t>
        </is>
      </c>
      <c r="AA55" s="2" t="inlineStr">
        <is>
          <t>Already has own D2C store and established multi-designer stockists</t>
        </is>
      </c>
      <c r="AB55" s="2" t="inlineStr">
        <is>
          <t>Own D2C store/stockists already; "who else is on it?"; commission vs stockist margin</t>
        </is>
      </c>
      <c r="AC55" s="2" t="inlineStr">
        <is>
          <t>E03-CTA-A Reply/15-min call</t>
        </is>
      </c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  <c r="AM55" s="2" t="inlineStr"/>
      <c r="AN55" s="2" t="inlineStr"/>
      <c r="AO55" s="2" t="inlineStr"/>
      <c r="AP55" s="2" t="inlineStr"/>
      <c r="AQ55" s="2" t="inlineStr"/>
      <c r="AR55" s="2" t="inlineStr"/>
      <c r="AS55" s="2" t="inlineStr"/>
      <c r="AT55" s="2" t="inlineStr"/>
      <c r="AU55" s="2" t="inlineStr"/>
      <c r="AV55" s="2" t="inlineStr"/>
      <c r="AW55" s="2" t="inlineStr"/>
      <c r="AX55" s="2" t="inlineStr"/>
    </row>
    <row r="56">
      <c r="A56" s="2" t="n">
        <v>55</v>
      </c>
      <c r="B56" s="2" t="inlineStr">
        <is>
          <t>Wave 1 — Founding cohort</t>
        </is>
      </c>
      <c r="C56" s="2" t="inlineStr">
        <is>
          <t>UPK2-FL-193</t>
        </is>
      </c>
      <c r="D56" s="2" t="inlineStr">
        <is>
          <t>Kharakapas</t>
        </is>
      </c>
      <c r="E56" s="2" t="inlineStr">
        <is>
          <t>Fashion &amp; Lifestyle</t>
        </is>
      </c>
      <c r="F56" s="2" t="inlineStr">
        <is>
          <t>FL-CONTEMPORARY</t>
        </is>
      </c>
      <c r="G56" s="2" t="inlineStr">
        <is>
          <t>Brand &amp; Everyday Style</t>
        </is>
      </c>
      <c r="H56" s="2" t="inlineStr">
        <is>
          <t>Contemporary ready-to-wear / festive pret</t>
        </is>
      </c>
      <c r="I56" s="2" t="inlineStr">
        <is>
          <t>Delhi NCR</t>
        </is>
      </c>
      <c r="J56" s="2" t="inlineStr">
        <is>
          <t>B — Established Independent</t>
        </is>
      </c>
      <c r="K56" s="2" t="inlineStr">
        <is>
          <t>Label/brand (D2C store)</t>
        </is>
      </c>
      <c r="L56" s="2" t="inlineStr">
        <is>
          <t>P0</t>
        </is>
      </c>
      <c r="M56" s="2" t="inlineStr">
        <is>
          <t>P0</t>
        </is>
      </c>
      <c r="N56" s="2" t="n">
        <v>84</v>
      </c>
      <c r="O56" s="2" t="n">
        <v>96</v>
      </c>
      <c r="P56" s="2" t="n">
        <v>77.5</v>
      </c>
      <c r="Q56" s="2" t="n">
        <v>85</v>
      </c>
      <c r="R56" s="2" t="n">
        <v>50</v>
      </c>
      <c r="S56" s="2" t="inlineStr">
        <is>
          <t>C1-DIRECT-VERIFIED</t>
        </is>
      </c>
      <c r="T56" s="2" t="inlineStr">
        <is>
          <t>Personal 1:1 email from founder/team to published business email</t>
        </is>
      </c>
      <c r="U56" s="2" t="inlineStr">
        <is>
          <t>https://kharakapas.com/</t>
        </is>
      </c>
      <c r="V56" s="2" t="inlineStr">
        <is>
          <t>2026-09 — newest product published on own Shopify store (Seance Set) per products.json</t>
        </is>
      </c>
      <c r="W56" s="2" t="inlineStr">
        <is>
          <t>Own online store live with 250+ products listed; stocked by multi-designer retailer(s): Aza Fashions, Ogaan</t>
        </is>
      </c>
      <c r="X56" s="2" t="inlineStr">
        <is>
          <t>Aza Fashions (stocked designer (designer index)); Ogaan (stocked designer (designer index))</t>
        </is>
      </c>
      <c r="Y56" s="2" t="inlineStr">
        <is>
          <t>Readiness 84 (top 5% in category) | Commercial: Own online store live with 250+ products listed; stocked by multi-designer retailer(s): A… | Active: 2026-09 — newest product published on own Shopify store (Seance Set)… | Marketplace-familiar: Aza Fashions); Ogaan) | Independent/emerging tier — fame not a factor</t>
        </is>
      </c>
      <c r="Z56" s="2" t="inlineStr">
        <is>
          <t>Lead with the label's own range and identity. Position as an additional channel next to own store and stockists. No sales or reach promises.</t>
        </is>
      </c>
      <c r="AA56" s="2" t="inlineStr">
        <is>
          <t>Already has own D2C store and established multi-designer stockists</t>
        </is>
      </c>
      <c r="AB56" s="2" t="inlineStr">
        <is>
          <t>Own D2C store/stockists already; "who else is on it?"; commission vs stockist margin</t>
        </is>
      </c>
      <c r="AC56" s="2" t="inlineStr">
        <is>
          <t>E03-CTA-B Written terms + registration link</t>
        </is>
      </c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  <c r="AK56" s="2" t="inlineStr"/>
      <c r="AL56" s="2" t="inlineStr"/>
      <c r="AM56" s="2" t="inlineStr"/>
      <c r="AN56" s="2" t="inlineStr"/>
      <c r="AO56" s="2" t="inlineStr"/>
      <c r="AP56" s="2" t="inlineStr"/>
      <c r="AQ56" s="2" t="inlineStr"/>
      <c r="AR56" s="2" t="inlineStr"/>
      <c r="AS56" s="2" t="inlineStr"/>
      <c r="AT56" s="2" t="inlineStr"/>
      <c r="AU56" s="2" t="inlineStr"/>
      <c r="AV56" s="2" t="inlineStr"/>
      <c r="AW56" s="2" t="inlineStr"/>
      <c r="AX56" s="2" t="inlineStr"/>
    </row>
    <row r="57">
      <c r="A57" s="2" t="n">
        <v>56</v>
      </c>
      <c r="B57" s="2" t="inlineStr">
        <is>
          <t>Wave 1 — Founding cohort</t>
        </is>
      </c>
      <c r="C57" s="2" t="inlineStr">
        <is>
          <t>UPK2-FL-012</t>
        </is>
      </c>
      <c r="D57" s="2" t="inlineStr">
        <is>
          <t>Surily G</t>
        </is>
      </c>
      <c r="E57" s="2" t="inlineStr">
        <is>
          <t>Fashion &amp; Lifestyle</t>
        </is>
      </c>
      <c r="F57" s="2" t="inlineStr">
        <is>
          <t>FL-CONTEMPORARY</t>
        </is>
      </c>
      <c r="G57" s="2" t="inlineStr">
        <is>
          <t>Brand &amp; Everyday Style</t>
        </is>
      </c>
      <c r="H57" s="2" t="inlineStr">
        <is>
          <t>Designer wear &amp; styling</t>
        </is>
      </c>
      <c r="I57" s="2" t="inlineStr">
        <is>
          <t>Mumbai</t>
        </is>
      </c>
      <c r="J57" s="2" t="inlineStr">
        <is>
          <t>C — Strong Mid-tier</t>
        </is>
      </c>
      <c r="K57" s="2" t="inlineStr">
        <is>
          <t>Label/brand + stylist</t>
        </is>
      </c>
      <c r="L57" s="2" t="inlineStr">
        <is>
          <t>P0</t>
        </is>
      </c>
      <c r="M57" s="2" t="inlineStr">
        <is>
          <t>P1</t>
        </is>
      </c>
      <c r="N57" s="2" t="n">
        <v>81.2</v>
      </c>
      <c r="O57" s="2" t="n">
        <v>85</v>
      </c>
      <c r="P57" s="2" t="n">
        <v>76.8</v>
      </c>
      <c r="Q57" s="2" t="n">
        <v>84</v>
      </c>
      <c r="R57" s="2" t="n">
        <v>55</v>
      </c>
      <c r="S57" s="2" t="inlineStr">
        <is>
          <t>C1-DIRECT-VERIFIED</t>
        </is>
      </c>
      <c r="T57" s="2" t="inlineStr">
        <is>
          <t>Personal 1:1 email from founder/team to published business email</t>
        </is>
      </c>
      <c r="U57" s="2" t="inlineStr">
        <is>
          <t>https://surilyg.com/pages/contact</t>
        </is>
      </c>
      <c r="V57" s="2" t="inlineStr">
        <is>
          <t>2026-09 — newest product published on surilyg.com</t>
        </is>
      </c>
      <c r="W57" s="2" t="inlineStr"/>
      <c r="X57" s="2" t="inlineStr">
        <is>
          <t>FDCI (member listing (registered-)); Aza Fashions (designer storefront)</t>
        </is>
      </c>
      <c r="Y57" s="2" t="inlineStr">
        <is>
          <t>Readiness 81 (top 16% in category) | Commercial:  | Active: 2026-09 — newest product published on surilyg.com</t>
        </is>
      </c>
      <c r="Z57" s="2" t="inlineStr">
        <is>
          <t>Lead with the label's own range and identity. Position as an additional channel next to own store and stockists. No sales or reach promises.</t>
        </is>
      </c>
      <c r="AA57" s="2" t="inlineStr">
        <is>
          <t>Established own D2C site and multi-designer stockists</t>
        </is>
      </c>
      <c r="AB57" s="2" t="inlineStr">
        <is>
          <t>Own D2C store/stockists already; "who else is on it?"; commission vs stockist margin</t>
        </is>
      </c>
      <c r="AC57" s="2" t="inlineStr">
        <is>
          <t>E03-CTA-A Reply/15-min call</t>
        </is>
      </c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  <c r="AK57" s="2" t="inlineStr"/>
      <c r="AL57" s="2" t="inlineStr"/>
      <c r="AM57" s="2" t="inlineStr"/>
      <c r="AN57" s="2" t="inlineStr"/>
      <c r="AO57" s="2" t="inlineStr"/>
      <c r="AP57" s="2" t="inlineStr"/>
      <c r="AQ57" s="2" t="inlineStr"/>
      <c r="AR57" s="2" t="inlineStr"/>
      <c r="AS57" s="2" t="inlineStr"/>
      <c r="AT57" s="2" t="inlineStr"/>
      <c r="AU57" s="2" t="inlineStr"/>
      <c r="AV57" s="2" t="inlineStr"/>
      <c r="AW57" s="2" t="inlineStr"/>
      <c r="AX57" s="2" t="inlineStr"/>
    </row>
    <row r="58">
      <c r="A58" s="2" t="n">
        <v>57</v>
      </c>
      <c r="B58" s="2" t="inlineStr">
        <is>
          <t>Wave 1 — Founding cohort</t>
        </is>
      </c>
      <c r="C58" s="2" t="inlineStr">
        <is>
          <t>UPK2-FL-238</t>
        </is>
      </c>
      <c r="D58" s="2" t="inlineStr">
        <is>
          <t>Plumcheeks</t>
        </is>
      </c>
      <c r="E58" s="2" t="inlineStr">
        <is>
          <t>Fashion &amp; Lifestyle</t>
        </is>
      </c>
      <c r="F58" s="2" t="inlineStr">
        <is>
          <t>FL-ACCESSORIES</t>
        </is>
      </c>
      <c r="G58" s="2" t="inlineStr">
        <is>
          <t>Brand &amp; Everyday Style</t>
        </is>
      </c>
      <c r="H58" s="2" t="inlineStr">
        <is>
          <t>Designer footwear &amp; accessories</t>
        </is>
      </c>
      <c r="I58" s="2" t="inlineStr">
        <is>
          <t>Jaipur</t>
        </is>
      </c>
      <c r="J58" s="2" t="inlineStr">
        <is>
          <t>B — Established Independent</t>
        </is>
      </c>
      <c r="K58" s="2" t="inlineStr">
        <is>
          <t>Label/brand (D2C store)</t>
        </is>
      </c>
      <c r="L58" s="2" t="inlineStr">
        <is>
          <t>P0</t>
        </is>
      </c>
      <c r="M58" s="2" t="inlineStr">
        <is>
          <t>P0</t>
        </is>
      </c>
      <c r="N58" s="2" t="n">
        <v>81.59999999999999</v>
      </c>
      <c r="O58" s="2" t="n">
        <v>90</v>
      </c>
      <c r="P58" s="2" t="n">
        <v>73.09999999999999</v>
      </c>
      <c r="Q58" s="2" t="n">
        <v>81</v>
      </c>
      <c r="R58" s="2" t="n">
        <v>40</v>
      </c>
      <c r="S58" s="2" t="inlineStr">
        <is>
          <t>C1-DIRECT-VERIFIED</t>
        </is>
      </c>
      <c r="T58" s="2" t="inlineStr">
        <is>
          <t>Personal 1:1 email from founder/team to published business email</t>
        </is>
      </c>
      <c r="U58" s="2" t="inlineStr">
        <is>
          <t>https://plumcheeks.com/pages/contact</t>
        </is>
      </c>
      <c r="V58" s="2" t="inlineStr">
        <is>
          <t>2026-09 — newest product published on own Shopify store (Pink Urban Set) per products.json</t>
        </is>
      </c>
      <c r="W58" s="2" t="inlineStr">
        <is>
          <t>Own online store live with 250+ products listed; stocked by multi-designer retailer(s): Aza Fashions</t>
        </is>
      </c>
      <c r="X58" s="2" t="inlineStr">
        <is>
          <t>Aza Fashions (stocked designer (designer index))</t>
        </is>
      </c>
      <c r="Y58" s="2" t="inlineStr">
        <is>
          <t>Readiness 82 (top 11% in category) | Commercial: Own online store live with 250+ products listed; stocked by multi-designer retailer(s): A… | Active: 2026-09 — newest product published on own Shopify store (Pink Urban S… | Independent/emerging tier — fame not a factor</t>
        </is>
      </c>
      <c r="Z58" s="2" t="inlineStr">
        <is>
          <t>Lead with a specific product line. Position as an additional channel under the label's own name.</t>
        </is>
      </c>
      <c r="AA58" s="2" t="inlineStr">
        <is>
          <t>Already has own D2C store and established multi-designer stockists</t>
        </is>
      </c>
      <c r="AB58" s="2" t="inlineStr">
        <is>
          <t>Own D2C store/stockists already; "who else is on it?"; commission vs stockist margin</t>
        </is>
      </c>
      <c r="AC58" s="2" t="inlineStr">
        <is>
          <t>E03-CTA-B Written terms + registration link</t>
        </is>
      </c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  <c r="AK58" s="2" t="inlineStr"/>
      <c r="AL58" s="2" t="inlineStr"/>
      <c r="AM58" s="2" t="inlineStr"/>
      <c r="AN58" s="2" t="inlineStr"/>
      <c r="AO58" s="2" t="inlineStr"/>
      <c r="AP58" s="2" t="inlineStr"/>
      <c r="AQ58" s="2" t="inlineStr"/>
      <c r="AR58" s="2" t="inlineStr"/>
      <c r="AS58" s="2" t="inlineStr"/>
      <c r="AT58" s="2" t="inlineStr"/>
      <c r="AU58" s="2" t="inlineStr"/>
      <c r="AV58" s="2" t="inlineStr"/>
      <c r="AW58" s="2" t="inlineStr"/>
      <c r="AX58" s="2" t="inlineStr"/>
    </row>
    <row r="59">
      <c r="A59" s="2" t="n">
        <v>58</v>
      </c>
      <c r="B59" s="2" t="inlineStr">
        <is>
          <t>Wave 1 — Founding cohort</t>
        </is>
      </c>
      <c r="C59" s="2" t="inlineStr">
        <is>
          <t>UPK2-FL-220</t>
        </is>
      </c>
      <c r="D59" s="2" t="inlineStr">
        <is>
          <t>Kaaj Button</t>
        </is>
      </c>
      <c r="E59" s="2" t="inlineStr">
        <is>
          <t>Fashion &amp; Lifestyle</t>
        </is>
      </c>
      <c r="F59" s="2" t="inlineStr">
        <is>
          <t>FL-MENSWEAR</t>
        </is>
      </c>
      <c r="G59" s="2" t="inlineStr">
        <is>
          <t>Wedding &amp; Occasion</t>
        </is>
      </c>
      <c r="H59" s="2" t="inlineStr">
        <is>
          <t>Menswear / groomswear</t>
        </is>
      </c>
      <c r="I59" s="2" t="inlineStr">
        <is>
          <t>Mumbai</t>
        </is>
      </c>
      <c r="J59" s="2" t="inlineStr">
        <is>
          <t>B — Established Independent</t>
        </is>
      </c>
      <c r="K59" s="2" t="inlineStr">
        <is>
          <t>Label/brand (D2C store)</t>
        </is>
      </c>
      <c r="L59" s="2" t="inlineStr">
        <is>
          <t>P0</t>
        </is>
      </c>
      <c r="M59" s="2" t="inlineStr">
        <is>
          <t>P0</t>
        </is>
      </c>
      <c r="N59" s="2" t="n">
        <v>81.59999999999999</v>
      </c>
      <c r="O59" s="2" t="n">
        <v>90</v>
      </c>
      <c r="P59" s="2" t="n">
        <v>73.09999999999999</v>
      </c>
      <c r="Q59" s="2" t="n">
        <v>81</v>
      </c>
      <c r="R59" s="2" t="n">
        <v>40</v>
      </c>
      <c r="S59" s="2" t="inlineStr">
        <is>
          <t>C1-DIRECT-VERIFIED</t>
        </is>
      </c>
      <c r="T59" s="2" t="inlineStr">
        <is>
          <t>Personal 1:1 email from founder/team to published business email</t>
        </is>
      </c>
      <c r="U59" s="2" t="inlineStr">
        <is>
          <t>https://kaajbuttonstudio.com/pages/contact</t>
        </is>
      </c>
      <c r="V59" s="2" t="inlineStr">
        <is>
          <t>2026-09 — newest product published on own Shopify store (Warli Kurta Set) per products.json</t>
        </is>
      </c>
      <c r="W59" s="2" t="inlineStr">
        <is>
          <t>Own online store live with 190 products listed; stocked by multi-designer retailer(s): Aza Fashions</t>
        </is>
      </c>
      <c r="X59" s="2" t="inlineStr">
        <is>
          <t>Aza Fashions (stocked designer (designer index))</t>
        </is>
      </c>
      <c r="Y59" s="2" t="inlineStr">
        <is>
          <t>Readiness 82 (top 11% in category) | Commercial: Own online store live with 190 products listed; stocked by multi-designer retailer(s): Az… | Active: 2026-09 — newest product published on own Shopify store (Warli Kurta… | Independent/emerging tier — fame not a factor</t>
        </is>
      </c>
      <c r="Z59" s="2" t="inlineStr">
        <is>
          <t>Lead with groomswear/menswear craft; link to the Wedding &amp; Occasion founding pod in their city.</t>
        </is>
      </c>
      <c r="AA59" s="2" t="inlineStr">
        <is>
          <t>Already has own D2C store and established multi-designer stockists</t>
        </is>
      </c>
      <c r="AB59" s="2" t="inlineStr">
        <is>
          <t>Own D2C store/stockists already; "who else is on it?"; commission vs stockist margin</t>
        </is>
      </c>
      <c r="AC59" s="2" t="inlineStr">
        <is>
          <t>E03-CTA-A Reply/15-min call</t>
        </is>
      </c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  <c r="AK59" s="2" t="inlineStr"/>
      <c r="AL59" s="2" t="inlineStr"/>
      <c r="AM59" s="2" t="inlineStr"/>
      <c r="AN59" s="2" t="inlineStr"/>
      <c r="AO59" s="2" t="inlineStr"/>
      <c r="AP59" s="2" t="inlineStr"/>
      <c r="AQ59" s="2" t="inlineStr"/>
      <c r="AR59" s="2" t="inlineStr"/>
      <c r="AS59" s="2" t="inlineStr"/>
      <c r="AT59" s="2" t="inlineStr"/>
      <c r="AU59" s="2" t="inlineStr"/>
      <c r="AV59" s="2" t="inlineStr"/>
      <c r="AW59" s="2" t="inlineStr"/>
      <c r="AX59" s="2" t="inlineStr"/>
    </row>
    <row r="60">
      <c r="A60" s="2" t="n">
        <v>59</v>
      </c>
      <c r="B60" s="2" t="inlineStr">
        <is>
          <t>Wave 1 — Founding cohort</t>
        </is>
      </c>
      <c r="C60" s="2" t="inlineStr">
        <is>
          <t>UPK2-FL-201</t>
        </is>
      </c>
      <c r="D60" s="2" t="inlineStr">
        <is>
          <t>Amit Behki</t>
        </is>
      </c>
      <c r="E60" s="2" t="inlineStr">
        <is>
          <t>Fashion &amp; Lifestyle</t>
        </is>
      </c>
      <c r="F60" s="2" t="inlineStr">
        <is>
          <t>FL-MENSWEAR</t>
        </is>
      </c>
      <c r="G60" s="2" t="inlineStr">
        <is>
          <t>Wedding &amp; Occasion</t>
        </is>
      </c>
      <c r="H60" s="2" t="inlineStr">
        <is>
          <t>Menswear / groomswear</t>
        </is>
      </c>
      <c r="I60" s="2" t="inlineStr">
        <is>
          <t>Delhi NCR</t>
        </is>
      </c>
      <c r="J60" s="2" t="inlineStr">
        <is>
          <t>B — Established Independent</t>
        </is>
      </c>
      <c r="K60" s="2" t="inlineStr">
        <is>
          <t>Label/brand (D2C store)</t>
        </is>
      </c>
      <c r="L60" s="2" t="inlineStr">
        <is>
          <t>P0</t>
        </is>
      </c>
      <c r="M60" s="2" t="inlineStr">
        <is>
          <t>P0</t>
        </is>
      </c>
      <c r="N60" s="2" t="n">
        <v>81.59999999999999</v>
      </c>
      <c r="O60" s="2" t="n">
        <v>90</v>
      </c>
      <c r="P60" s="2" t="n">
        <v>73.09999999999999</v>
      </c>
      <c r="Q60" s="2" t="n">
        <v>81</v>
      </c>
      <c r="R60" s="2" t="n">
        <v>40</v>
      </c>
      <c r="S60" s="2" t="inlineStr">
        <is>
          <t>C1-DIRECT-VERIFIED</t>
        </is>
      </c>
      <c r="T60" s="2" t="inlineStr">
        <is>
          <t>Personal 1:1 email from founder/team to published business email</t>
        </is>
      </c>
      <c r="U60" s="2" t="inlineStr">
        <is>
          <t>https://amitbehki.com/pages/contact</t>
        </is>
      </c>
      <c r="V60" s="2" t="inlineStr">
        <is>
          <t>2026-09 — newest product published on own Shopify store (Cocktail fusion blazer set) per products.json</t>
        </is>
      </c>
      <c r="W60" s="2" t="inlineStr">
        <is>
          <t>Own online store live with 138 products listed; stocked by multi-designer retailer(s): Aza Fashions</t>
        </is>
      </c>
      <c r="X60" s="2" t="inlineStr">
        <is>
          <t>Aza Fashions (stocked designer (designer index))</t>
        </is>
      </c>
      <c r="Y60" s="2" t="inlineStr">
        <is>
          <t>Readiness 82 (top 11% in category) | Commercial: Own online store live with 138 products listed; stocked by multi-designer retailer(s): Az… | Active: 2026-09 — newest product published on own Shopify store (Cocktail fus… | Independent/emerging tier — fame not a factor</t>
        </is>
      </c>
      <c r="Z60" s="2" t="inlineStr">
        <is>
          <t>Lead with groomswear/menswear craft; link to the Wedding &amp; Occasion founding pod in their city.</t>
        </is>
      </c>
      <c r="AA60" s="2" t="inlineStr">
        <is>
          <t>Already has own D2C store and established multi-designer stockists</t>
        </is>
      </c>
      <c r="AB60" s="2" t="inlineStr">
        <is>
          <t>Own D2C store/stockists already; "who else is on it?"; commission vs stockist margin</t>
        </is>
      </c>
      <c r="AC60" s="2" t="inlineStr">
        <is>
          <t>E03-CTA-B Written terms + registration link</t>
        </is>
      </c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  <c r="AK60" s="2" t="inlineStr"/>
      <c r="AL60" s="2" t="inlineStr"/>
      <c r="AM60" s="2" t="inlineStr"/>
      <c r="AN60" s="2" t="inlineStr"/>
      <c r="AO60" s="2" t="inlineStr"/>
      <c r="AP60" s="2" t="inlineStr"/>
      <c r="AQ60" s="2" t="inlineStr"/>
      <c r="AR60" s="2" t="inlineStr"/>
      <c r="AS60" s="2" t="inlineStr"/>
      <c r="AT60" s="2" t="inlineStr"/>
      <c r="AU60" s="2" t="inlineStr"/>
      <c r="AV60" s="2" t="inlineStr"/>
      <c r="AW60" s="2" t="inlineStr"/>
      <c r="AX60" s="2" t="inlineStr"/>
    </row>
    <row r="61">
      <c r="A61" s="2" t="n">
        <v>60</v>
      </c>
      <c r="B61" s="2" t="inlineStr">
        <is>
          <t>Wave 1 — Founding cohort</t>
        </is>
      </c>
      <c r="C61" s="2" t="inlineStr">
        <is>
          <t>UPK2-SD-316</t>
        </is>
      </c>
      <c r="D61" s="2" t="inlineStr">
        <is>
          <t>Hatsu</t>
        </is>
      </c>
      <c r="E61" s="2" t="inlineStr">
        <is>
          <t>Space &amp; Design</t>
        </is>
      </c>
      <c r="F61" s="2" t="inlineStr">
        <is>
          <t>SD-PRODUCT-MAKER</t>
        </is>
      </c>
      <c r="G61" s="2" t="inlineStr">
        <is>
          <t>Home &amp; Space</t>
        </is>
      </c>
      <c r="H61" s="2" t="inlineStr">
        <is>
          <t>Sculptural lighting, furniture &amp; rugs</t>
        </is>
      </c>
      <c r="I61" s="2" t="inlineStr">
        <is>
          <t>Mumbai</t>
        </is>
      </c>
      <c r="J61" s="2" t="inlineStr">
        <is>
          <t>C — Strong Mid-tier</t>
        </is>
      </c>
      <c r="K61" s="2" t="inlineStr">
        <is>
          <t>Design brand</t>
        </is>
      </c>
      <c r="L61" s="2" t="inlineStr">
        <is>
          <t>P0</t>
        </is>
      </c>
      <c r="M61" s="2" t="inlineStr">
        <is>
          <t>P1</t>
        </is>
      </c>
      <c r="N61" s="2" t="n">
        <v>71.5</v>
      </c>
      <c r="O61" s="2" t="n">
        <v>78</v>
      </c>
      <c r="P61" s="2" t="n">
        <v>70.59999999999999</v>
      </c>
      <c r="Q61" s="2" t="n">
        <v>76</v>
      </c>
      <c r="R61" s="2" t="n">
        <v>60</v>
      </c>
      <c r="S61" s="2" t="inlineStr">
        <is>
          <t>C1-DIRECT-VERIFIED</t>
        </is>
      </c>
      <c r="T61" s="2" t="inlineStr">
        <is>
          <t>Personal 1:1 email from founder/team to published business email</t>
        </is>
      </c>
      <c r="U61" s="2" t="inlineStr">
        <is>
          <t>https://www.hatsu.in/</t>
        </is>
      </c>
      <c r="V61" s="2" t="inlineStr">
        <is>
          <t>2026-10 — listed as exhibitor at India Design ID Mumbai 2026 (indiadesignid.com)</t>
        </is>
      </c>
      <c r="W61" s="2" t="inlineStr">
        <is>
          <t>Exhibitor at India Design ID (2022, 2024, 2025, 2026)</t>
        </is>
      </c>
      <c r="X61" s="2" t="inlineStr">
        <is>
          <t>India Design ID (exhibitor)</t>
        </is>
      </c>
      <c r="Y61" s="2" t="inlineStr">
        <is>
          <t>Readiness 72 (top 23% in category) | Commercial: Exhibitor at India Design ID (2022, 2024, 2025, 2026) | Active: 2026-10 — listed as exhibitor at India Design ID Mumbai 2026 (indiade…</t>
        </is>
      </c>
      <c r="Z61" s="2" t="inlineStr">
        <is>
          <t>Lead with a specific piece. Products and commissions under the maker's own name; link to studios in the Home &amp; Space pod.</t>
        </is>
      </c>
      <c r="AA61" s="2" t="inlineStr">
        <is>
          <t>Already sells via own site/showroom and trade fairs.</t>
        </is>
      </c>
      <c r="AB61" s="2" t="inlineStr">
        <is>
          <t>Work comes via referrals; project-based work fit; profile upkeep effort</t>
        </is>
      </c>
      <c r="AC61" s="2" t="inlineStr">
        <is>
          <t>E03-CTA-B Written terms + registration link</t>
        </is>
      </c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  <c r="AK61" s="2" t="inlineStr"/>
      <c r="AL61" s="2" t="inlineStr"/>
      <c r="AM61" s="2" t="inlineStr"/>
      <c r="AN61" s="2" t="inlineStr"/>
      <c r="AO61" s="2" t="inlineStr"/>
      <c r="AP61" s="2" t="inlineStr"/>
      <c r="AQ61" s="2" t="inlineStr"/>
      <c r="AR61" s="2" t="inlineStr"/>
      <c r="AS61" s="2" t="inlineStr"/>
      <c r="AT61" s="2" t="inlineStr"/>
      <c r="AU61" s="2" t="inlineStr"/>
      <c r="AV61" s="2" t="inlineStr"/>
      <c r="AW61" s="2" t="inlineStr"/>
      <c r="AX61" s="2" t="inlineStr"/>
    </row>
    <row r="62">
      <c r="A62" s="2" t="n">
        <v>61</v>
      </c>
      <c r="B62" s="2" t="inlineStr">
        <is>
          <t>Wave 1 — Founding cohort</t>
        </is>
      </c>
      <c r="C62" s="2" t="inlineStr">
        <is>
          <t>UPK2-SD-315</t>
        </is>
      </c>
      <c r="D62" s="2" t="inlineStr">
        <is>
          <t>Orvi</t>
        </is>
      </c>
      <c r="E62" s="2" t="inlineStr">
        <is>
          <t>Space &amp; Design</t>
        </is>
      </c>
      <c r="F62" s="2" t="inlineStr">
        <is>
          <t>SD-PRODUCT-MAKER</t>
        </is>
      </c>
      <c r="G62" s="2" t="inlineStr">
        <is>
          <t>Home &amp; Space</t>
        </is>
      </c>
      <c r="H62" s="2" t="inlineStr">
        <is>
          <t>Handcrafted surfaces, tiles &amp; home pieces</t>
        </is>
      </c>
      <c r="I62" s="2" t="inlineStr">
        <is>
          <t>Jaipur</t>
        </is>
      </c>
      <c r="J62" s="2" t="inlineStr">
        <is>
          <t>C — Strong Mid-tier</t>
        </is>
      </c>
      <c r="K62" s="2" t="inlineStr">
        <is>
          <t>Surfaces &amp; craft brand</t>
        </is>
      </c>
      <c r="L62" s="2" t="inlineStr">
        <is>
          <t>P0</t>
        </is>
      </c>
      <c r="M62" s="2" t="inlineStr">
        <is>
          <t>P1</t>
        </is>
      </c>
      <c r="N62" s="2" t="n">
        <v>71.5</v>
      </c>
      <c r="O62" s="2" t="n">
        <v>78</v>
      </c>
      <c r="P62" s="2" t="n">
        <v>70.59999999999999</v>
      </c>
      <c r="Q62" s="2" t="n">
        <v>76</v>
      </c>
      <c r="R62" s="2" t="n">
        <v>60</v>
      </c>
      <c r="S62" s="2" t="inlineStr">
        <is>
          <t>C1-DIRECT-VERIFIED</t>
        </is>
      </c>
      <c r="T62" s="2" t="inlineStr">
        <is>
          <t>Personal 1:1 email from founder/team to published business email</t>
        </is>
      </c>
      <c r="U62" s="2" t="inlineStr">
        <is>
          <t>https://orvi.com/</t>
        </is>
      </c>
      <c r="V62" s="2" t="inlineStr">
        <is>
          <t>2026-10 — listed as exhibitor at India Design ID Mumbai 2026 (indiadesignid.com)</t>
        </is>
      </c>
      <c r="W62" s="2" t="inlineStr">
        <is>
          <t>Exhibitor at India Design ID (2023, 2024, 2025, 2026)</t>
        </is>
      </c>
      <c r="X62" s="2" t="inlineStr">
        <is>
          <t>India Design ID (exhibitor)</t>
        </is>
      </c>
      <c r="Y62" s="2" t="inlineStr">
        <is>
          <t>Readiness 72 (top 23% in category) | Commercial: Exhibitor at India Design ID (2023, 2024, 2025, 2026) | Active: 2026-10 — listed as exhibitor at India Design ID Mumbai 2026 (indiade…</t>
        </is>
      </c>
      <c r="Z62" s="2" t="inlineStr">
        <is>
          <t>Lead with a specific piece. Products and commissions under the maker's own name; link to studios in the Home &amp; Space pod.</t>
        </is>
      </c>
      <c r="AA62" s="2" t="inlineStr">
        <is>
          <t>Already sells via own site/showroom and trade fairs.</t>
        </is>
      </c>
      <c r="AB62" s="2" t="inlineStr">
        <is>
          <t>Work comes via referrals; project-based work fit; profile upkeep effort</t>
        </is>
      </c>
      <c r="AC62" s="2" t="inlineStr">
        <is>
          <t>E03-CTA-A Reply/15-min call</t>
        </is>
      </c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  <c r="AK62" s="2" t="inlineStr"/>
      <c r="AL62" s="2" t="inlineStr"/>
      <c r="AM62" s="2" t="inlineStr"/>
      <c r="AN62" s="2" t="inlineStr"/>
      <c r="AO62" s="2" t="inlineStr"/>
      <c r="AP62" s="2" t="inlineStr"/>
      <c r="AQ62" s="2" t="inlineStr"/>
      <c r="AR62" s="2" t="inlineStr"/>
      <c r="AS62" s="2" t="inlineStr"/>
      <c r="AT62" s="2" t="inlineStr"/>
      <c r="AU62" s="2" t="inlineStr"/>
      <c r="AV62" s="2" t="inlineStr"/>
      <c r="AW62" s="2" t="inlineStr"/>
      <c r="AX62" s="2" t="inlineStr"/>
    </row>
    <row r="63">
      <c r="A63" s="2" t="n">
        <v>62</v>
      </c>
      <c r="B63" s="2" t="inlineStr">
        <is>
          <t>Wave 1 — Founding cohort</t>
        </is>
      </c>
      <c r="C63" s="2" t="inlineStr">
        <is>
          <t>UPK2-SD-279</t>
        </is>
      </c>
      <c r="D63" s="2" t="inlineStr">
        <is>
          <t>Pasana</t>
        </is>
      </c>
      <c r="E63" s="2" t="inlineStr">
        <is>
          <t>Space &amp; Design</t>
        </is>
      </c>
      <c r="F63" s="2" t="inlineStr">
        <is>
          <t>SD-PRODUCT-MAKER</t>
        </is>
      </c>
      <c r="G63" s="2" t="inlineStr">
        <is>
          <t>Home &amp; Space</t>
        </is>
      </c>
      <c r="H63" s="2" t="inlineStr">
        <is>
          <t>Sculptural stone furniture</t>
        </is>
      </c>
      <c r="I63" s="2" t="inlineStr">
        <is>
          <t>Jaipur</t>
        </is>
      </c>
      <c r="J63" s="2" t="inlineStr">
        <is>
          <t>B — Established Independent</t>
        </is>
      </c>
      <c r="K63" s="2" t="inlineStr">
        <is>
          <t>Furniture brand (extension of Stone Land)</t>
        </is>
      </c>
      <c r="L63" s="2" t="inlineStr">
        <is>
          <t>P0</t>
        </is>
      </c>
      <c r="M63" s="2" t="inlineStr">
        <is>
          <t>P1</t>
        </is>
      </c>
      <c r="N63" s="2" t="n">
        <v>75.2</v>
      </c>
      <c r="O63" s="2" t="n">
        <v>97</v>
      </c>
      <c r="P63" s="2" t="n">
        <v>70.3</v>
      </c>
      <c r="Q63" s="2" t="n">
        <v>79</v>
      </c>
      <c r="R63" s="2" t="n">
        <v>45</v>
      </c>
      <c r="S63" s="2" t="inlineStr">
        <is>
          <t>C1-DIRECT-VERIFIED</t>
        </is>
      </c>
      <c r="T63" s="2" t="inlineStr">
        <is>
          <t>Personal 1:1 email from founder/team to published business email</t>
        </is>
      </c>
      <c r="U63" s="2" t="inlineStr">
        <is>
          <t>https://pasana.co.in/contact-us/</t>
        </is>
      </c>
      <c r="V63" s="2" t="inlineStr">
        <is>
          <t>2026-10 — listed as exhibitor at India Design ID Mumbai 2026 (indiadesignid.com)</t>
        </is>
      </c>
      <c r="W63" s="2" t="inlineStr">
        <is>
          <t>Exhibitor at India Design ID (2025, 2026)</t>
        </is>
      </c>
      <c r="X63" s="2" t="inlineStr">
        <is>
          <t>India Design ID (exhibitor)</t>
        </is>
      </c>
      <c r="Y63" s="2" t="inlineStr">
        <is>
          <t>Readiness 75 (top 4% in category) | Commercial: Exhibitor at India Design ID (2025, 2026) | Active: 2026-10 — listed as exhibitor at India Design ID Mumbai 2026 (indiade… | Independent/emerging tier — fame not a factor</t>
        </is>
      </c>
      <c r="Z63" s="2" t="inlineStr">
        <is>
          <t>Lead with a specific piece. Products and commissions under the maker's own name; link to studios in the Home &amp; Space pod.</t>
        </is>
      </c>
      <c r="AA63" s="2" t="inlineStr">
        <is>
          <t>Already sells via own site/showroom and trade fairs.</t>
        </is>
      </c>
      <c r="AB63" s="2" t="inlineStr">
        <is>
          <t>Work comes via referrals; project-based work fit; profile upkeep effort</t>
        </is>
      </c>
      <c r="AC63" s="2" t="inlineStr">
        <is>
          <t>E03-CTA-B Written terms + registration link</t>
        </is>
      </c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  <c r="AK63" s="2" t="inlineStr"/>
      <c r="AL63" s="2" t="inlineStr"/>
      <c r="AM63" s="2" t="inlineStr"/>
      <c r="AN63" s="2" t="inlineStr"/>
      <c r="AO63" s="2" t="inlineStr"/>
      <c r="AP63" s="2" t="inlineStr"/>
      <c r="AQ63" s="2" t="inlineStr"/>
      <c r="AR63" s="2" t="inlineStr"/>
      <c r="AS63" s="2" t="inlineStr"/>
      <c r="AT63" s="2" t="inlineStr"/>
      <c r="AU63" s="2" t="inlineStr"/>
      <c r="AV63" s="2" t="inlineStr"/>
      <c r="AW63" s="2" t="inlineStr"/>
      <c r="AX63" s="2" t="inlineStr"/>
    </row>
    <row r="64">
      <c r="A64" s="2" t="n">
        <v>63</v>
      </c>
      <c r="B64" s="2" t="inlineStr">
        <is>
          <t>Wave 1 — Founding cohort</t>
        </is>
      </c>
      <c r="C64" s="2" t="inlineStr">
        <is>
          <t>UPK2-SD-278</t>
        </is>
      </c>
      <c r="D64" s="2" t="inlineStr">
        <is>
          <t>Vakr Studio</t>
        </is>
      </c>
      <c r="E64" s="2" t="inlineStr">
        <is>
          <t>Space &amp; Design</t>
        </is>
      </c>
      <c r="F64" s="2" t="inlineStr">
        <is>
          <t>SD-PRODUCT-MAKER</t>
        </is>
      </c>
      <c r="G64" s="2" t="inlineStr">
        <is>
          <t>Home &amp; Space</t>
        </is>
      </c>
      <c r="H64" s="2" t="inlineStr">
        <is>
          <t>Bespoke furniture design studio (concrete/CAD + craft)</t>
        </is>
      </c>
      <c r="I64" s="2" t="inlineStr">
        <is>
          <t>Delhi NCR</t>
        </is>
      </c>
      <c r="J64" s="2" t="inlineStr">
        <is>
          <t>B — Established Independent</t>
        </is>
      </c>
      <c r="K64" s="2" t="inlineStr">
        <is>
          <t>Furniture design studio</t>
        </is>
      </c>
      <c r="L64" s="2" t="inlineStr">
        <is>
          <t>P0</t>
        </is>
      </c>
      <c r="M64" s="2" t="inlineStr">
        <is>
          <t>P1</t>
        </is>
      </c>
      <c r="N64" s="2" t="n">
        <v>75.2</v>
      </c>
      <c r="O64" s="2" t="n">
        <v>97</v>
      </c>
      <c r="P64" s="2" t="n">
        <v>70.3</v>
      </c>
      <c r="Q64" s="2" t="n">
        <v>79</v>
      </c>
      <c r="R64" s="2" t="n">
        <v>45</v>
      </c>
      <c r="S64" s="2" t="inlineStr">
        <is>
          <t>C1-DIRECT-VERIFIED</t>
        </is>
      </c>
      <c r="T64" s="2" t="inlineStr">
        <is>
          <t>Personal 1:1 email from founder/team to published business email</t>
        </is>
      </c>
      <c r="U64" s="2" t="inlineStr">
        <is>
          <t>https://www.vakrstudio.com/</t>
        </is>
      </c>
      <c r="V64" s="2" t="inlineStr">
        <is>
          <t>2026-10 — listed as exhibitor at India Design ID Mumbai 2026 (indiadesignid.com)</t>
        </is>
      </c>
      <c r="W64" s="2" t="inlineStr">
        <is>
          <t>Exhibitor at India Design ID (2022, 2024, 2025, 2026)</t>
        </is>
      </c>
      <c r="X64" s="2" t="inlineStr">
        <is>
          <t>India Design ID (exhibitor)</t>
        </is>
      </c>
      <c r="Y64" s="2" t="inlineStr">
        <is>
          <t>Readiness 75 (top 4% in category) | Commercial: Exhibitor at India Design ID (2022, 2024, 2025, 2026) | Active: 2026-10 — listed as exhibitor at India Design ID Mumbai 2026 (indiade… | Independent/emerging tier — fame not a factor</t>
        </is>
      </c>
      <c r="Z64" s="2" t="inlineStr">
        <is>
          <t>Lead with a specific piece. Products and commissions under the maker's own name; link to studios in the Home &amp; Space pod.</t>
        </is>
      </c>
      <c r="AA64" s="2" t="inlineStr">
        <is>
          <t>Already sells via own site/showroom and trade fairs.</t>
        </is>
      </c>
      <c r="AB64" s="2" t="inlineStr">
        <is>
          <t>Work comes via referrals; project-based work fit; profile upkeep effort</t>
        </is>
      </c>
      <c r="AC64" s="2" t="inlineStr">
        <is>
          <t>E03-CTA-A Reply/15-min call</t>
        </is>
      </c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  <c r="AK64" s="2" t="inlineStr"/>
      <c r="AL64" s="2" t="inlineStr"/>
      <c r="AM64" s="2" t="inlineStr"/>
      <c r="AN64" s="2" t="inlineStr"/>
      <c r="AO64" s="2" t="inlineStr"/>
      <c r="AP64" s="2" t="inlineStr"/>
      <c r="AQ64" s="2" t="inlineStr"/>
      <c r="AR64" s="2" t="inlineStr"/>
      <c r="AS64" s="2" t="inlineStr"/>
      <c r="AT64" s="2" t="inlineStr"/>
      <c r="AU64" s="2" t="inlineStr"/>
      <c r="AV64" s="2" t="inlineStr"/>
      <c r="AW64" s="2" t="inlineStr"/>
      <c r="AX64" s="2" t="inlineStr"/>
    </row>
    <row r="65">
      <c r="A65" s="2" t="n">
        <v>64</v>
      </c>
      <c r="B65" s="2" t="inlineStr">
        <is>
          <t>Wave 1 — Founding cohort</t>
        </is>
      </c>
      <c r="C65" s="2" t="inlineStr">
        <is>
          <t>UPK2-SD-053</t>
        </is>
      </c>
      <c r="D65" s="2" t="inlineStr">
        <is>
          <t>IDEAS (Ideas Jaipur)</t>
        </is>
      </c>
      <c r="E65" s="2" t="inlineStr">
        <is>
          <t>Space &amp; Design</t>
        </is>
      </c>
      <c r="F65" s="2" t="inlineStr">
        <is>
          <t>SD-ARCHITECTURE</t>
        </is>
      </c>
      <c r="G65" s="2" t="inlineStr">
        <is>
          <t>Home &amp; Space</t>
        </is>
      </c>
      <c r="H65" s="2" t="inlineStr">
        <is>
          <t>Architecture, urban planning, interiors</t>
        </is>
      </c>
      <c r="I65" s="2" t="inlineStr">
        <is>
          <t>Jaipur</t>
        </is>
      </c>
      <c r="J65" s="2" t="inlineStr">
        <is>
          <t>C — Strong Mid-tier</t>
        </is>
      </c>
      <c r="K65" s="2" t="inlineStr">
        <is>
          <t>Design studio/practice</t>
        </is>
      </c>
      <c r="L65" s="2" t="inlineStr">
        <is>
          <t>P0</t>
        </is>
      </c>
      <c r="M65" s="2" t="inlineStr">
        <is>
          <t>P1</t>
        </is>
      </c>
      <c r="N65" s="2" t="n">
        <v>74.2</v>
      </c>
      <c r="O65" s="2" t="n">
        <v>92</v>
      </c>
      <c r="P65" s="2" t="n">
        <v>68.59999999999999</v>
      </c>
      <c r="Q65" s="2" t="n">
        <v>75</v>
      </c>
      <c r="R65" s="2" t="n">
        <v>45</v>
      </c>
      <c r="S65" s="2" t="inlineStr">
        <is>
          <t>C1-DIRECT-VERIFIED</t>
        </is>
      </c>
      <c r="T65" s="2" t="inlineStr">
        <is>
          <t>Personal 1:1 email from founder/team to published business email</t>
        </is>
      </c>
      <c r="U65" s="2" t="inlineStr">
        <is>
          <t>https://ideasjaipur.com/</t>
        </is>
      </c>
      <c r="V65" s="2" t="inlineStr">
        <is>
          <t>2026-09 — TAD50 Edition 2</t>
        </is>
      </c>
      <c r="W65" s="2" t="inlineStr">
        <is>
          <t>Founded 1997; TAD50 2026</t>
        </is>
      </c>
      <c r="X65" s="2" t="inlineStr">
        <is>
          <t>The Architects Diary (Editorial feature/list)</t>
        </is>
      </c>
      <c r="Y65" s="2" t="inlineStr">
        <is>
          <t>Readiness 74 (top 9% in category) | Commercial: Founded 1997; TAD50 2026 | Active: 2026-09 — TAD50 Edition 2</t>
        </is>
      </c>
      <c r="Z65" s="2" t="inlineStr">
        <is>
          <t>Lead with a specific built project. Present Uepaki as a professional home for the practice's services and project work under its own name. No lead promises.</t>
        </is>
      </c>
      <c r="AA65" s="2" t="inlineStr">
        <is>
          <t>Established practice with steady referral/press pipeline; may see limited need for another channel</t>
        </is>
      </c>
      <c r="AB65" s="2" t="inlineStr">
        <is>
          <t>Work comes via referrals; project-based work fit; profile upkeep effort</t>
        </is>
      </c>
      <c r="AC65" s="2" t="inlineStr">
        <is>
          <t>E03-CTA-B Written terms + registration link</t>
        </is>
      </c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  <c r="AK65" s="2" t="inlineStr"/>
      <c r="AL65" s="2" t="inlineStr"/>
      <c r="AM65" s="2" t="inlineStr"/>
      <c r="AN65" s="2" t="inlineStr"/>
      <c r="AO65" s="2" t="inlineStr"/>
      <c r="AP65" s="2" t="inlineStr"/>
      <c r="AQ65" s="2" t="inlineStr"/>
      <c r="AR65" s="2" t="inlineStr"/>
      <c r="AS65" s="2" t="inlineStr"/>
      <c r="AT65" s="2" t="inlineStr"/>
      <c r="AU65" s="2" t="inlineStr"/>
      <c r="AV65" s="2" t="inlineStr"/>
      <c r="AW65" s="2" t="inlineStr"/>
      <c r="AX65" s="2" t="inlineStr"/>
    </row>
    <row r="66">
      <c r="A66" s="2" t="n">
        <v>65</v>
      </c>
      <c r="B66" s="2" t="inlineStr">
        <is>
          <t>Wave 1 — Founding cohort</t>
        </is>
      </c>
      <c r="C66" s="2" t="inlineStr">
        <is>
          <t>UPK2-SD-302</t>
        </is>
      </c>
      <c r="D66" s="2" t="inlineStr">
        <is>
          <t>groupDCA</t>
        </is>
      </c>
      <c r="E66" s="2" t="inlineStr">
        <is>
          <t>Space &amp; Design</t>
        </is>
      </c>
      <c r="F66" s="2" t="inlineStr">
        <is>
          <t>SD-ARCHITECTURE</t>
        </is>
      </c>
      <c r="G66" s="2" t="inlineStr">
        <is>
          <t>Home &amp; Space</t>
        </is>
      </c>
      <c r="H66" s="2" t="inlineStr">
        <is>
          <t>Architecture &amp; interior design studio</t>
        </is>
      </c>
      <c r="I66" s="2" t="inlineStr">
        <is>
          <t>Delhi NCR</t>
        </is>
      </c>
      <c r="J66" s="2" t="inlineStr">
        <is>
          <t>C — Strong Mid-tier</t>
        </is>
      </c>
      <c r="K66" s="2" t="inlineStr">
        <is>
          <t>Design studio / practice</t>
        </is>
      </c>
      <c r="L66" s="2" t="inlineStr">
        <is>
          <t>P0</t>
        </is>
      </c>
      <c r="M66" s="2" t="inlineStr">
        <is>
          <t>P1</t>
        </is>
      </c>
      <c r="N66" s="2" t="n">
        <v>72.09999999999999</v>
      </c>
      <c r="O66" s="2" t="n">
        <v>83</v>
      </c>
      <c r="P66" s="2" t="n">
        <v>68.2</v>
      </c>
      <c r="Q66" s="2" t="n">
        <v>74</v>
      </c>
      <c r="R66" s="2" t="n">
        <v>50</v>
      </c>
      <c r="S66" s="2" t="inlineStr">
        <is>
          <t>C1-DIRECT-VERIFIED</t>
        </is>
      </c>
      <c r="T66" s="2" t="inlineStr">
        <is>
          <t>Personal 1:1 email from founder/team to published business email</t>
        </is>
      </c>
      <c r="U66" s="2" t="inlineStr">
        <is>
          <t>https://groupdca.in/contact/</t>
        </is>
      </c>
      <c r="V66" s="2" t="inlineStr">
        <is>
          <t>2026-10 — own-site sitemap lastmod</t>
        </is>
      </c>
      <c r="W66" s="2" t="inlineStr">
        <is>
          <t>Residential Architecture Design, Bandh Road, Chhatarpur, Delhi (The Architects Diary 2025-09)</t>
        </is>
      </c>
      <c r="X66" s="2" t="inlineStr">
        <is>
          <t>The Architects Diary (Editorial project feature)</t>
        </is>
      </c>
      <c r="Y66" s="2" t="inlineStr">
        <is>
          <t>Readiness 72 (top 18% in category) | Commercial: Residential Architecture Design, Bandh Road, Chhatarpur, Delhi (The Architects Diary 2025… | Active: 2026-10 — own-site sitemap lastmod</t>
        </is>
      </c>
      <c r="Z66" s="2" t="inlineStr">
        <is>
          <t>Lead with a specific built project. Present Uepaki as a professional home for the practice's services and project work under its own name. No lead promises.</t>
        </is>
      </c>
      <c r="AA66" s="2" t="inlineStr">
        <is>
          <t>Established pipeline via referrals and trade media</t>
        </is>
      </c>
      <c r="AB66" s="2" t="inlineStr">
        <is>
          <t>Work comes via referrals; project-based work fit; profile upkeep effort</t>
        </is>
      </c>
      <c r="AC66" s="2" t="inlineStr">
        <is>
          <t>E03-CTA-A Reply/15-min call</t>
        </is>
      </c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  <c r="AK66" s="2" t="inlineStr"/>
      <c r="AL66" s="2" t="inlineStr"/>
      <c r="AM66" s="2" t="inlineStr"/>
      <c r="AN66" s="2" t="inlineStr"/>
      <c r="AO66" s="2" t="inlineStr"/>
      <c r="AP66" s="2" t="inlineStr"/>
      <c r="AQ66" s="2" t="inlineStr"/>
      <c r="AR66" s="2" t="inlineStr"/>
      <c r="AS66" s="2" t="inlineStr"/>
      <c r="AT66" s="2" t="inlineStr"/>
      <c r="AU66" s="2" t="inlineStr"/>
      <c r="AV66" s="2" t="inlineStr"/>
      <c r="AW66" s="2" t="inlineStr"/>
      <c r="AX66" s="2" t="inlineStr"/>
    </row>
    <row r="67">
      <c r="A67" s="2" t="n">
        <v>66</v>
      </c>
      <c r="B67" s="2" t="inlineStr">
        <is>
          <t>Wave 1 — Founding cohort</t>
        </is>
      </c>
      <c r="C67" s="2" t="inlineStr">
        <is>
          <t>UPK2-SD-003</t>
        </is>
      </c>
      <c r="D67" s="2" t="inlineStr">
        <is>
          <t>Navrasa</t>
        </is>
      </c>
      <c r="E67" s="2" t="inlineStr">
        <is>
          <t>Space &amp; Design</t>
        </is>
      </c>
      <c r="F67" s="2" t="inlineStr">
        <is>
          <t>SD-INTERIOR</t>
        </is>
      </c>
      <c r="G67" s="2" t="inlineStr">
        <is>
          <t>Home &amp; Space</t>
        </is>
      </c>
      <c r="H67" s="2" t="inlineStr">
        <is>
          <t>Interior design studio</t>
        </is>
      </c>
      <c r="I67" s="2" t="inlineStr">
        <is>
          <t>Delhi NCR</t>
        </is>
      </c>
      <c r="J67" s="2" t="inlineStr">
        <is>
          <t>B — Established Independent</t>
        </is>
      </c>
      <c r="K67" s="2" t="inlineStr">
        <is>
          <t>Design studio/practice</t>
        </is>
      </c>
      <c r="L67" s="2" t="inlineStr">
        <is>
          <t>P0</t>
        </is>
      </c>
      <c r="M67" s="2" t="inlineStr">
        <is>
          <t>P0</t>
        </is>
      </c>
      <c r="N67" s="2" t="n">
        <v>76.09999999999999</v>
      </c>
      <c r="O67" s="2" t="n">
        <v>99</v>
      </c>
      <c r="P67" s="2" t="n">
        <v>68.09999999999999</v>
      </c>
      <c r="Q67" s="2" t="n">
        <v>77</v>
      </c>
      <c r="R67" s="2" t="n">
        <v>35</v>
      </c>
      <c r="S67" s="2" t="inlineStr">
        <is>
          <t>C1-DIRECT-VERIFIED</t>
        </is>
      </c>
      <c r="T67" s="2" t="inlineStr">
        <is>
          <t>Personal 1:1 email from founder/team to published business email</t>
        </is>
      </c>
      <c r="U67" s="2" t="inlineStr">
        <is>
          <t>https://nav-rasa.com/</t>
        </is>
      </c>
      <c r="V67" s="2" t="inlineStr">
        <is>
          <t>2026-09 — TAD Discovery Delhi NCR 20</t>
        </is>
      </c>
      <c r="W67" s="2" t="inlineStr">
        <is>
          <t>60+ homes in five years; Ashwan House (Gurugram)</t>
        </is>
      </c>
      <c r="X67" s="2" t="inlineStr">
        <is>
          <t>The Architects Diary (Editorial feature/list); The Architects Diary (Editorial feature/list)</t>
        </is>
      </c>
      <c r="Y67" s="2" t="inlineStr">
        <is>
          <t>Readiness 76 (top 2% in category) | Commercial: 60+ homes in five years; Ashwan House (Gurugram) | Active: 2026-09 — TAD Discovery Delhi NCR 20 | Independent/emerging tier — fame not a factor</t>
        </is>
      </c>
      <c r="Z67" s="2" t="inlineStr">
        <is>
          <t>Lead with a specific interior project. Services and project work under the studio's own name. No enquiry promises.</t>
        </is>
      </c>
      <c r="AA67" s="2" t="inlineStr">
        <is>
          <t>Small team; may prioritise direct client work and Instagram over new platforms</t>
        </is>
      </c>
      <c r="AB67" s="2" t="inlineStr">
        <is>
          <t>Work comes via referrals; project-based work fit; profile upkeep effort</t>
        </is>
      </c>
      <c r="AC67" s="2" t="inlineStr">
        <is>
          <t>E03-CTA-B Written terms + registration link</t>
        </is>
      </c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  <c r="AK67" s="2" t="inlineStr"/>
      <c r="AL67" s="2" t="inlineStr"/>
      <c r="AM67" s="2" t="inlineStr"/>
      <c r="AN67" s="2" t="inlineStr"/>
      <c r="AO67" s="2" t="inlineStr"/>
      <c r="AP67" s="2" t="inlineStr"/>
      <c r="AQ67" s="2" t="inlineStr"/>
      <c r="AR67" s="2" t="inlineStr"/>
      <c r="AS67" s="2" t="inlineStr"/>
      <c r="AT67" s="2" t="inlineStr"/>
      <c r="AU67" s="2" t="inlineStr"/>
      <c r="AV67" s="2" t="inlineStr"/>
      <c r="AW67" s="2" t="inlineStr"/>
      <c r="AX67" s="2" t="inlineStr"/>
    </row>
    <row r="68">
      <c r="A68" s="2" t="n">
        <v>67</v>
      </c>
      <c r="B68" s="2" t="inlineStr">
        <is>
          <t>Wave 1 — Founding cohort</t>
        </is>
      </c>
      <c r="C68" s="2" t="inlineStr">
        <is>
          <t>UPK2-SD-076</t>
        </is>
      </c>
      <c r="D68" s="2" t="inlineStr">
        <is>
          <t>Wright Inspires</t>
        </is>
      </c>
      <c r="E68" s="2" t="inlineStr">
        <is>
          <t>Space &amp; Design</t>
        </is>
      </c>
      <c r="F68" s="2" t="inlineStr">
        <is>
          <t>SD-ARCHITECTURE</t>
        </is>
      </c>
      <c r="G68" s="2" t="inlineStr">
        <is>
          <t>Home &amp; Space</t>
        </is>
      </c>
      <c r="H68" s="2" t="inlineStr">
        <is>
          <t>Architecture &amp; interior design studio</t>
        </is>
      </c>
      <c r="I68" s="2" t="inlineStr">
        <is>
          <t>Bengaluru</t>
        </is>
      </c>
      <c r="J68" s="2" t="inlineStr">
        <is>
          <t>C — Strong Mid-tier</t>
        </is>
      </c>
      <c r="K68" s="2" t="inlineStr">
        <is>
          <t>Design studio / practice</t>
        </is>
      </c>
      <c r="L68" s="2" t="inlineStr">
        <is>
          <t>P0</t>
        </is>
      </c>
      <c r="M68" s="2" t="inlineStr">
        <is>
          <t>P1</t>
        </is>
      </c>
      <c r="N68" s="2" t="n">
        <v>71.09999999999999</v>
      </c>
      <c r="O68" s="2" t="n">
        <v>75</v>
      </c>
      <c r="P68" s="2" t="n">
        <v>67.8</v>
      </c>
      <c r="Q68" s="2" t="n">
        <v>74</v>
      </c>
      <c r="R68" s="2" t="n">
        <v>50</v>
      </c>
      <c r="S68" s="2" t="inlineStr">
        <is>
          <t>C1-DIRECT-VERIFIED</t>
        </is>
      </c>
      <c r="T68" s="2" t="inlineStr">
        <is>
          <t>Personal 1:1 email from founder/team to published business email</t>
        </is>
      </c>
      <c r="U68" s="2" t="inlineStr">
        <is>
          <t>https://wrightinspires.com/contact</t>
        </is>
      </c>
      <c r="V68" s="2" t="inlineStr">
        <is>
          <t>2026-08 — TAD feature: Inside a 30′ x 40′ Home That Makes Compact Living Feel Expansive | Wright Inspires</t>
        </is>
      </c>
      <c r="W68" s="2" t="inlineStr">
        <is>
          <t>Residential Architecture Design — Nalme, Bangalore (TAD 2026-08)</t>
        </is>
      </c>
      <c r="X68" s="2" t="inlineStr">
        <is>
          <t>The Architects Diary (Editorial project feature (3 in 2025–26))</t>
        </is>
      </c>
      <c r="Y68" s="2" t="inlineStr">
        <is>
          <t>Readiness 71 (top 26% in category) | Commercial: Residential Architecture Design — Nalme, Bangalore (TAD 2026-08) | Active: 2026-08 — TAD feature: Inside a 30′ x 40′ Home That Makes Compact Liv…</t>
        </is>
      </c>
      <c r="Z68" s="2" t="inlineStr">
        <is>
          <t>Lead with a specific built project. Present Uepaki as a professional home for the practice's services and project work under its own name. No lead promises.</t>
        </is>
      </c>
      <c r="AA68" s="2" t="inlineStr">
        <is>
          <t>Leads largely via referrals/own site and trade-media features</t>
        </is>
      </c>
      <c r="AB68" s="2" t="inlineStr">
        <is>
          <t>Work comes via referrals; project-based work fit; profile upkeep effort</t>
        </is>
      </c>
      <c r="AC68" s="2" t="inlineStr">
        <is>
          <t>E03-CTA-A Reply/15-min call</t>
        </is>
      </c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  <c r="AK68" s="2" t="inlineStr"/>
      <c r="AL68" s="2" t="inlineStr"/>
      <c r="AM68" s="2" t="inlineStr"/>
      <c r="AN68" s="2" t="inlineStr"/>
      <c r="AO68" s="2" t="inlineStr"/>
      <c r="AP68" s="2" t="inlineStr"/>
      <c r="AQ68" s="2" t="inlineStr"/>
      <c r="AR68" s="2" t="inlineStr"/>
      <c r="AS68" s="2" t="inlineStr"/>
      <c r="AT68" s="2" t="inlineStr"/>
      <c r="AU68" s="2" t="inlineStr"/>
      <c r="AV68" s="2" t="inlineStr"/>
      <c r="AW68" s="2" t="inlineStr"/>
      <c r="AX68" s="2" t="inlineStr"/>
    </row>
    <row r="69">
      <c r="A69" s="2" t="n">
        <v>68</v>
      </c>
      <c r="B69" s="2" t="inlineStr">
        <is>
          <t>Wave 1 — Founding cohort</t>
        </is>
      </c>
      <c r="C69" s="2" t="inlineStr">
        <is>
          <t>UPK2-SD-329</t>
        </is>
      </c>
      <c r="D69" s="2" t="inlineStr">
        <is>
          <t>Basics Architects</t>
        </is>
      </c>
      <c r="E69" s="2" t="inlineStr">
        <is>
          <t>Space &amp; Design</t>
        </is>
      </c>
      <c r="F69" s="2" t="inlineStr">
        <is>
          <t>SD-ARCHITECTURE</t>
        </is>
      </c>
      <c r="G69" s="2" t="inlineStr">
        <is>
          <t>Home &amp; Space</t>
        </is>
      </c>
      <c r="H69" s="2" t="inlineStr">
        <is>
          <t>Architecture &amp; interior design studio</t>
        </is>
      </c>
      <c r="I69" s="2" t="inlineStr">
        <is>
          <t>Delhi NCR</t>
        </is>
      </c>
      <c r="J69" s="2" t="inlineStr">
        <is>
          <t>C — Strong Mid-tier</t>
        </is>
      </c>
      <c r="K69" s="2" t="inlineStr">
        <is>
          <t>Design studio / practice</t>
        </is>
      </c>
      <c r="L69" s="2" t="inlineStr">
        <is>
          <t>P0</t>
        </is>
      </c>
      <c r="M69" s="2" t="inlineStr">
        <is>
          <t>P1</t>
        </is>
      </c>
      <c r="N69" s="2" t="n">
        <v>71.09999999999999</v>
      </c>
      <c r="O69" s="2" t="n">
        <v>75</v>
      </c>
      <c r="P69" s="2" t="n">
        <v>67.8</v>
      </c>
      <c r="Q69" s="2" t="n">
        <v>74</v>
      </c>
      <c r="R69" s="2" t="n">
        <v>50</v>
      </c>
      <c r="S69" s="2" t="inlineStr">
        <is>
          <t>C1-DIRECT-VERIFIED</t>
        </is>
      </c>
      <c r="T69" s="2" t="inlineStr">
        <is>
          <t>Personal 1:1 email from founder/team to published business email</t>
        </is>
      </c>
      <c r="U69" s="2" t="inlineStr">
        <is>
          <t>https://basics.co.in/contact/</t>
        </is>
      </c>
      <c r="V69" s="2" t="inlineStr">
        <is>
          <t>2026-08 — own-site sitemap lastmod</t>
        </is>
      </c>
      <c r="W69" s="2" t="inlineStr">
        <is>
          <t>Residential Interior Design, Ludhiana (The Architects Diary 2024-09)</t>
        </is>
      </c>
      <c r="X69" s="2" t="inlineStr">
        <is>
          <t>The Architects Diary (Editorial project feature)</t>
        </is>
      </c>
      <c r="Y69" s="2" t="inlineStr">
        <is>
          <t>Readiness 71 (top 26% in category) | Commercial: Residential Interior Design, Ludhiana (The Architects Diary 2024-09) | Active: 2026-08 — own-site sitemap lastmod</t>
        </is>
      </c>
      <c r="Z69" s="2" t="inlineStr">
        <is>
          <t>Lead with a specific built project. Present Uepaki as a professional home for the practice's services and project work under its own name. No lead promises.</t>
        </is>
      </c>
      <c r="AA69" s="2" t="inlineStr">
        <is>
          <t>Established pipeline via referrals and trade media</t>
        </is>
      </c>
      <c r="AB69" s="2" t="inlineStr">
        <is>
          <t>Work comes via referrals; project-based work fit; profile upkeep effort</t>
        </is>
      </c>
      <c r="AC69" s="2" t="inlineStr">
        <is>
          <t>E03-CTA-B Written terms + registration link</t>
        </is>
      </c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  <c r="AK69" s="2" t="inlineStr"/>
      <c r="AL69" s="2" t="inlineStr"/>
      <c r="AM69" s="2" t="inlineStr"/>
      <c r="AN69" s="2" t="inlineStr"/>
      <c r="AO69" s="2" t="inlineStr"/>
      <c r="AP69" s="2" t="inlineStr"/>
      <c r="AQ69" s="2" t="inlineStr"/>
      <c r="AR69" s="2" t="inlineStr"/>
      <c r="AS69" s="2" t="inlineStr"/>
      <c r="AT69" s="2" t="inlineStr"/>
      <c r="AU69" s="2" t="inlineStr"/>
      <c r="AV69" s="2" t="inlineStr"/>
      <c r="AW69" s="2" t="inlineStr"/>
      <c r="AX69" s="2" t="inlineStr"/>
    </row>
    <row r="70">
      <c r="A70" s="2" t="n">
        <v>69</v>
      </c>
      <c r="B70" s="2" t="inlineStr">
        <is>
          <t>Wave 1 — Founding cohort</t>
        </is>
      </c>
      <c r="C70" s="2" t="inlineStr">
        <is>
          <t>UPK2-SD-061</t>
        </is>
      </c>
      <c r="D70" s="2" t="inlineStr">
        <is>
          <t>Tanisha Bansal Interiors</t>
        </is>
      </c>
      <c r="E70" s="2" t="inlineStr">
        <is>
          <t>Space &amp; Design</t>
        </is>
      </c>
      <c r="F70" s="2" t="inlineStr">
        <is>
          <t>SD-INTERIOR</t>
        </is>
      </c>
      <c r="G70" s="2" t="inlineStr">
        <is>
          <t>Home &amp; Space</t>
        </is>
      </c>
      <c r="H70" s="2" t="inlineStr">
        <is>
          <t>Interior design studio</t>
        </is>
      </c>
      <c r="I70" s="2" t="inlineStr">
        <is>
          <t>Mumbai</t>
        </is>
      </c>
      <c r="J70" s="2" t="inlineStr">
        <is>
          <t>C — Strong Mid-tier</t>
        </is>
      </c>
      <c r="K70" s="2" t="inlineStr">
        <is>
          <t>Design studio / practice</t>
        </is>
      </c>
      <c r="L70" s="2" t="inlineStr">
        <is>
          <t>P0</t>
        </is>
      </c>
      <c r="M70" s="2" t="inlineStr">
        <is>
          <t>P1</t>
        </is>
      </c>
      <c r="N70" s="2" t="n">
        <v>71.09999999999999</v>
      </c>
      <c r="O70" s="2" t="n">
        <v>75</v>
      </c>
      <c r="P70" s="2" t="n">
        <v>67.8</v>
      </c>
      <c r="Q70" s="2" t="n">
        <v>74</v>
      </c>
      <c r="R70" s="2" t="n">
        <v>50</v>
      </c>
      <c r="S70" s="2" t="inlineStr">
        <is>
          <t>C1-DIRECT-VERIFIED</t>
        </is>
      </c>
      <c r="T70" s="2" t="inlineStr">
        <is>
          <t>Personal 1:1 email from founder/team to published business email</t>
        </is>
      </c>
      <c r="U70" s="2" t="inlineStr">
        <is>
          <t>https://www.tanishabansal.com/contact</t>
        </is>
      </c>
      <c r="V70" s="2" t="inlineStr">
        <is>
          <t>2026-07 — TAD feature: This Mumbai Apartment House of Coco Turns Minimalism Into Sculptural Warmth | Tanisha Bansal Interiors</t>
        </is>
      </c>
      <c r="W70" s="2" t="inlineStr">
        <is>
          <t>Residential Interior Design — House of Coco, Byculla, Mumbai (TAD 2026-07)</t>
        </is>
      </c>
      <c r="X70" s="2" t="inlineStr">
        <is>
          <t>The Architects Diary (Editorial project feature (2 in 2025–26))</t>
        </is>
      </c>
      <c r="Y70" s="2" t="inlineStr">
        <is>
          <t>Readiness 71 (top 26% in category) | Commercial: Residential Interior Design — House of Coco, Byculla, Mumbai (TAD 2026-07) | Active: 2026-07 — TAD feature: This Mumbai Apartment House of Coco Turns Mini…</t>
        </is>
      </c>
      <c r="Z70" s="2" t="inlineStr">
        <is>
          <t>Lead with a specific interior project. Services and project work under the studio's own name. No enquiry promises.</t>
        </is>
      </c>
      <c r="AA70" s="2" t="inlineStr">
        <is>
          <t>Leads largely via referrals/own site and trade-media features</t>
        </is>
      </c>
      <c r="AB70" s="2" t="inlineStr">
        <is>
          <t>Work comes via referrals; project-based work fit; profile upkeep effort</t>
        </is>
      </c>
      <c r="AC70" s="2" t="inlineStr">
        <is>
          <t>E03-CTA-A Reply/15-min call</t>
        </is>
      </c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/>
      <c r="AN70" s="2" t="inlineStr"/>
      <c r="AO70" s="2" t="inlineStr"/>
      <c r="AP70" s="2" t="inlineStr"/>
      <c r="AQ70" s="2" t="inlineStr"/>
      <c r="AR70" s="2" t="inlineStr"/>
      <c r="AS70" s="2" t="inlineStr"/>
      <c r="AT70" s="2" t="inlineStr"/>
      <c r="AU70" s="2" t="inlineStr"/>
      <c r="AV70" s="2" t="inlineStr"/>
      <c r="AW70" s="2" t="inlineStr"/>
      <c r="AX70" s="2" t="inlineStr"/>
    </row>
    <row r="71">
      <c r="A71" s="2" t="n">
        <v>70</v>
      </c>
      <c r="B71" s="2" t="inlineStr">
        <is>
          <t>Wave 1 — Founding cohort</t>
        </is>
      </c>
      <c r="C71" s="2" t="inlineStr">
        <is>
          <t>UPK2-SD-019</t>
        </is>
      </c>
      <c r="D71" s="2" t="inlineStr">
        <is>
          <t>Sage Haus (Sage Design Co)</t>
        </is>
      </c>
      <c r="E71" s="2" t="inlineStr">
        <is>
          <t>Space &amp; Design</t>
        </is>
      </c>
      <c r="F71" s="2" t="inlineStr">
        <is>
          <t>SD-INTERIOR</t>
        </is>
      </c>
      <c r="G71" s="2" t="inlineStr">
        <is>
          <t>Home &amp; Space</t>
        </is>
      </c>
      <c r="H71" s="2" t="inlineStr">
        <is>
          <t>Interior design studio</t>
        </is>
      </c>
      <c r="I71" s="2" t="inlineStr">
        <is>
          <t>Delhi NCR</t>
        </is>
      </c>
      <c r="J71" s="2" t="inlineStr">
        <is>
          <t>B — Established Independent</t>
        </is>
      </c>
      <c r="K71" s="2" t="inlineStr">
        <is>
          <t>Design studio/practice</t>
        </is>
      </c>
      <c r="L71" s="2" t="inlineStr">
        <is>
          <t>P0</t>
        </is>
      </c>
      <c r="M71" s="2" t="inlineStr">
        <is>
          <t>P0</t>
        </is>
      </c>
      <c r="N71" s="2" t="n">
        <v>74.8</v>
      </c>
      <c r="O71" s="2" t="n">
        <v>94</v>
      </c>
      <c r="P71" s="2" t="n">
        <v>67.2</v>
      </c>
      <c r="Q71" s="2" t="n">
        <v>76</v>
      </c>
      <c r="R71" s="2" t="n">
        <v>35</v>
      </c>
      <c r="S71" s="2" t="inlineStr">
        <is>
          <t>C1-DIRECT-VERIFIED</t>
        </is>
      </c>
      <c r="T71" s="2" t="inlineStr">
        <is>
          <t>Personal 1:1 email from founder/team to published business email</t>
        </is>
      </c>
      <c r="U71" s="2" t="inlineStr">
        <is>
          <t>https://www.sagehaus.in/</t>
        </is>
      </c>
      <c r="V71" s="2" t="inlineStr">
        <is>
          <t>2026-07 — TAD feature: South Delhi family house</t>
        </is>
      </c>
      <c r="W71" s="2" t="inlineStr">
        <is>
          <t>South Delhi family house feature</t>
        </is>
      </c>
      <c r="X71" s="2" t="inlineStr">
        <is>
          <t>The Architects Diary (Editorial feature/list)</t>
        </is>
      </c>
      <c r="Y71" s="2" t="inlineStr">
        <is>
          <t>Readiness 75 (top 7% in category) | Commercial: South Delhi family house feature | Active: 2026-07 — TAD feature: South Delhi family house | Independent/emerging tier — fame not a factor</t>
        </is>
      </c>
      <c r="Z71" s="2" t="inlineStr">
        <is>
          <t>Lead with a specific interior project. Services and project work under the studio's own name. No enquiry promises.</t>
        </is>
      </c>
      <c r="AA71" s="2" t="inlineStr">
        <is>
          <t>Small team; may prioritise direct client work and Instagram over new platforms</t>
        </is>
      </c>
      <c r="AB71" s="2" t="inlineStr">
        <is>
          <t>Work comes via referrals; project-based work fit; profile upkeep effort</t>
        </is>
      </c>
      <c r="AC71" s="2" t="inlineStr">
        <is>
          <t>E03-CTA-B Written terms + registration link</t>
        </is>
      </c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  <c r="AK71" s="2" t="inlineStr"/>
      <c r="AL71" s="2" t="inlineStr"/>
      <c r="AM71" s="2" t="inlineStr"/>
      <c r="AN71" s="2" t="inlineStr"/>
      <c r="AO71" s="2" t="inlineStr"/>
      <c r="AP71" s="2" t="inlineStr"/>
      <c r="AQ71" s="2" t="inlineStr"/>
      <c r="AR71" s="2" t="inlineStr"/>
      <c r="AS71" s="2" t="inlineStr"/>
      <c r="AT71" s="2" t="inlineStr"/>
      <c r="AU71" s="2" t="inlineStr"/>
      <c r="AV71" s="2" t="inlineStr"/>
      <c r="AW71" s="2" t="inlineStr"/>
      <c r="AX71" s="2" t="inlineStr"/>
    </row>
    <row r="72">
      <c r="A72" s="2" t="n">
        <v>71</v>
      </c>
      <c r="B72" s="2" t="inlineStr">
        <is>
          <t>Wave 1 — Founding cohort</t>
        </is>
      </c>
      <c r="C72" s="2" t="inlineStr">
        <is>
          <t>UPK2-SD-051</t>
        </is>
      </c>
      <c r="D72" s="2" t="inlineStr">
        <is>
          <t>TIS Living (Total Interiors Solutions)</t>
        </is>
      </c>
      <c r="E72" s="2" t="inlineStr">
        <is>
          <t>Space &amp; Design</t>
        </is>
      </c>
      <c r="F72" s="2" t="inlineStr">
        <is>
          <t>SD-INTERIOR</t>
        </is>
      </c>
      <c r="G72" s="2" t="inlineStr">
        <is>
          <t>Home &amp; Space</t>
        </is>
      </c>
      <c r="H72" s="2" t="inlineStr">
        <is>
          <t>Interior design-build firm</t>
        </is>
      </c>
      <c r="I72" s="2" t="inlineStr">
        <is>
          <t>Delhi NCR</t>
        </is>
      </c>
      <c r="J72" s="2" t="inlineStr">
        <is>
          <t>C — Strong Mid-tier</t>
        </is>
      </c>
      <c r="K72" s="2" t="inlineStr">
        <is>
          <t>Design studio/practice</t>
        </is>
      </c>
      <c r="L72" s="2" t="inlineStr">
        <is>
          <t>P0</t>
        </is>
      </c>
      <c r="M72" s="2" t="inlineStr">
        <is>
          <t>P1</t>
        </is>
      </c>
      <c r="N72" s="2" t="n">
        <v>74.2</v>
      </c>
      <c r="O72" s="2" t="n">
        <v>92</v>
      </c>
      <c r="P72" s="2" t="n">
        <v>68.59999999999999</v>
      </c>
      <c r="Q72" s="2" t="n">
        <v>75</v>
      </c>
      <c r="R72" s="2" t="n">
        <v>45</v>
      </c>
      <c r="S72" s="2" t="inlineStr">
        <is>
          <t>C1-DIRECT-VERIFIED</t>
        </is>
      </c>
      <c r="T72" s="2" t="inlineStr">
        <is>
          <t>1:1 message via own-website contact form</t>
        </is>
      </c>
      <c r="U72" s="2" t="inlineStr">
        <is>
          <t>https://www.tisliving.com/</t>
        </is>
      </c>
      <c r="V72" s="2" t="inlineStr">
        <is>
          <t>2026-06 — TAD feature: maximalist home</t>
        </is>
      </c>
      <c r="W72" s="2" t="inlineStr">
        <is>
          <t>Experience centre Sector 18 Gurugram; maximalist home</t>
        </is>
      </c>
      <c r="X72" s="2" t="inlineStr">
        <is>
          <t>The Architects Diary (Editorial feature/list)</t>
        </is>
      </c>
      <c r="Y72" s="2" t="inlineStr">
        <is>
          <t>Readiness 74 (top 9% in category) | Commercial: Experience centre Sector 18 Gurugram; maximalist home | Active: 2026-06 — TAD feature: maximalist home</t>
        </is>
      </c>
      <c r="Z72" s="2" t="inlineStr">
        <is>
          <t>Lead with a specific interior project. Services and project work under the studio's own name. No enquiry promises.</t>
        </is>
      </c>
      <c r="AA72" s="2" t="inlineStr">
        <is>
          <t>Established practice with steady referral/press pipeline; may see limited need for another channel</t>
        </is>
      </c>
      <c r="AB72" s="2" t="inlineStr">
        <is>
          <t>Work comes via referrals; project-based work fit; profile upkeep effort</t>
        </is>
      </c>
      <c r="AC72" s="2" t="inlineStr">
        <is>
          <t>E03-CTA-A Reply/15-min call</t>
        </is>
      </c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  <c r="AK72" s="2" t="inlineStr"/>
      <c r="AL72" s="2" t="inlineStr"/>
      <c r="AM72" s="2" t="inlineStr"/>
      <c r="AN72" s="2" t="inlineStr"/>
      <c r="AO72" s="2" t="inlineStr"/>
      <c r="AP72" s="2" t="inlineStr"/>
      <c r="AQ72" s="2" t="inlineStr"/>
      <c r="AR72" s="2" t="inlineStr"/>
      <c r="AS72" s="2" t="inlineStr"/>
      <c r="AT72" s="2" t="inlineStr"/>
      <c r="AU72" s="2" t="inlineStr"/>
      <c r="AV72" s="2" t="inlineStr"/>
      <c r="AW72" s="2" t="inlineStr"/>
      <c r="AX72" s="2" t="inlineStr"/>
    </row>
    <row r="73">
      <c r="A73" s="2" t="n">
        <v>72</v>
      </c>
      <c r="B73" s="2" t="inlineStr">
        <is>
          <t>Wave 1 — Founding cohort</t>
        </is>
      </c>
      <c r="C73" s="2" t="inlineStr">
        <is>
          <t>UPK2-SD-063</t>
        </is>
      </c>
      <c r="D73" s="2" t="inlineStr">
        <is>
          <t>FURDO</t>
        </is>
      </c>
      <c r="E73" s="2" t="inlineStr">
        <is>
          <t>Space &amp; Design</t>
        </is>
      </c>
      <c r="F73" s="2" t="inlineStr">
        <is>
          <t>SD-INTERIOR</t>
        </is>
      </c>
      <c r="G73" s="2" t="inlineStr">
        <is>
          <t>Home &amp; Space</t>
        </is>
      </c>
      <c r="H73" s="2" t="inlineStr">
        <is>
          <t>Home interiors design-build firm</t>
        </is>
      </c>
      <c r="I73" s="2" t="inlineStr">
        <is>
          <t>Bengaluru</t>
        </is>
      </c>
      <c r="J73" s="2" t="inlineStr">
        <is>
          <t>C — Strong Mid-tier</t>
        </is>
      </c>
      <c r="K73" s="2" t="inlineStr">
        <is>
          <t>Design studio / practice</t>
        </is>
      </c>
      <c r="L73" s="2" t="inlineStr">
        <is>
          <t>P0</t>
        </is>
      </c>
      <c r="M73" s="2" t="inlineStr">
        <is>
          <t>P1</t>
        </is>
      </c>
      <c r="N73" s="2" t="n">
        <v>72.09999999999999</v>
      </c>
      <c r="O73" s="2" t="n">
        <v>83</v>
      </c>
      <c r="P73" s="2" t="n">
        <v>68.2</v>
      </c>
      <c r="Q73" s="2" t="n">
        <v>74</v>
      </c>
      <c r="R73" s="2" t="n">
        <v>50</v>
      </c>
      <c r="S73" s="2" t="inlineStr">
        <is>
          <t>C1-DIRECT-VERIFIED</t>
        </is>
      </c>
      <c r="T73" s="2" t="inlineStr">
        <is>
          <t>Personal 1:1 email from founder/team to published business email</t>
        </is>
      </c>
      <c r="U73" s="2" t="inlineStr">
        <is>
          <t>https://furdo.com/contact-us/</t>
        </is>
      </c>
      <c r="V73" s="2" t="inlineStr">
        <is>
          <t>2026-05 — TAD feature: Shades Of Ivory Stand As A Refined Expression Of This 4BHK Flat | FURDO</t>
        </is>
      </c>
      <c r="W73" s="2" t="inlineStr">
        <is>
          <t>Apartment Interior Design — Madhuri &amp; Mahavir (House Of Ivory), Hyderabad (TAD 2026-05)</t>
        </is>
      </c>
      <c r="X73" s="2" t="inlineStr">
        <is>
          <t>The Architects Diary (Editorial project feature (1 in 2025–26))</t>
        </is>
      </c>
      <c r="Y73" s="2" t="inlineStr">
        <is>
          <t>Readiness 72 (top 18% in category) | Commercial: Apartment Interior Design — Madhuri &amp; Mahavir (House Of Ivory), Hyderabad (TAD 2026-05) | Active: 2026-05 — TAD feature: Shades Of Ivory Stand As A Refined Expression…</t>
        </is>
      </c>
      <c r="Z73" s="2" t="inlineStr">
        <is>
          <t>Lead with a specific interior project. Services and project work under the studio's own name. No enquiry promises.</t>
        </is>
      </c>
      <c r="AA73" s="2" t="inlineStr">
        <is>
          <t>Leads largely via referrals/own site and trade-media features</t>
        </is>
      </c>
      <c r="AB73" s="2" t="inlineStr">
        <is>
          <t>Work comes via referrals; project-based work fit; profile upkeep effort</t>
        </is>
      </c>
      <c r="AC73" s="2" t="inlineStr">
        <is>
          <t>E03-CTA-B Written terms + registration link</t>
        </is>
      </c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  <c r="AK73" s="2" t="inlineStr"/>
      <c r="AL73" s="2" t="inlineStr"/>
      <c r="AM73" s="2" t="inlineStr"/>
      <c r="AN73" s="2" t="inlineStr"/>
      <c r="AO73" s="2" t="inlineStr"/>
      <c r="AP73" s="2" t="inlineStr"/>
      <c r="AQ73" s="2" t="inlineStr"/>
      <c r="AR73" s="2" t="inlineStr"/>
      <c r="AS73" s="2" t="inlineStr"/>
      <c r="AT73" s="2" t="inlineStr"/>
      <c r="AU73" s="2" t="inlineStr"/>
      <c r="AV73" s="2" t="inlineStr"/>
      <c r="AW73" s="2" t="inlineStr"/>
      <c r="AX73" s="2" t="inlineStr"/>
    </row>
    <row r="74">
      <c r="A74" s="2" t="n">
        <v>73</v>
      </c>
      <c r="B74" s="2" t="inlineStr">
        <is>
          <t>Wave 1 — Founding cohort</t>
        </is>
      </c>
      <c r="C74" s="2" t="inlineStr">
        <is>
          <t>UPK2-LM-005</t>
        </is>
      </c>
      <c r="D74" s="2" t="inlineStr">
        <is>
          <t>Harsha Bathija</t>
        </is>
      </c>
      <c r="E74" s="2" t="inlineStr">
        <is>
          <t>Lens &amp; Motion</t>
        </is>
      </c>
      <c r="F74" s="2" t="inlineStr">
        <is>
          <t>LM-WEDDING</t>
        </is>
      </c>
      <c r="G74" s="2" t="inlineStr">
        <is>
          <t>Wedding &amp; Occasion</t>
        </is>
      </c>
      <c r="H74" s="2" t="inlineStr">
        <is>
          <t>Wedding photographer / studio</t>
        </is>
      </c>
      <c r="I74" s="2" t="inlineStr">
        <is>
          <t>Mumbai</t>
        </is>
      </c>
      <c r="J74" s="2" t="inlineStr">
        <is>
          <t>C — Strong Mid-tier</t>
        </is>
      </c>
      <c r="K74" s="2" t="inlineStr">
        <is>
          <t>Photography studio</t>
        </is>
      </c>
      <c r="L74" s="2" t="inlineStr">
        <is>
          <t>P0</t>
        </is>
      </c>
      <c r="M74" s="2" t="inlineStr">
        <is>
          <t>P1</t>
        </is>
      </c>
      <c r="N74" s="2" t="n">
        <v>77.2</v>
      </c>
      <c r="O74" s="2" t="n">
        <v>91</v>
      </c>
      <c r="P74" s="2" t="n">
        <v>72.59999999999999</v>
      </c>
      <c r="Q74" s="2" t="n">
        <v>80</v>
      </c>
      <c r="R74" s="2" t="n">
        <v>50</v>
      </c>
      <c r="S74" s="2" t="inlineStr">
        <is>
          <t>C1-DIRECT-VERIFIED</t>
        </is>
      </c>
      <c r="T74" s="2" t="inlineStr">
        <is>
          <t>Personal 1:1 email from founder/team to published business email</t>
        </is>
      </c>
      <c r="U74" s="2" t="inlineStr">
        <is>
          <t>https://www.harshabathija.com</t>
        </is>
      </c>
      <c r="V74" s="2" t="inlineStr">
        <is>
          <t>2026-10 — WeddingSutra Photographers Showcase profile published (weddingsutra.com)</t>
        </is>
      </c>
      <c r="W74" s="2" t="inlineStr">
        <is>
          <t>Wedding photography/film bookings; WeddingSutra showcase lists service locations: Mumbai and Goa</t>
        </is>
      </c>
      <c r="X74" s="2" t="inlineStr">
        <is>
          <t>WeddingSutra (Photographers Showcase profile)</t>
        </is>
      </c>
      <c r="Y74" s="2" t="inlineStr">
        <is>
          <t>Readiness 77 (top 10% in category) | Commercial: Wedding photography/film bookings; WeddingSutra showcase lists service locations: Mumbai… | Active: 2026-10 — WeddingSutra Photographers Showcase profile published (wedd…</t>
        </is>
      </c>
      <c r="Z74" s="2" t="inlineStr">
        <is>
          <t>Lead with a specific film or series. Photographers sit at the centre of the wedding ecosystem — invite as a founding peer of designers, MUAs and planners.</t>
        </is>
      </c>
      <c r="AA74" s="2" t="inlineStr">
        <is>
          <t>Bookings already flow via own site, Instagram and wedding platforms</t>
        </is>
      </c>
      <c r="AB74" s="2" t="inlineStr">
        <is>
          <t>Leads via referrals/portals; off-platform contact; time to maintain another profile</t>
        </is>
      </c>
      <c r="AC74" s="2" t="inlineStr">
        <is>
          <t>E03-CTA-A Reply/15-min call</t>
        </is>
      </c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  <c r="AK74" s="2" t="inlineStr"/>
      <c r="AL74" s="2" t="inlineStr"/>
      <c r="AM74" s="2" t="inlineStr"/>
      <c r="AN74" s="2" t="inlineStr"/>
      <c r="AO74" s="2" t="inlineStr"/>
      <c r="AP74" s="2" t="inlineStr"/>
      <c r="AQ74" s="2" t="inlineStr"/>
      <c r="AR74" s="2" t="inlineStr"/>
      <c r="AS74" s="2" t="inlineStr"/>
      <c r="AT74" s="2" t="inlineStr"/>
      <c r="AU74" s="2" t="inlineStr"/>
      <c r="AV74" s="2" t="inlineStr"/>
      <c r="AW74" s="2" t="inlineStr"/>
      <c r="AX74" s="2" t="inlineStr"/>
    </row>
    <row r="75">
      <c r="A75" s="2" t="n">
        <v>74</v>
      </c>
      <c r="B75" s="2" t="inlineStr">
        <is>
          <t>Wave 1 — Founding cohort</t>
        </is>
      </c>
      <c r="C75" s="2" t="inlineStr">
        <is>
          <t>UPK2-LM-008</t>
        </is>
      </c>
      <c r="D75" s="2" t="inlineStr">
        <is>
          <t>Ramit Batra</t>
        </is>
      </c>
      <c r="E75" s="2" t="inlineStr">
        <is>
          <t>Lens &amp; Motion</t>
        </is>
      </c>
      <c r="F75" s="2" t="inlineStr">
        <is>
          <t>LM-WEDDING</t>
        </is>
      </c>
      <c r="G75" s="2" t="inlineStr">
        <is>
          <t>Wedding &amp; Occasion</t>
        </is>
      </c>
      <c r="H75" s="2" t="inlineStr">
        <is>
          <t>Wedding photography &amp; films</t>
        </is>
      </c>
      <c r="I75" s="2" t="inlineStr">
        <is>
          <t>Delhi NCR</t>
        </is>
      </c>
      <c r="J75" s="2" t="inlineStr">
        <is>
          <t>C — Strong Mid-tier</t>
        </is>
      </c>
      <c r="K75" s="2" t="inlineStr">
        <is>
          <t>Photographer-led studio</t>
        </is>
      </c>
      <c r="L75" s="2" t="inlineStr">
        <is>
          <t>P0</t>
        </is>
      </c>
      <c r="M75" s="2" t="inlineStr">
        <is>
          <t>P1</t>
        </is>
      </c>
      <c r="N75" s="2" t="n">
        <v>76.8</v>
      </c>
      <c r="O75" s="2" t="n">
        <v>88</v>
      </c>
      <c r="P75" s="2" t="n">
        <v>72.2</v>
      </c>
      <c r="Q75" s="2" t="n">
        <v>76</v>
      </c>
      <c r="R75" s="2" t="n">
        <v>55</v>
      </c>
      <c r="S75" s="2" t="inlineStr">
        <is>
          <t>C1-DIRECT-VERIFIED</t>
        </is>
      </c>
      <c r="T75" s="2" t="inlineStr">
        <is>
          <t>Personal 1:1 email from founder/team to published business email</t>
        </is>
      </c>
      <c r="U75" s="2" t="inlineStr">
        <is>
          <t>https://www.ramitbatra.com/</t>
        </is>
      </c>
      <c r="V75" s="2" t="inlineStr">
        <is>
          <t>2026-07 — WeddingSutra vendor profile last updated/published (page metadata)</t>
        </is>
      </c>
      <c r="W75" s="2" t="inlineStr">
        <is>
          <t>Services listed on WeddingSutra profile: Candid photography, Cinematography, Pre wedding photography</t>
        </is>
      </c>
      <c r="X75" s="2" t="inlineStr">
        <is>
          <t>WeddingSutra (Vendor directory profile)</t>
        </is>
      </c>
      <c r="Y75" s="2" t="inlineStr">
        <is>
          <t>Readiness 77 (top 13% in category) | Commercial: Services listed on WeddingSutra profile: Candid photography, Cinematography, Pre wedding… | Active: 2026-07 — WeddingSutra vendor profile last updated/published (page me…</t>
        </is>
      </c>
      <c r="Z75" s="2" t="inlineStr">
        <is>
          <t>Lead with a specific film or series. Photographers sit at the centre of the wedding ecosystem — invite as a founding peer of designers, MUAs and planners.</t>
        </is>
      </c>
      <c r="AA75" s="2" t="inlineStr">
        <is>
          <t>Already gets leads via own Instagram and wedding directories</t>
        </is>
      </c>
      <c r="AB75" s="2" t="inlineStr">
        <is>
          <t>Leads via referrals/portals; off-platform contact; time to maintain another profile</t>
        </is>
      </c>
      <c r="AC75" s="2" t="inlineStr">
        <is>
          <t>E03-CTA-B Written terms + registration link</t>
        </is>
      </c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  <c r="AK75" s="2" t="inlineStr"/>
      <c r="AL75" s="2" t="inlineStr"/>
      <c r="AM75" s="2" t="inlineStr"/>
      <c r="AN75" s="2" t="inlineStr"/>
      <c r="AO75" s="2" t="inlineStr"/>
      <c r="AP75" s="2" t="inlineStr"/>
      <c r="AQ75" s="2" t="inlineStr"/>
      <c r="AR75" s="2" t="inlineStr"/>
      <c r="AS75" s="2" t="inlineStr"/>
      <c r="AT75" s="2" t="inlineStr"/>
      <c r="AU75" s="2" t="inlineStr"/>
      <c r="AV75" s="2" t="inlineStr"/>
      <c r="AW75" s="2" t="inlineStr"/>
      <c r="AX75" s="2" t="inlineStr"/>
    </row>
    <row r="76">
      <c r="A76" s="2" t="n">
        <v>75</v>
      </c>
      <c r="B76" s="2" t="inlineStr">
        <is>
          <t>Wave 1 — Founding cohort</t>
        </is>
      </c>
      <c r="C76" s="2" t="inlineStr">
        <is>
          <t>UPK2-LM-010</t>
        </is>
      </c>
      <c r="D76" s="2" t="inlineStr">
        <is>
          <t>Dipak Studios</t>
        </is>
      </c>
      <c r="E76" s="2" t="inlineStr">
        <is>
          <t>Lens &amp; Motion</t>
        </is>
      </c>
      <c r="F76" s="2" t="inlineStr">
        <is>
          <t>LM-WEDDING</t>
        </is>
      </c>
      <c r="G76" s="2" t="inlineStr">
        <is>
          <t>Wedding &amp; Occasion</t>
        </is>
      </c>
      <c r="H76" s="2" t="inlineStr">
        <is>
          <t>Wedding photography &amp; films</t>
        </is>
      </c>
      <c r="I76" s="2" t="inlineStr">
        <is>
          <t>Delhi NCR</t>
        </is>
      </c>
      <c r="J76" s="2" t="inlineStr">
        <is>
          <t>C — Strong Mid-tier</t>
        </is>
      </c>
      <c r="K76" s="2" t="inlineStr">
        <is>
          <t>Studio/team</t>
        </is>
      </c>
      <c r="L76" s="2" t="inlineStr">
        <is>
          <t>P0</t>
        </is>
      </c>
      <c r="M76" s="2" t="inlineStr">
        <is>
          <t>P1</t>
        </is>
      </c>
      <c r="N76" s="2" t="n">
        <v>76.8</v>
      </c>
      <c r="O76" s="2" t="n">
        <v>88</v>
      </c>
      <c r="P76" s="2" t="n">
        <v>72.2</v>
      </c>
      <c r="Q76" s="2" t="n">
        <v>76</v>
      </c>
      <c r="R76" s="2" t="n">
        <v>55</v>
      </c>
      <c r="S76" s="2" t="inlineStr">
        <is>
          <t>C1-DIRECT-VERIFIED</t>
        </is>
      </c>
      <c r="T76" s="2" t="inlineStr">
        <is>
          <t>Personal 1:1 email from founder/team to published business email</t>
        </is>
      </c>
      <c r="U76" s="2" t="inlineStr">
        <is>
          <t>https://www.dipakstudios.com</t>
        </is>
      </c>
      <c r="V76" s="2" t="inlineStr">
        <is>
          <t>2026-07 — WeddingSutra vendor profile last updated/published (page metadata)</t>
        </is>
      </c>
      <c r="W76" s="2" t="inlineStr">
        <is>
          <t>Services listed on WeddingSutra profile: Candid photography, Cinematography, Pre wedding photography</t>
        </is>
      </c>
      <c r="X76" s="2" t="inlineStr">
        <is>
          <t>WeddingSutra (Vendor directory profile)</t>
        </is>
      </c>
      <c r="Y76" s="2" t="inlineStr">
        <is>
          <t>Readiness 77 (top 13% in category) | Commercial: Services listed on WeddingSutra profile: Candid photography, Cinematography, Pre wedding… | Active: 2026-07 — WeddingSutra vendor profile last updated/published (page me…</t>
        </is>
      </c>
      <c r="Z76" s="2" t="inlineStr">
        <is>
          <t>Lead with a specific film or series. Photographers sit at the centre of the wedding ecosystem — invite as a founding peer of designers, MUAs and planners.</t>
        </is>
      </c>
      <c r="AA76" s="2" t="inlineStr">
        <is>
          <t>Already gets leads via own Instagram and wedding directories</t>
        </is>
      </c>
      <c r="AB76" s="2" t="inlineStr">
        <is>
          <t>Leads via referrals/portals; off-platform contact; time to maintain another profile</t>
        </is>
      </c>
      <c r="AC76" s="2" t="inlineStr">
        <is>
          <t>E03-CTA-A Reply/15-min call</t>
        </is>
      </c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  <c r="AK76" s="2" t="inlineStr"/>
      <c r="AL76" s="2" t="inlineStr"/>
      <c r="AM76" s="2" t="inlineStr"/>
      <c r="AN76" s="2" t="inlineStr"/>
      <c r="AO76" s="2" t="inlineStr"/>
      <c r="AP76" s="2" t="inlineStr"/>
      <c r="AQ76" s="2" t="inlineStr"/>
      <c r="AR76" s="2" t="inlineStr"/>
      <c r="AS76" s="2" t="inlineStr"/>
      <c r="AT76" s="2" t="inlineStr"/>
      <c r="AU76" s="2" t="inlineStr"/>
      <c r="AV76" s="2" t="inlineStr"/>
      <c r="AW76" s="2" t="inlineStr"/>
      <c r="AX76" s="2" t="inlineStr"/>
    </row>
    <row r="77">
      <c r="A77" s="2" t="n">
        <v>76</v>
      </c>
      <c r="B77" s="2" t="inlineStr">
        <is>
          <t>Wave 1 — Founding cohort</t>
        </is>
      </c>
      <c r="C77" s="2" t="inlineStr">
        <is>
          <t>UPK2-LM-356</t>
        </is>
      </c>
      <c r="D77" s="2" t="inlineStr">
        <is>
          <t>Ashish Sahi</t>
        </is>
      </c>
      <c r="E77" s="2" t="inlineStr">
        <is>
          <t>Lens &amp; Motion</t>
        </is>
      </c>
      <c r="F77" s="2" t="inlineStr">
        <is>
          <t>LM-ARCH-INTERIOR</t>
        </is>
      </c>
      <c r="G77" s="2" t="inlineStr">
        <is>
          <t>Home &amp; Space</t>
        </is>
      </c>
      <c r="H77" s="2" t="inlineStr">
        <is>
          <t>Fashion, interiors &amp; architecture photographer</t>
        </is>
      </c>
      <c r="I77" s="2" t="inlineStr">
        <is>
          <t>Mumbai</t>
        </is>
      </c>
      <c r="J77" s="2" t="inlineStr">
        <is>
          <t>C — Strong Mid-tier</t>
        </is>
      </c>
      <c r="K77" s="2" t="inlineStr">
        <is>
          <t>Solo/Freelancer</t>
        </is>
      </c>
      <c r="L77" s="2" t="inlineStr">
        <is>
          <t>P0</t>
        </is>
      </c>
      <c r="M77" s="2" t="inlineStr">
        <is>
          <t>P1</t>
        </is>
      </c>
      <c r="N77" s="2" t="n">
        <v>75.40000000000001</v>
      </c>
      <c r="O77" s="2" t="n">
        <v>78</v>
      </c>
      <c r="P77" s="2" t="n">
        <v>71.8</v>
      </c>
      <c r="Q77" s="2" t="n">
        <v>77</v>
      </c>
      <c r="R77" s="2" t="n">
        <v>55</v>
      </c>
      <c r="S77" s="2" t="inlineStr">
        <is>
          <t>C1-DIRECT-VERIFIED</t>
        </is>
      </c>
      <c r="T77" s="2" t="inlineStr">
        <is>
          <t>Personal 1:1 email from founder/team to published business email</t>
        </is>
      </c>
      <c r="U77" s="2" t="inlineStr">
        <is>
          <t>https://www.ashishsahi.com/</t>
        </is>
      </c>
      <c r="V77" s="2" t="inlineStr">
        <is>
          <t>2026-07 — photo credit on The Architects Diary project feature (https://thearchitectsdiary.com/an-immersive-art-experience-beyond-the-sales…</t>
        </is>
      </c>
      <c r="W77" s="2" t="inlineStr">
        <is>
          <t>Commissioned project photography credited by design publications; enquiry route on own site</t>
        </is>
      </c>
      <c r="X77" s="2" t="inlineStr"/>
      <c r="Y77" s="2" t="inlineStr">
        <is>
          <t>Readiness 75 (top 23% in category) | Commercial: Commissioned project photography credited by design publications; enquiry route on own si… | Active: 2026-07 — photo credit on The Architects Diary project feature (https…</t>
        </is>
      </c>
      <c r="Z77" s="2" t="inlineStr">
        <is>
          <t>Lead with a specific project they documented. Link to the Home &amp; Space pod (studios and makers).</t>
        </is>
      </c>
      <c r="AA77" s="2" t="inlineStr">
        <is>
          <t>Work is commission/referral-driven through architect networks; may not see need for a marketplace</t>
        </is>
      </c>
      <c r="AB77" s="2" t="inlineStr">
        <is>
          <t>Leads via referrals/portals; off-platform contact; time to maintain another profile</t>
        </is>
      </c>
      <c r="AC77" s="2" t="inlineStr">
        <is>
          <t>E03-CTA-B Written terms + registration link</t>
        </is>
      </c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  <c r="AK77" s="2" t="inlineStr"/>
      <c r="AL77" s="2" t="inlineStr"/>
      <c r="AM77" s="2" t="inlineStr"/>
      <c r="AN77" s="2" t="inlineStr"/>
      <c r="AO77" s="2" t="inlineStr"/>
      <c r="AP77" s="2" t="inlineStr"/>
      <c r="AQ77" s="2" t="inlineStr"/>
      <c r="AR77" s="2" t="inlineStr"/>
      <c r="AS77" s="2" t="inlineStr"/>
      <c r="AT77" s="2" t="inlineStr"/>
      <c r="AU77" s="2" t="inlineStr"/>
      <c r="AV77" s="2" t="inlineStr"/>
      <c r="AW77" s="2" t="inlineStr"/>
      <c r="AX77" s="2" t="inlineStr"/>
    </row>
    <row r="78">
      <c r="A78" s="2" t="n">
        <v>77</v>
      </c>
      <c r="B78" s="2" t="inlineStr">
        <is>
          <t>Wave 1 — Founding cohort</t>
        </is>
      </c>
      <c r="C78" s="2" t="inlineStr">
        <is>
          <t>UPK2-LM-225</t>
        </is>
      </c>
      <c r="D78" s="2" t="inlineStr">
        <is>
          <t>A.Rrajani Photography</t>
        </is>
      </c>
      <c r="E78" s="2" t="inlineStr">
        <is>
          <t>Lens &amp; Motion</t>
        </is>
      </c>
      <c r="F78" s="2" t="inlineStr">
        <is>
          <t>LM-COMMERCIAL-FASHION</t>
        </is>
      </c>
      <c r="G78" s="2" t="inlineStr">
        <is>
          <t>Brand &amp; Everyday Style</t>
        </is>
      </c>
      <c r="H78" s="2" t="inlineStr">
        <is>
          <t>Fashion, portfolio, celebrity &amp; advertising photographer</t>
        </is>
      </c>
      <c r="I78" s="2" t="inlineStr">
        <is>
          <t>Mumbai</t>
        </is>
      </c>
      <c r="J78" s="2" t="inlineStr">
        <is>
          <t>C — Strong Mid-tier</t>
        </is>
      </c>
      <c r="K78" s="2" t="inlineStr">
        <is>
          <t>Solo/Freelancer</t>
        </is>
      </c>
      <c r="L78" s="2" t="inlineStr">
        <is>
          <t>P0</t>
        </is>
      </c>
      <c r="M78" s="2" t="inlineStr">
        <is>
          <t>P1</t>
        </is>
      </c>
      <c r="N78" s="2" t="n">
        <v>76.40000000000001</v>
      </c>
      <c r="O78" s="2" t="n">
        <v>87</v>
      </c>
      <c r="P78" s="2" t="n">
        <v>73.8</v>
      </c>
      <c r="Q78" s="2" t="n">
        <v>82</v>
      </c>
      <c r="R78" s="2" t="n">
        <v>55</v>
      </c>
      <c r="S78" s="2" t="inlineStr">
        <is>
          <t>C1-DIRECT-VERIFIED</t>
        </is>
      </c>
      <c r="T78" s="2" t="inlineStr">
        <is>
          <t>Personal 1:1 email from founder/team to published business email</t>
        </is>
      </c>
      <c r="U78" s="2" t="inlineStr">
        <is>
          <t>https://www.a-rrajani.com/contact-andheri-mumbai/</t>
        </is>
      </c>
      <c r="V78" s="2" t="inlineStr">
        <is>
          <t>2026 — site copyright/dated content 2026 (own site)</t>
        </is>
      </c>
      <c r="W78" s="2" t="inlineStr">
        <is>
          <t>Commissioned project photography credited by design publications; enquiry route on own site</t>
        </is>
      </c>
      <c r="X78" s="2" t="inlineStr"/>
      <c r="Y78" s="2" t="inlineStr">
        <is>
          <t>Readiness 76 (top 14% in category) | Commercial: Commissioned project photography credited by design publications; enquiry route on own si… | Active: 2026 — site copyright/dated content 2026 (own site)</t>
        </is>
      </c>
      <c r="Z78" s="2" t="inlineStr">
        <is>
          <t>Lead with product/fashion work. Link to labels in the Brand &amp; Everyday Style pod.</t>
        </is>
      </c>
      <c r="AA78" s="2" t="inlineStr">
        <is>
          <t>Work is commission/referral-driven through architect networks; may not see need for a marketplace</t>
        </is>
      </c>
      <c r="AB78" s="2" t="inlineStr">
        <is>
          <t>Leads via referrals/portals; off-platform contact; time to maintain another profile</t>
        </is>
      </c>
      <c r="AC78" s="2" t="inlineStr">
        <is>
          <t>E03-CTA-A Reply/15-min call</t>
        </is>
      </c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  <c r="AK78" s="2" t="inlineStr"/>
      <c r="AL78" s="2" t="inlineStr"/>
      <c r="AM78" s="2" t="inlineStr"/>
      <c r="AN78" s="2" t="inlineStr"/>
      <c r="AO78" s="2" t="inlineStr"/>
      <c r="AP78" s="2" t="inlineStr"/>
      <c r="AQ78" s="2" t="inlineStr"/>
      <c r="AR78" s="2" t="inlineStr"/>
      <c r="AS78" s="2" t="inlineStr"/>
      <c r="AT78" s="2" t="inlineStr"/>
      <c r="AU78" s="2" t="inlineStr"/>
      <c r="AV78" s="2" t="inlineStr"/>
      <c r="AW78" s="2" t="inlineStr"/>
      <c r="AX78" s="2" t="inlineStr"/>
    </row>
    <row r="79">
      <c r="A79" s="2" t="n">
        <v>78</v>
      </c>
      <c r="B79" s="2" t="inlineStr">
        <is>
          <t>Wave 1 — Founding cohort</t>
        </is>
      </c>
      <c r="C79" s="2" t="inlineStr">
        <is>
          <t>UPK2-LM-002</t>
        </is>
      </c>
      <c r="D79" s="2" t="inlineStr">
        <is>
          <t>Oragraphy</t>
        </is>
      </c>
      <c r="E79" s="2" t="inlineStr">
        <is>
          <t>Lens &amp; Motion</t>
        </is>
      </c>
      <c r="F79" s="2" t="inlineStr">
        <is>
          <t>LM-WEDDING</t>
        </is>
      </c>
      <c r="G79" s="2" t="inlineStr">
        <is>
          <t>Wedding &amp; Occasion</t>
        </is>
      </c>
      <c r="H79" s="2" t="inlineStr">
        <is>
          <t>Wedding photography &amp; films</t>
        </is>
      </c>
      <c r="I79" s="2" t="inlineStr">
        <is>
          <t>Mumbai</t>
        </is>
      </c>
      <c r="J79" s="2" t="inlineStr">
        <is>
          <t>C — Strong Mid-tier</t>
        </is>
      </c>
      <c r="K79" s="2" t="inlineStr">
        <is>
          <t>Photography/film studio</t>
        </is>
      </c>
      <c r="L79" s="2" t="inlineStr">
        <is>
          <t>P0</t>
        </is>
      </c>
      <c r="M79" s="2" t="inlineStr">
        <is>
          <t>P1</t>
        </is>
      </c>
      <c r="N79" s="2" t="n">
        <v>76.8</v>
      </c>
      <c r="O79" s="2" t="n">
        <v>88</v>
      </c>
      <c r="P79" s="2" t="n">
        <v>71.5</v>
      </c>
      <c r="Q79" s="2" t="n">
        <v>77</v>
      </c>
      <c r="R79" s="2" t="n">
        <v>50</v>
      </c>
      <c r="S79" s="2" t="inlineStr">
        <is>
          <t>C1-DIRECT-VERIFIED</t>
        </is>
      </c>
      <c r="T79" s="2" t="inlineStr">
        <is>
          <t>Personal 1:1 email from founder/team to published business email</t>
        </is>
      </c>
      <c r="U79" s="2" t="inlineStr">
        <is>
          <t>https://www.oragraphy.com/contact-us-6/</t>
        </is>
      </c>
      <c r="V79" s="2" t="inlineStr">
        <is>
          <t>2026-09 — latest dated item on WeddingSutra Favorites profile (weddingsutra.com)</t>
        </is>
      </c>
      <c r="W79" s="2" t="inlineStr">
        <is>
          <t>Real-wedding features credited on WeddingSutra (e.g. Aaghna and Vishal, Hyatt Regency Danang Resort and Spa, Vietnam Fusing th)</t>
        </is>
      </c>
      <c r="X79" s="2" t="inlineStr">
        <is>
          <t>WeddingSutra (WeddingSutra Favorites vendor profile (curated listing))</t>
        </is>
      </c>
      <c r="Y79" s="2" t="inlineStr">
        <is>
          <t>Readiness 77 (top 13% in category) | Commercial: Real-wedding features credited on WeddingSutra (e.g. Aaghna and Vishal, Hyatt Regency Dan… | Active: 2026-09 — latest dated item on WeddingSutra Favorites profile (weddin…</t>
        </is>
      </c>
      <c r="Z79" s="2" t="inlineStr">
        <is>
          <t>Lead with a specific film or series. Photographers sit at the centre of the wedding ecosystem — invite as a founding peer of designers, MUAs and planners.</t>
        </is>
      </c>
      <c r="AA79" s="2" t="inlineStr">
        <is>
          <t>Established enquiry pipeline via WeddingSutra Favorites, own site and Instagram</t>
        </is>
      </c>
      <c r="AB79" s="2" t="inlineStr">
        <is>
          <t>Leads via referrals/portals; off-platform contact; time to maintain another profile</t>
        </is>
      </c>
      <c r="AC79" s="2" t="inlineStr">
        <is>
          <t>E03-CTA-B Written terms + registration link</t>
        </is>
      </c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  <c r="AK79" s="2" t="inlineStr"/>
      <c r="AL79" s="2" t="inlineStr"/>
      <c r="AM79" s="2" t="inlineStr"/>
      <c r="AN79" s="2" t="inlineStr"/>
      <c r="AO79" s="2" t="inlineStr"/>
      <c r="AP79" s="2" t="inlineStr"/>
      <c r="AQ79" s="2" t="inlineStr"/>
      <c r="AR79" s="2" t="inlineStr"/>
      <c r="AS79" s="2" t="inlineStr"/>
      <c r="AT79" s="2" t="inlineStr"/>
      <c r="AU79" s="2" t="inlineStr"/>
      <c r="AV79" s="2" t="inlineStr"/>
      <c r="AW79" s="2" t="inlineStr"/>
      <c r="AX79" s="2" t="inlineStr"/>
    </row>
    <row r="80">
      <c r="A80" s="2" t="n">
        <v>79</v>
      </c>
      <c r="B80" s="2" t="inlineStr">
        <is>
          <t>Wave 1 — Founding cohort</t>
        </is>
      </c>
      <c r="C80" s="2" t="inlineStr">
        <is>
          <t>UPK2-LM-209</t>
        </is>
      </c>
      <c r="D80" s="2" t="inlineStr">
        <is>
          <t>Dee Color Photography</t>
        </is>
      </c>
      <c r="E80" s="2" t="inlineStr">
        <is>
          <t>Lens &amp; Motion</t>
        </is>
      </c>
      <c r="F80" s="2" t="inlineStr">
        <is>
          <t>LM-WEDDING</t>
        </is>
      </c>
      <c r="G80" s="2" t="inlineStr">
        <is>
          <t>Wedding &amp; Occasion</t>
        </is>
      </c>
      <c r="H80" s="2" t="inlineStr">
        <is>
          <t>Wedding photography &amp; cinematography (candid, pre-wedding)</t>
        </is>
      </c>
      <c r="I80" s="2" t="inlineStr">
        <is>
          <t>Delhi NCR</t>
        </is>
      </c>
      <c r="J80" s="2" t="inlineStr">
        <is>
          <t>B — Established Independent</t>
        </is>
      </c>
      <c r="K80" s="2" t="inlineStr">
        <is>
          <t>Independent wedding photography/film studio</t>
        </is>
      </c>
      <c r="L80" s="2" t="inlineStr">
        <is>
          <t>P0</t>
        </is>
      </c>
      <c r="M80" s="2" t="inlineStr">
        <is>
          <t>P0</t>
        </is>
      </c>
      <c r="N80" s="2" t="n">
        <v>81.59999999999999</v>
      </c>
      <c r="O80" s="2" t="n">
        <v>99</v>
      </c>
      <c r="P80" s="2" t="n">
        <v>69.8</v>
      </c>
      <c r="Q80" s="2" t="n">
        <v>78</v>
      </c>
      <c r="R80" s="2" t="n">
        <v>28</v>
      </c>
      <c r="S80" s="2" t="inlineStr">
        <is>
          <t>C1-DIRECT-VERIFIED</t>
        </is>
      </c>
      <c r="T80" s="2" t="inlineStr">
        <is>
          <t>Personal 1:1 email from founder/team to published business email</t>
        </is>
      </c>
      <c r="U80" s="2" t="inlineStr">
        <is>
          <t>https://deecolor.com/</t>
        </is>
      </c>
      <c r="V80" s="2" t="inlineStr">
        <is>
          <t>2026-09 — latest sitemap lastmod on own website (https://deecolor.com/sitemap.xml; may be CMS-generated, weaker evidence); last WedMeGood r…</t>
        </is>
      </c>
      <c r="W80" s="2" t="inlineStr">
        <is>
          <t>41 WedMeGood client reviews, rating 5</t>
        </is>
      </c>
      <c r="X80" s="2" t="inlineStr">
        <is>
          <t>WedMeGood (vendor listing (Lite))</t>
        </is>
      </c>
      <c r="Y80" s="2" t="inlineStr">
        <is>
          <t>Readiness 82 (top 2% in category) | Commercial: 41 WedMeGood client reviews, rating 5 | Active: 2026-09 — latest sitemap lastmod on own website (https://deecolor.com… | Independent/emerging tier — fame not a factor</t>
        </is>
      </c>
      <c r="Z80" s="2" t="inlineStr">
        <is>
          <t>Lead with a specific film or series. Photographers sit at the centre of the wedding ecosystem — invite as a founding peer of designers, MUAs and planners.</t>
        </is>
      </c>
      <c r="AA80" s="2" t="inlineStr">
        <is>
          <t>Already gets wedding leads via WedMeGood and Instagram; may question value of another platform.</t>
        </is>
      </c>
      <c r="AB80" s="2" t="inlineStr">
        <is>
          <t>Leads via referrals/portals; off-platform contact; time to maintain another profile</t>
        </is>
      </c>
      <c r="AC80" s="2" t="inlineStr">
        <is>
          <t>E03-CTA-A Reply/15-min call</t>
        </is>
      </c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  <c r="AK80" s="2" t="inlineStr"/>
      <c r="AL80" s="2" t="inlineStr"/>
      <c r="AM80" s="2" t="inlineStr"/>
      <c r="AN80" s="2" t="inlineStr"/>
      <c r="AO80" s="2" t="inlineStr"/>
      <c r="AP80" s="2" t="inlineStr"/>
      <c r="AQ80" s="2" t="inlineStr"/>
      <c r="AR80" s="2" t="inlineStr"/>
      <c r="AS80" s="2" t="inlineStr"/>
      <c r="AT80" s="2" t="inlineStr"/>
      <c r="AU80" s="2" t="inlineStr"/>
      <c r="AV80" s="2" t="inlineStr"/>
      <c r="AW80" s="2" t="inlineStr"/>
      <c r="AX80" s="2" t="inlineStr"/>
    </row>
    <row r="81">
      <c r="A81" s="2" t="n">
        <v>80</v>
      </c>
      <c r="B81" s="2" t="inlineStr">
        <is>
          <t>Wave 1 — Founding cohort</t>
        </is>
      </c>
      <c r="C81" s="2" t="inlineStr">
        <is>
          <t>UPK2-LM-220</t>
        </is>
      </c>
      <c r="D81" s="2" t="inlineStr">
        <is>
          <t>Aureate Weddings</t>
        </is>
      </c>
      <c r="E81" s="2" t="inlineStr">
        <is>
          <t>Lens &amp; Motion</t>
        </is>
      </c>
      <c r="F81" s="2" t="inlineStr">
        <is>
          <t>LM-WEDDING</t>
        </is>
      </c>
      <c r="G81" s="2" t="inlineStr">
        <is>
          <t>Wedding &amp; Occasion</t>
        </is>
      </c>
      <c r="H81" s="2" t="inlineStr">
        <is>
          <t>Wedding photography &amp; cinematography (candid, pre-wedding)</t>
        </is>
      </c>
      <c r="I81" s="2" t="inlineStr">
        <is>
          <t>Delhi NCR</t>
        </is>
      </c>
      <c r="J81" s="2" t="inlineStr">
        <is>
          <t>B — Established Independent</t>
        </is>
      </c>
      <c r="K81" s="2" t="inlineStr">
        <is>
          <t>Independent wedding photography/film studio</t>
        </is>
      </c>
      <c r="L81" s="2" t="inlineStr">
        <is>
          <t>P0</t>
        </is>
      </c>
      <c r="M81" s="2" t="inlineStr">
        <is>
          <t>P0</t>
        </is>
      </c>
      <c r="N81" s="2" t="n">
        <v>80.8</v>
      </c>
      <c r="O81" s="2" t="n">
        <v>99</v>
      </c>
      <c r="P81" s="2" t="n">
        <v>68.8</v>
      </c>
      <c r="Q81" s="2" t="n">
        <v>76</v>
      </c>
      <c r="R81" s="2" t="n">
        <v>28</v>
      </c>
      <c r="S81" s="2" t="inlineStr">
        <is>
          <t>C1-DIRECT-VERIFIED</t>
        </is>
      </c>
      <c r="T81" s="2" t="inlineStr">
        <is>
          <t>Personal 1:1 email from founder/team to published business email</t>
        </is>
      </c>
      <c r="U81" s="2" t="inlineStr">
        <is>
          <t>https://aureateweddings.com/</t>
        </is>
      </c>
      <c r="V81" s="2" t="inlineStr">
        <is>
          <t>2026-09 — latest WedMeGood client review (https://www.wedmegood.com/profile/Aureate-Weddings-26157180)</t>
        </is>
      </c>
      <c r="W81" s="2" t="inlineStr">
        <is>
          <t>39 WedMeGood client reviews, rating 5</t>
        </is>
      </c>
      <c r="X81" s="2" t="inlineStr">
        <is>
          <t>WedMeGood (vendor listing (Popular))</t>
        </is>
      </c>
      <c r="Y81" s="2" t="inlineStr">
        <is>
          <t>Readiness 81 (top 2% in category) | Commercial: 39 WedMeGood client reviews, rating 5 | Active: 2026-09 — latest WedMeGood client review (https://www.wedmegood.com/p… | Independent/emerging tier — fame not a factor</t>
        </is>
      </c>
      <c r="Z81" s="2" t="inlineStr">
        <is>
          <t>Lead with a specific film or series. Photographers sit at the centre of the wedding ecosystem — invite as a founding peer of designers, MUAs and planners.</t>
        </is>
      </c>
      <c r="AA81" s="2" t="inlineStr">
        <is>
          <t>Already gets wedding leads via WedMeGood and Instagram; may question value of another platform.</t>
        </is>
      </c>
      <c r="AB81" s="2" t="inlineStr">
        <is>
          <t>Leads via referrals/portals; off-platform contact; time to maintain another profile</t>
        </is>
      </c>
      <c r="AC81" s="2" t="inlineStr">
        <is>
          <t>E03-CTA-B Written terms + registration link</t>
        </is>
      </c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  <c r="AK81" s="2" t="inlineStr"/>
      <c r="AL81" s="2" t="inlineStr"/>
      <c r="AM81" s="2" t="inlineStr"/>
      <c r="AN81" s="2" t="inlineStr"/>
      <c r="AO81" s="2" t="inlineStr"/>
      <c r="AP81" s="2" t="inlineStr"/>
      <c r="AQ81" s="2" t="inlineStr"/>
      <c r="AR81" s="2" t="inlineStr"/>
      <c r="AS81" s="2" t="inlineStr"/>
      <c r="AT81" s="2" t="inlineStr"/>
      <c r="AU81" s="2" t="inlineStr"/>
      <c r="AV81" s="2" t="inlineStr"/>
      <c r="AW81" s="2" t="inlineStr"/>
      <c r="AX81" s="2" t="inlineStr"/>
    </row>
    <row r="82">
      <c r="A82" s="2" t="n">
        <v>81</v>
      </c>
      <c r="B82" s="2" t="inlineStr">
        <is>
          <t>Wave 1 — Founding cohort</t>
        </is>
      </c>
      <c r="C82" s="2" t="inlineStr">
        <is>
          <t>UPK2-LM-217</t>
        </is>
      </c>
      <c r="D82" s="2" t="inlineStr">
        <is>
          <t>Bloomsco</t>
        </is>
      </c>
      <c r="E82" s="2" t="inlineStr">
        <is>
          <t>Lens &amp; Motion</t>
        </is>
      </c>
      <c r="F82" s="2" t="inlineStr">
        <is>
          <t>LM-WEDDING</t>
        </is>
      </c>
      <c r="G82" s="2" t="inlineStr">
        <is>
          <t>Wedding &amp; Occasion</t>
        </is>
      </c>
      <c r="H82" s="2" t="inlineStr">
        <is>
          <t>Wedding photography &amp; cinematography (candid)</t>
        </is>
      </c>
      <c r="I82" s="2" t="inlineStr">
        <is>
          <t>Jaipur</t>
        </is>
      </c>
      <c r="J82" s="2" t="inlineStr">
        <is>
          <t>B — Established Independent</t>
        </is>
      </c>
      <c r="K82" s="2" t="inlineStr">
        <is>
          <t>Independent wedding photography/film studio</t>
        </is>
      </c>
      <c r="L82" s="2" t="inlineStr">
        <is>
          <t>P0</t>
        </is>
      </c>
      <c r="M82" s="2" t="inlineStr">
        <is>
          <t>P0</t>
        </is>
      </c>
      <c r="N82" s="2" t="n">
        <v>82.5</v>
      </c>
      <c r="O82" s="2" t="n">
        <v>100</v>
      </c>
      <c r="P82" s="2" t="n">
        <v>70.2</v>
      </c>
      <c r="Q82" s="2" t="n">
        <v>76</v>
      </c>
      <c r="R82" s="2" t="n">
        <v>31</v>
      </c>
      <c r="S82" s="2" t="inlineStr">
        <is>
          <t>C1-DIRECT-VERIFIED</t>
        </is>
      </c>
      <c r="T82" s="2" t="inlineStr">
        <is>
          <t>1:1 message via own-website contact form</t>
        </is>
      </c>
      <c r="U82" s="2" t="inlineStr">
        <is>
          <t>https://bloomsco.in/contact/</t>
        </is>
      </c>
      <c r="V82" s="2" t="inlineStr">
        <is>
          <t>2026-01 — latest WedMeGood client review (https://www.wedmegood.com/profile/Bloomsco-1452492)</t>
        </is>
      </c>
      <c r="W82" s="2" t="inlineStr">
        <is>
          <t>49 WedMeGood client reviews, rating 4.8</t>
        </is>
      </c>
      <c r="X82" s="2" t="inlineStr">
        <is>
          <t>WedMeGood (vendor listing (Lite))</t>
        </is>
      </c>
      <c r="Y82" s="2" t="inlineStr">
        <is>
          <t>Readiness 82 (top 1% in category) | Commercial: 49 WedMeGood client reviews, rating 4.8 | Active: 2026-01 — latest WedMeGood client review (https://www.wedmegood.com/p… | Independent/emerging tier — fame not a factor</t>
        </is>
      </c>
      <c r="Z82" s="2" t="inlineStr">
        <is>
          <t>Lead with a specific film or series. Photographers sit at the centre of the wedding ecosystem — invite as a founding peer of designers, MUAs and planners.</t>
        </is>
      </c>
      <c r="AA82" s="2" t="inlineStr">
        <is>
          <t>Already gets wedding leads via WedMeGood and Instagram; may question value of another platform.</t>
        </is>
      </c>
      <c r="AB82" s="2" t="inlineStr">
        <is>
          <t>Leads via referrals/portals; off-platform contact; time to maintain another profile</t>
        </is>
      </c>
      <c r="AC82" s="2" t="inlineStr">
        <is>
          <t>E03-CTA-A Reply/15-min call</t>
        </is>
      </c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  <c r="AK82" s="2" t="inlineStr"/>
      <c r="AL82" s="2" t="inlineStr"/>
      <c r="AM82" s="2" t="inlineStr"/>
      <c r="AN82" s="2" t="inlineStr"/>
      <c r="AO82" s="2" t="inlineStr"/>
      <c r="AP82" s="2" t="inlineStr"/>
      <c r="AQ82" s="2" t="inlineStr"/>
      <c r="AR82" s="2" t="inlineStr"/>
      <c r="AS82" s="2" t="inlineStr"/>
      <c r="AT82" s="2" t="inlineStr"/>
      <c r="AU82" s="2" t="inlineStr"/>
      <c r="AV82" s="2" t="inlineStr"/>
      <c r="AW82" s="2" t="inlineStr"/>
      <c r="AX82" s="2" t="inlineStr"/>
    </row>
    <row r="83">
      <c r="A83" s="2" t="n">
        <v>82</v>
      </c>
      <c r="B83" s="2" t="inlineStr">
        <is>
          <t>Wave 1 — Founding cohort</t>
        </is>
      </c>
      <c r="C83" s="2" t="inlineStr">
        <is>
          <t>UPK2-LM-277</t>
        </is>
      </c>
      <c r="D83" s="2" t="inlineStr">
        <is>
          <t>Mohsin Taha Photography</t>
        </is>
      </c>
      <c r="E83" s="2" t="inlineStr">
        <is>
          <t>Lens &amp; Motion</t>
        </is>
      </c>
      <c r="F83" s="2" t="inlineStr">
        <is>
          <t>LM-ARCH-INTERIOR</t>
        </is>
      </c>
      <c r="G83" s="2" t="inlineStr">
        <is>
          <t>Home &amp; Space</t>
        </is>
      </c>
      <c r="H83" s="2" t="inlineStr">
        <is>
          <t>Architecture, spaces, hotel &amp; industrial photographer</t>
        </is>
      </c>
      <c r="I83" s="2" t="inlineStr">
        <is>
          <t>Mumbai</t>
        </is>
      </c>
      <c r="J83" s="2" t="inlineStr">
        <is>
          <t>B — Established Independent</t>
        </is>
      </c>
      <c r="K83" s="2" t="inlineStr">
        <is>
          <t>Solo/Freelancer</t>
        </is>
      </c>
      <c r="L83" s="2" t="inlineStr">
        <is>
          <t>P0</t>
        </is>
      </c>
      <c r="M83" s="2" t="inlineStr">
        <is>
          <t>P0</t>
        </is>
      </c>
      <c r="N83" s="2" t="n">
        <v>74.2</v>
      </c>
      <c r="O83" s="2" t="n">
        <v>75</v>
      </c>
      <c r="P83" s="2" t="n">
        <v>68.2</v>
      </c>
      <c r="Q83" s="2" t="n">
        <v>77</v>
      </c>
      <c r="R83" s="2" t="n">
        <v>40</v>
      </c>
      <c r="S83" s="2" t="inlineStr">
        <is>
          <t>C1-DIRECT-VERIFIED</t>
        </is>
      </c>
      <c r="T83" s="2" t="inlineStr">
        <is>
          <t>Personal 1:1 email from founder/team to published business email</t>
        </is>
      </c>
      <c r="U83" s="2" t="inlineStr">
        <is>
          <t>https://www.mohsintaha.com/</t>
        </is>
      </c>
      <c r="V83" s="2" t="inlineStr">
        <is>
          <t>2026-07 — photo credit on The Architects Diary project feature (https://thearchitectsdiary.com/this-wellness-center-is-inspired-by-the-surr…</t>
        </is>
      </c>
      <c r="W83" s="2" t="inlineStr">
        <is>
          <t>Commissioned project photography credited by design publications; enquiry route on own site</t>
        </is>
      </c>
      <c r="X83" s="2" t="inlineStr"/>
      <c r="Y83" s="2" t="inlineStr">
        <is>
          <t>Readiness 74 (top 26% in category) | Commercial: Commissioned project photography credited by design publications; enquiry route on own si… | Active: 2026-07 — photo credit on The Architects Diary project feature (https… | Independent/emerging tier — fame not a factor</t>
        </is>
      </c>
      <c r="Z83" s="2" t="inlineStr">
        <is>
          <t>Lead with a specific project they documented. Link to the Home &amp; Space pod (studios and makers).</t>
        </is>
      </c>
      <c r="AA83" s="2" t="inlineStr">
        <is>
          <t>Work is commission/referral-driven through architect networks; may not see need for a marketplace</t>
        </is>
      </c>
      <c r="AB83" s="2" t="inlineStr">
        <is>
          <t>Leads via referrals/portals; off-platform contact; time to maintain another profile</t>
        </is>
      </c>
      <c r="AC83" s="2" t="inlineStr">
        <is>
          <t>E03-CTA-B Written terms + registration link</t>
        </is>
      </c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  <c r="AK83" s="2" t="inlineStr"/>
      <c r="AL83" s="2" t="inlineStr"/>
      <c r="AM83" s="2" t="inlineStr"/>
      <c r="AN83" s="2" t="inlineStr"/>
      <c r="AO83" s="2" t="inlineStr"/>
      <c r="AP83" s="2" t="inlineStr"/>
      <c r="AQ83" s="2" t="inlineStr"/>
      <c r="AR83" s="2" t="inlineStr"/>
      <c r="AS83" s="2" t="inlineStr"/>
      <c r="AT83" s="2" t="inlineStr"/>
      <c r="AU83" s="2" t="inlineStr"/>
      <c r="AV83" s="2" t="inlineStr"/>
      <c r="AW83" s="2" t="inlineStr"/>
      <c r="AX83" s="2" t="inlineStr"/>
    </row>
    <row r="84">
      <c r="A84" s="2" t="n">
        <v>83</v>
      </c>
      <c r="B84" s="2" t="inlineStr">
        <is>
          <t>Wave 1 — Founding cohort</t>
        </is>
      </c>
      <c r="C84" s="2" t="inlineStr">
        <is>
          <t>UPK2-LM-353</t>
        </is>
      </c>
      <c r="D84" s="2" t="inlineStr">
        <is>
          <t>The Endless Forms</t>
        </is>
      </c>
      <c r="E84" s="2" t="inlineStr">
        <is>
          <t>Lens &amp; Motion</t>
        </is>
      </c>
      <c r="F84" s="2" t="inlineStr">
        <is>
          <t>LM-ARCH-INTERIOR</t>
        </is>
      </c>
      <c r="G84" s="2" t="inlineStr">
        <is>
          <t>Home &amp; Space</t>
        </is>
      </c>
      <c r="H84" s="2" t="inlineStr">
        <is>
          <t>Commercial photographer &amp; retoucher (architecture, interiors, product/still life)</t>
        </is>
      </c>
      <c r="I84" s="2" t="inlineStr">
        <is>
          <t>Mumbai</t>
        </is>
      </c>
      <c r="J84" s="2" t="inlineStr">
        <is>
          <t>B — Established Independent</t>
        </is>
      </c>
      <c r="K84" s="2" t="inlineStr">
        <is>
          <t>Solo/Freelancer</t>
        </is>
      </c>
      <c r="L84" s="2" t="inlineStr">
        <is>
          <t>P0</t>
        </is>
      </c>
      <c r="M84" s="2" t="inlineStr">
        <is>
          <t>P0</t>
        </is>
      </c>
      <c r="N84" s="2" t="n">
        <v>75.2</v>
      </c>
      <c r="O84" s="2" t="n">
        <v>77</v>
      </c>
      <c r="P84" s="2" t="n">
        <v>67.2</v>
      </c>
      <c r="Q84" s="2" t="n">
        <v>72</v>
      </c>
      <c r="R84" s="2" t="n">
        <v>40</v>
      </c>
      <c r="S84" s="2" t="inlineStr">
        <is>
          <t>C1-DIRECT-VERIFIED</t>
        </is>
      </c>
      <c r="T84" s="2" t="inlineStr">
        <is>
          <t>Personal 1:1 email from founder/team to published business email</t>
        </is>
      </c>
      <c r="U84" s="2" t="inlineStr">
        <is>
          <t>https://yadnyeshjoshi.com/contact</t>
        </is>
      </c>
      <c r="V84" s="2" t="inlineStr">
        <is>
          <t>2026-10 — photo credit on The Architects Diary project feature (https://thearchitectsdiary.com/first-home-introduces-muji-minimalism-to-a-q…</t>
        </is>
      </c>
      <c r="W84" s="2" t="inlineStr">
        <is>
          <t>Commissioned project photography credited by design publications; enquiry route on own site</t>
        </is>
      </c>
      <c r="X84" s="2" t="inlineStr"/>
      <c r="Y84" s="2" t="inlineStr">
        <is>
          <t>Readiness 75 (top 24% in category) | Commercial: Commissioned project photography credited by design publications; enquiry route on own si… | Active: 2026-10 — photo credit on The Architects Diary project feature (https… | Independent/emerging tier — fame not a factor</t>
        </is>
      </c>
      <c r="Z84" s="2" t="inlineStr">
        <is>
          <t>Lead with a specific project they documented. Link to the Home &amp; Space pod (studios and makers).</t>
        </is>
      </c>
      <c r="AA84" s="2" t="inlineStr">
        <is>
          <t>Work is commission/referral-driven through architect networks; may not see need for a marketplace</t>
        </is>
      </c>
      <c r="AB84" s="2" t="inlineStr">
        <is>
          <t>Leads via referrals/portals; off-platform contact; time to maintain another profile</t>
        </is>
      </c>
      <c r="AC84" s="2" t="inlineStr">
        <is>
          <t>E03-CTA-A Reply/15-min call</t>
        </is>
      </c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  <c r="AK84" s="2" t="inlineStr"/>
      <c r="AL84" s="2" t="inlineStr"/>
      <c r="AM84" s="2" t="inlineStr"/>
      <c r="AN84" s="2" t="inlineStr"/>
      <c r="AO84" s="2" t="inlineStr"/>
      <c r="AP84" s="2" t="inlineStr"/>
      <c r="AQ84" s="2" t="inlineStr"/>
      <c r="AR84" s="2" t="inlineStr"/>
      <c r="AS84" s="2" t="inlineStr"/>
      <c r="AT84" s="2" t="inlineStr"/>
      <c r="AU84" s="2" t="inlineStr"/>
      <c r="AV84" s="2" t="inlineStr"/>
      <c r="AW84" s="2" t="inlineStr"/>
      <c r="AX84" s="2" t="inlineStr"/>
    </row>
    <row r="85">
      <c r="A85" s="2" t="n">
        <v>84</v>
      </c>
      <c r="B85" s="2" t="inlineStr">
        <is>
          <t>Wave 1 — Founding cohort</t>
        </is>
      </c>
      <c r="C85" s="2" t="inlineStr">
        <is>
          <t>UPK2-LM-082</t>
        </is>
      </c>
      <c r="D85" s="2" t="inlineStr">
        <is>
          <t>Filmbaker</t>
        </is>
      </c>
      <c r="E85" s="2" t="inlineStr">
        <is>
          <t>Lens &amp; Motion</t>
        </is>
      </c>
      <c r="F85" s="2" t="inlineStr">
        <is>
          <t>LM-COMMERCIAL-FASHION</t>
        </is>
      </c>
      <c r="G85" s="2" t="inlineStr">
        <is>
          <t>Brand &amp; Everyday Style</t>
        </is>
      </c>
      <c r="H85" s="2" t="inlineStr">
        <is>
          <t>Video production (corporate, digital films, animation)</t>
        </is>
      </c>
      <c r="I85" s="2" t="inlineStr">
        <is>
          <t>Bengaluru</t>
        </is>
      </c>
      <c r="J85" s="2" t="inlineStr">
        <is>
          <t>B — Established Independent</t>
        </is>
      </c>
      <c r="K85" s="2" t="inlineStr">
        <is>
          <t>Video production house</t>
        </is>
      </c>
      <c r="L85" s="2" t="inlineStr">
        <is>
          <t>P0</t>
        </is>
      </c>
      <c r="M85" s="2" t="inlineStr">
        <is>
          <t>P1</t>
        </is>
      </c>
      <c r="N85" s="2" t="n">
        <v>73.5</v>
      </c>
      <c r="O85" s="2" t="n">
        <v>72</v>
      </c>
      <c r="P85" s="2" t="n">
        <v>64.2</v>
      </c>
      <c r="Q85" s="2" t="n">
        <v>68</v>
      </c>
      <c r="R85" s="2" t="n">
        <v>35</v>
      </c>
      <c r="S85" s="2" t="inlineStr">
        <is>
          <t>C1-DIRECT-VERIFIED</t>
        </is>
      </c>
      <c r="T85" s="2" t="inlineStr">
        <is>
          <t>1:1 message via own-website contact form</t>
        </is>
      </c>
      <c r="U85" s="2" t="inlineStr">
        <is>
          <t>https://www.filmbaker.com/get-in-touch</t>
        </is>
      </c>
      <c r="V85" s="2" t="inlineStr">
        <is>
          <t>2026-10 — site live; directory says founded 2017 (designrush)</t>
        </is>
      </c>
      <c r="W85" s="2" t="inlineStr">
        <is>
          <t>Own website advertises paid video production (corporate, digital films, animation) services with enquiry routes</t>
        </is>
      </c>
      <c r="X85" s="2" t="inlineStr"/>
      <c r="Y85" s="2" t="inlineStr">
        <is>
          <t>Readiness 74 (top 29% in category) | Commercial: Own website advertises paid video production (corporate, digital films, animation) servic… | Active: 2026-10 — site live; directory says founded 2017 (designrush) | Independent/emerging tier — fame not a factor</t>
        </is>
      </c>
      <c r="Z85" s="2" t="inlineStr">
        <is>
          <t>Lead with product/fashion work. Link to labels in the Brand &amp; Everyday Style pod.</t>
        </is>
      </c>
      <c r="AA85" s="2" t="inlineStr">
        <is>
          <t>Leads already come via own site/Instagram</t>
        </is>
      </c>
      <c r="AB85" s="2" t="inlineStr">
        <is>
          <t>Leads via referrals/portals; off-platform contact; time to maintain another profile</t>
        </is>
      </c>
      <c r="AC85" s="2" t="inlineStr">
        <is>
          <t>E03-CTA-B Written terms + registration link</t>
        </is>
      </c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  <c r="AK85" s="2" t="inlineStr"/>
      <c r="AL85" s="2" t="inlineStr"/>
      <c r="AM85" s="2" t="inlineStr"/>
      <c r="AN85" s="2" t="inlineStr"/>
      <c r="AO85" s="2" t="inlineStr"/>
      <c r="AP85" s="2" t="inlineStr"/>
      <c r="AQ85" s="2" t="inlineStr"/>
      <c r="AR85" s="2" t="inlineStr"/>
      <c r="AS85" s="2" t="inlineStr"/>
      <c r="AT85" s="2" t="inlineStr"/>
      <c r="AU85" s="2" t="inlineStr"/>
      <c r="AV85" s="2" t="inlineStr"/>
      <c r="AW85" s="2" t="inlineStr"/>
      <c r="AX85" s="2" t="inlineStr"/>
    </row>
    <row r="86">
      <c r="A86" s="2" t="n">
        <v>85</v>
      </c>
      <c r="B86" s="2" t="inlineStr">
        <is>
          <t>Wave 1 — Founding cohort</t>
        </is>
      </c>
      <c r="C86" s="2" t="inlineStr">
        <is>
          <t>UPK2-LM-068</t>
        </is>
      </c>
      <c r="D86" s="2" t="inlineStr">
        <is>
          <t>Radiance Vision</t>
        </is>
      </c>
      <c r="E86" s="2" t="inlineStr">
        <is>
          <t>Lens &amp; Motion</t>
        </is>
      </c>
      <c r="F86" s="2" t="inlineStr">
        <is>
          <t>LM-COMMERCIAL-FASHION</t>
        </is>
      </c>
      <c r="G86" s="2" t="inlineStr">
        <is>
          <t>Brand &amp; Everyday Style</t>
        </is>
      </c>
      <c r="H86" s="2" t="inlineStr">
        <is>
          <t>Fashion, model portfolio &amp; e-commerce product photography</t>
        </is>
      </c>
      <c r="I86" s="2" t="inlineStr">
        <is>
          <t>Mumbai</t>
        </is>
      </c>
      <c r="J86" s="2" t="inlineStr">
        <is>
          <t>B — Established Independent</t>
        </is>
      </c>
      <c r="K86" s="2" t="inlineStr">
        <is>
          <t>Photography studio</t>
        </is>
      </c>
      <c r="L86" s="2" t="inlineStr">
        <is>
          <t>P0</t>
        </is>
      </c>
      <c r="M86" s="2" t="inlineStr">
        <is>
          <t>P1</t>
        </is>
      </c>
      <c r="N86" s="2" t="n">
        <v>73.5</v>
      </c>
      <c r="O86" s="2" t="n">
        <v>72</v>
      </c>
      <c r="P86" s="2" t="n">
        <v>64.2</v>
      </c>
      <c r="Q86" s="2" t="n">
        <v>68</v>
      </c>
      <c r="R86" s="2" t="n">
        <v>35</v>
      </c>
      <c r="S86" s="2" t="inlineStr">
        <is>
          <t>C1-DIRECT-VERIFIED</t>
        </is>
      </c>
      <c r="T86" s="2" t="inlineStr">
        <is>
          <t>1:1 message via own-website contact form</t>
        </is>
      </c>
      <c r="U86" s="2" t="inlineStr">
        <is>
          <t>https://radiancevision.in/</t>
        </is>
      </c>
      <c r="V86" s="2" t="inlineStr">
        <is>
          <t>2026-10 — site live (radiancevision.in); companion site ecommercephotographyindia.com shares the same phone numbers</t>
        </is>
      </c>
      <c r="W86" s="2" t="inlineStr">
        <is>
          <t>Own website advertises paid fashion, model portfolio &amp; e-commerce product photography services with enquiry routes</t>
        </is>
      </c>
      <c r="X86" s="2" t="inlineStr"/>
      <c r="Y86" s="2" t="inlineStr">
        <is>
          <t>Readiness 74 (top 29% in category) | Commercial: Own website advertises paid fashion, model portfolio &amp; e-commerce product photography ser… | Active: 2026-10 — site live (radiancevision.in); companion site ecommercephot… | Independent/emerging tier — fame not a factor</t>
        </is>
      </c>
      <c r="Z86" s="2" t="inlineStr">
        <is>
          <t>Lead with product/fashion work. Link to labels in the Brand &amp; Everyday Style pod.</t>
        </is>
      </c>
      <c r="AA86" s="2" t="inlineStr">
        <is>
          <t>Leads already come via own site/Instagram</t>
        </is>
      </c>
      <c r="AB86" s="2" t="inlineStr">
        <is>
          <t>Leads via referrals/portals; off-platform contact; time to maintain another profile</t>
        </is>
      </c>
      <c r="AC86" s="2" t="inlineStr">
        <is>
          <t>E03-CTA-A Reply/15-min call</t>
        </is>
      </c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  <c r="AK86" s="2" t="inlineStr"/>
      <c r="AL86" s="2" t="inlineStr"/>
      <c r="AM86" s="2" t="inlineStr"/>
      <c r="AN86" s="2" t="inlineStr"/>
      <c r="AO86" s="2" t="inlineStr"/>
      <c r="AP86" s="2" t="inlineStr"/>
      <c r="AQ86" s="2" t="inlineStr"/>
      <c r="AR86" s="2" t="inlineStr"/>
      <c r="AS86" s="2" t="inlineStr"/>
      <c r="AT86" s="2" t="inlineStr"/>
      <c r="AU86" s="2" t="inlineStr"/>
      <c r="AV86" s="2" t="inlineStr"/>
      <c r="AW86" s="2" t="inlineStr"/>
      <c r="AX86" s="2" t="inlineStr"/>
    </row>
    <row r="87">
      <c r="A87" s="2" t="n">
        <v>86</v>
      </c>
      <c r="B87" s="2" t="inlineStr">
        <is>
          <t>Wave 1 — Founding cohort</t>
        </is>
      </c>
      <c r="C87" s="2" t="inlineStr">
        <is>
          <t>UPK2-CM-007</t>
        </is>
      </c>
      <c r="D87" s="2" t="inlineStr">
        <is>
          <t>Moonshine and Sunlight</t>
        </is>
      </c>
      <c r="E87" s="2" t="inlineStr">
        <is>
          <t>Content &amp; Media</t>
        </is>
      </c>
      <c r="F87" s="2" t="inlineStr">
        <is>
          <t>CM-BLOGGER-WRITER</t>
        </is>
      </c>
      <c r="G87" s="2" t="inlineStr">
        <is>
          <t>Brand &amp; Everyday Style</t>
        </is>
      </c>
      <c r="H87" s="2" t="inlineStr">
        <is>
          <t>Beauty, skincare &amp; midsize-fashion blogger/creator</t>
        </is>
      </c>
      <c r="I87" s="2" t="inlineStr">
        <is>
          <t>Bengaluru</t>
        </is>
      </c>
      <c r="J87" s="2" t="inlineStr">
        <is>
          <t>B — Established Independent</t>
        </is>
      </c>
      <c r="K87" s="2" t="inlineStr">
        <is>
          <t>Independent creator/blog</t>
        </is>
      </c>
      <c r="L87" s="2" t="inlineStr">
        <is>
          <t>P0</t>
        </is>
      </c>
      <c r="M87" s="2" t="inlineStr">
        <is>
          <t>P0</t>
        </is>
      </c>
      <c r="N87" s="2" t="n">
        <v>74</v>
      </c>
      <c r="O87" s="2" t="n">
        <v>98</v>
      </c>
      <c r="P87" s="2" t="n">
        <v>64</v>
      </c>
      <c r="Q87" s="2" t="n">
        <v>70</v>
      </c>
      <c r="R87" s="2" t="n">
        <v>30</v>
      </c>
      <c r="S87" s="2" t="inlineStr">
        <is>
          <t>C1-DIRECT-VERIFIED</t>
        </is>
      </c>
      <c r="T87" s="2" t="inlineStr">
        <is>
          <t>Personal 1:1 email from founder/team to published business email</t>
        </is>
      </c>
      <c r="U87" s="2" t="inlineStr">
        <is>
          <t>https://www.moonshineandsunlight.com/p/contac.html</t>
        </is>
      </c>
      <c r="V87" s="2" t="inlineStr">
        <is>
          <t>2026 — posts dated 2026 on homepage</t>
        </is>
      </c>
      <c r="W87" s="2" t="inlineStr">
        <is>
          <t>Dedicated contact page for brand enquiries; listed on Feedspot Indian skincare &amp; fashion blogs</t>
        </is>
      </c>
      <c r="X87" s="2" t="inlineStr">
        <is>
          <t>Feedspot (Listed blog)</t>
        </is>
      </c>
      <c r="Y87" s="2" t="inlineStr">
        <is>
          <t>Readiness 74 (top 3% in category) | Commercial: Dedicated contact page for brand enquiries; listed on Feedspot Indian skincare &amp; fashion… | Active: 2026 — posts dated 2026 on homepage | Independent/emerging tier — fame not a factor</t>
        </is>
      </c>
      <c r="Z87" s="2" t="inlineStr">
        <is>
          <t>Lead with their writing/beat. Content work as a professional service for brands; clients, not audience.</t>
        </is>
      </c>
      <c r="AA87" s="2" t="inlineStr">
        <is>
          <t>Works through agencies/creator platforms; wants evidence brands are on the platform.</t>
        </is>
      </c>
      <c r="AB87" s="2" t="inlineStr">
        <is>
          <t>Work via agencies/creator platforms; wants proof brands/clients are present</t>
        </is>
      </c>
      <c r="AC87" s="2" t="inlineStr">
        <is>
          <t>E03-CTA-B Written terms + registration link</t>
        </is>
      </c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  <c r="AK87" s="2" t="inlineStr"/>
      <c r="AL87" s="2" t="inlineStr"/>
      <c r="AM87" s="2" t="inlineStr"/>
      <c r="AN87" s="2" t="inlineStr"/>
      <c r="AO87" s="2" t="inlineStr"/>
      <c r="AP87" s="2" t="inlineStr"/>
      <c r="AQ87" s="2" t="inlineStr"/>
      <c r="AR87" s="2" t="inlineStr"/>
      <c r="AS87" s="2" t="inlineStr"/>
      <c r="AT87" s="2" t="inlineStr"/>
      <c r="AU87" s="2" t="inlineStr"/>
      <c r="AV87" s="2" t="inlineStr"/>
      <c r="AW87" s="2" t="inlineStr"/>
      <c r="AX87" s="2" t="inlineStr"/>
    </row>
    <row r="88">
      <c r="A88" s="2" t="n">
        <v>87</v>
      </c>
      <c r="B88" s="2" t="inlineStr">
        <is>
          <t>Wave 1 — Founding cohort</t>
        </is>
      </c>
      <c r="C88" s="2" t="inlineStr">
        <is>
          <t>UPK2-CM-045</t>
        </is>
      </c>
      <c r="D88" s="2" t="inlineStr">
        <is>
          <t>Krishna (Emcee Krishna)</t>
        </is>
      </c>
      <c r="E88" s="2" t="inlineStr">
        <is>
          <t>Content &amp; Media</t>
        </is>
      </c>
      <c r="F88" s="2" t="inlineStr">
        <is>
          <t>CM-EMCEE-HOST</t>
        </is>
      </c>
      <c r="G88" s="2" t="inlineStr">
        <is>
          <t>Wedding &amp; Occasion</t>
        </is>
      </c>
      <c r="H88" s="2" t="inlineStr">
        <is>
          <t>Wedding &amp; event emcee / anchor</t>
        </is>
      </c>
      <c r="I88" s="2" t="inlineStr">
        <is>
          <t>Mumbai</t>
        </is>
      </c>
      <c r="J88" s="2" t="inlineStr">
        <is>
          <t>B — Established Independent</t>
        </is>
      </c>
      <c r="K88" s="2" t="inlineStr">
        <is>
          <t>Independent professional</t>
        </is>
      </c>
      <c r="L88" s="2" t="inlineStr">
        <is>
          <t>P0</t>
        </is>
      </c>
      <c r="M88" s="2" t="inlineStr">
        <is>
          <t>P0</t>
        </is>
      </c>
      <c r="N88" s="2" t="n">
        <v>73.8</v>
      </c>
      <c r="O88" s="2" t="n">
        <v>97</v>
      </c>
      <c r="P88" s="2" t="n">
        <v>60.2</v>
      </c>
      <c r="Q88" s="2" t="n">
        <v>65</v>
      </c>
      <c r="R88" s="2" t="n">
        <v>19</v>
      </c>
      <c r="S88" s="2" t="inlineStr">
        <is>
          <t>C3-PRO-SOCIAL</t>
        </is>
      </c>
      <c r="T88" s="2" t="inlineStr">
        <is>
          <t>1:1 Instagram DM from Uepaki professional account</t>
        </is>
      </c>
      <c r="U88" s="2" t="inlineStr">
        <is>
          <t>https://www.instagram.com/emceekrishna</t>
        </is>
      </c>
      <c r="V88" s="2" t="inlineStr">
        <is>
          <t>2026-06 — WeddingSutra vendor profile updated; latest WedMeGood review 2024-01-06</t>
        </is>
      </c>
      <c r="W88" s="2" t="inlineStr">
        <is>
          <t>Listed by WeddingSutra as a wedding emcee serving Mumbai; WedMeGood lists starting price ₹Price on Request and 19 reviews</t>
        </is>
      </c>
      <c r="X88" s="2" t="inlineStr">
        <is>
          <t>WeddingSutra (vendor showcase profile (Emcees)); WedMeGood (vendor profile (Lite listing; 19 reviews))</t>
        </is>
      </c>
      <c r="Y88" s="2" t="inlineStr">
        <is>
          <t>Readiness 74 (top 4% in category) | Commercial: Listed by WeddingSutra as a wedding emcee serving Mumbai; WedMeGood lists starting price… | Active: 2026-06 — WeddingSutra vendor profile updated; latest WedMeGood revie… | Marketplace-familiar: WeddingSutra); WedMeGood) | Independent/emerging tier — fame not a factor</t>
        </is>
      </c>
      <c r="Z88" s="2" t="inlineStr">
        <is>
          <t>Lead with the event formats they host. Services as a professional; clients, not followers.</t>
        </is>
      </c>
      <c r="AA88" s="2" t="inlineStr">
        <is>
          <t>Gets bookings via Instagram and wedding marketplaces already; may see another profile as low priority.</t>
        </is>
      </c>
      <c r="AB88" s="2" t="inlineStr">
        <is>
          <t>Work via agencies/creator platforms; wants proof brands/clients are present</t>
        </is>
      </c>
      <c r="AC88" s="2" t="inlineStr">
        <is>
          <t>E03-CTA-A Reply/15-min call</t>
        </is>
      </c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  <c r="AK88" s="2" t="inlineStr"/>
      <c r="AL88" s="2" t="inlineStr"/>
      <c r="AM88" s="2" t="inlineStr"/>
      <c r="AN88" s="2" t="inlineStr"/>
      <c r="AO88" s="2" t="inlineStr"/>
      <c r="AP88" s="2" t="inlineStr"/>
      <c r="AQ88" s="2" t="inlineStr"/>
      <c r="AR88" s="2" t="inlineStr"/>
      <c r="AS88" s="2" t="inlineStr"/>
      <c r="AT88" s="2" t="inlineStr"/>
      <c r="AU88" s="2" t="inlineStr"/>
      <c r="AV88" s="2" t="inlineStr"/>
      <c r="AW88" s="2" t="inlineStr"/>
      <c r="AX88" s="2" t="inlineStr"/>
    </row>
    <row r="89">
      <c r="A89" s="2" t="n">
        <v>88</v>
      </c>
      <c r="B89" s="2" t="inlineStr">
        <is>
          <t>Wave 1 — Founding cohort</t>
        </is>
      </c>
      <c r="C89" s="2" t="inlineStr">
        <is>
          <t>UPK2-CM-006</t>
        </is>
      </c>
      <c r="D89" s="2" t="inlineStr">
        <is>
          <t>Tie The Feed</t>
        </is>
      </c>
      <c r="E89" s="2" t="inlineStr">
        <is>
          <t>Content &amp; Media</t>
        </is>
      </c>
      <c r="F89" s="2" t="inlineStr">
        <is>
          <t>CM-CONTENT-CREATOR</t>
        </is>
      </c>
      <c r="G89" s="2" t="inlineStr">
        <is>
          <t>Wedding &amp; Occasion</t>
        </is>
      </c>
      <c r="H89" s="2" t="inlineStr">
        <is>
          <t>Wedding content creation</t>
        </is>
      </c>
      <c r="I89" s="2" t="inlineStr">
        <is>
          <t>Jaipur</t>
        </is>
      </c>
      <c r="J89" s="2" t="inlineStr">
        <is>
          <t>A — Emerging / High-potential</t>
        </is>
      </c>
      <c r="K89" s="2" t="inlineStr">
        <is>
          <t>Studio/team</t>
        </is>
      </c>
      <c r="L89" s="2" t="inlineStr">
        <is>
          <t>P0</t>
        </is>
      </c>
      <c r="M89" s="2" t="inlineStr">
        <is>
          <t>P0</t>
        </is>
      </c>
      <c r="N89" s="2" t="n">
        <v>68.2</v>
      </c>
      <c r="O89" s="2" t="n">
        <v>76</v>
      </c>
      <c r="P89" s="2" t="n">
        <v>56.7</v>
      </c>
      <c r="Q89" s="2" t="n">
        <v>62</v>
      </c>
      <c r="R89" s="2" t="n">
        <v>20</v>
      </c>
      <c r="S89" s="2" t="inlineStr">
        <is>
          <t>C3-PRO-SOCIAL</t>
        </is>
      </c>
      <c r="T89" s="2" t="inlineStr">
        <is>
          <t>1:1 Instagram DM from Uepaki professional account</t>
        </is>
      </c>
      <c r="U89" s="2" t="inlineStr">
        <is>
          <t>https://www.instagram.com/tiethefeed</t>
        </is>
      </c>
      <c r="V89" s="2" t="inlineStr">
        <is>
          <t>2026-09 — WeddingSutra vendor profile last updated/published (page metadata)</t>
        </is>
      </c>
      <c r="W89" s="2" t="inlineStr">
        <is>
          <t>Services listed on WeddingSutra profile: wedding photography/films; price on request</t>
        </is>
      </c>
      <c r="X89" s="2" t="inlineStr">
        <is>
          <t>WeddingSutra (Vendor directory profile)</t>
        </is>
      </c>
      <c r="Y89" s="2" t="inlineStr">
        <is>
          <t>Readiness 68 (top 25% in category) | Commercial: Services listed on WeddingSutra profile: wedding photography/films; price on request | Active: 2026-09 — WeddingSutra vendor profile last updated/published (page me… | Independent/emerging tier — fame not a factor</t>
        </is>
      </c>
      <c r="Z89" s="2" t="inlineStr">
        <is>
          <t>Lead with a specific piece of content work. Content production as a professional service for clients; never follower language.</t>
        </is>
      </c>
      <c r="AA89" s="2" t="inlineStr">
        <is>
          <t>Already gets leads via own Instagram and wedding directories</t>
        </is>
      </c>
      <c r="AB89" s="2" t="inlineStr">
        <is>
          <t>Work via agencies/creator platforms; wants proof brands/clients are present</t>
        </is>
      </c>
      <c r="AC89" s="2" t="inlineStr">
        <is>
          <t>E03-CTA-B Written terms + registration link</t>
        </is>
      </c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  <c r="AK89" s="2" t="inlineStr"/>
      <c r="AL89" s="2" t="inlineStr"/>
      <c r="AM89" s="2" t="inlineStr"/>
      <c r="AN89" s="2" t="inlineStr"/>
      <c r="AO89" s="2" t="inlineStr"/>
      <c r="AP89" s="2" t="inlineStr"/>
      <c r="AQ89" s="2" t="inlineStr"/>
      <c r="AR89" s="2" t="inlineStr"/>
      <c r="AS89" s="2" t="inlineStr"/>
      <c r="AT89" s="2" t="inlineStr"/>
      <c r="AU89" s="2" t="inlineStr"/>
      <c r="AV89" s="2" t="inlineStr"/>
      <c r="AW89" s="2" t="inlineStr"/>
      <c r="AX89" s="2" t="inlineStr"/>
    </row>
    <row r="90">
      <c r="A90" s="2" t="n">
        <v>89</v>
      </c>
      <c r="B90" s="2" t="inlineStr">
        <is>
          <t>Wave 1 — Founding cohort</t>
        </is>
      </c>
      <c r="C90" s="2" t="inlineStr">
        <is>
          <t>UPK2-CM-049</t>
        </is>
      </c>
      <c r="D90" s="2" t="inlineStr">
        <is>
          <t>Amit Auumkaar</t>
        </is>
      </c>
      <c r="E90" s="2" t="inlineStr">
        <is>
          <t>Content &amp; Media</t>
        </is>
      </c>
      <c r="F90" s="2" t="inlineStr">
        <is>
          <t>CM-EMCEE-HOST</t>
        </is>
      </c>
      <c r="G90" s="2" t="inlineStr">
        <is>
          <t>Wedding &amp; Occasion</t>
        </is>
      </c>
      <c r="H90" s="2" t="inlineStr">
        <is>
          <t>Wedding &amp; event emcee / anchor</t>
        </is>
      </c>
      <c r="I90" s="2" t="inlineStr">
        <is>
          <t>Mumbai</t>
        </is>
      </c>
      <c r="J90" s="2" t="inlineStr">
        <is>
          <t>B — Established Independent</t>
        </is>
      </c>
      <c r="K90" s="2" t="inlineStr">
        <is>
          <t>Independent professional</t>
        </is>
      </c>
      <c r="L90" s="2" t="inlineStr">
        <is>
          <t>P0</t>
        </is>
      </c>
      <c r="M90" s="2" t="inlineStr">
        <is>
          <t>P0</t>
        </is>
      </c>
      <c r="N90" s="2" t="n">
        <v>73.8</v>
      </c>
      <c r="O90" s="2" t="n">
        <v>97</v>
      </c>
      <c r="P90" s="2" t="n">
        <v>60.1</v>
      </c>
      <c r="Q90" s="2" t="n">
        <v>64</v>
      </c>
      <c r="R90" s="2" t="n">
        <v>20</v>
      </c>
      <c r="S90" s="2" t="inlineStr">
        <is>
          <t>C3-PRO-SOCIAL</t>
        </is>
      </c>
      <c r="T90" s="2" t="inlineStr">
        <is>
          <t>1:1 Instagram DM from Uepaki professional account</t>
        </is>
      </c>
      <c r="U90" s="2" t="inlineStr">
        <is>
          <t>https://amitauumkaar.com</t>
        </is>
      </c>
      <c r="V90" s="2" t="inlineStr">
        <is>
          <t>2026-06 — WeddingSutra vendor profile updated; latest WedMeGood review 2025-09-04</t>
        </is>
      </c>
      <c r="W90" s="2" t="inlineStr">
        <is>
          <t>Listed by WeddingSutra as a wedding emcee serving Mumbai; WedMeGood lists starting price ₹40,000 and 22 reviews</t>
        </is>
      </c>
      <c r="X90" s="2" t="inlineStr">
        <is>
          <t>WeddingSutra (vendor showcase profile (Emcees)); WedMeGood (vendor profile (Lite listing; 22 reviews))</t>
        </is>
      </c>
      <c r="Y90" s="2" t="inlineStr">
        <is>
          <t>Readiness 74 (top 4% in category) | Commercial: Listed by WeddingSutra as a wedding emcee serving Mumbai; WedMeGood lists starting price… | Active: 2026-06 — WeddingSutra vendor profile updated; latest WedMeGood revie… | Marketplace-familiar: WeddingSutra); WedMeGood) | Independent/emerging tier — fame not a factor</t>
        </is>
      </c>
      <c r="Z90" s="2" t="inlineStr">
        <is>
          <t>Lead with the event formats they host. Services as a professional; clients, not followers.</t>
        </is>
      </c>
      <c r="AA90" s="2" t="inlineStr">
        <is>
          <t>Gets bookings via Instagram and wedding marketplaces already; may see another profile as low priority.</t>
        </is>
      </c>
      <c r="AB90" s="2" t="inlineStr">
        <is>
          <t>Work via agencies/creator platforms; wants proof brands/clients are present</t>
        </is>
      </c>
      <c r="AC90" s="2" t="inlineStr">
        <is>
          <t>E03-CTA-A Reply/15-min call</t>
        </is>
      </c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  <c r="AK90" s="2" t="inlineStr"/>
      <c r="AL90" s="2" t="inlineStr"/>
      <c r="AM90" s="2" t="inlineStr"/>
      <c r="AN90" s="2" t="inlineStr"/>
      <c r="AO90" s="2" t="inlineStr"/>
      <c r="AP90" s="2" t="inlineStr"/>
      <c r="AQ90" s="2" t="inlineStr"/>
      <c r="AR90" s="2" t="inlineStr"/>
      <c r="AS90" s="2" t="inlineStr"/>
      <c r="AT90" s="2" t="inlineStr"/>
      <c r="AU90" s="2" t="inlineStr"/>
      <c r="AV90" s="2" t="inlineStr"/>
      <c r="AW90" s="2" t="inlineStr"/>
      <c r="AX90" s="2" t="inlineStr"/>
    </row>
    <row r="91">
      <c r="A91" s="2" t="n">
        <v>90</v>
      </c>
      <c r="B91" s="2" t="inlineStr">
        <is>
          <t>Wave 1 — Founding cohort</t>
        </is>
      </c>
      <c r="C91" s="2" t="inlineStr">
        <is>
          <t>UPK2-CM-044</t>
        </is>
      </c>
      <c r="D91" s="2" t="inlineStr">
        <is>
          <t>Sagar Duggal</t>
        </is>
      </c>
      <c r="E91" s="2" t="inlineStr">
        <is>
          <t>Content &amp; Media</t>
        </is>
      </c>
      <c r="F91" s="2" t="inlineStr">
        <is>
          <t>CM-EMCEE-HOST</t>
        </is>
      </c>
      <c r="G91" s="2" t="inlineStr">
        <is>
          <t>Wedding &amp; Occasion</t>
        </is>
      </c>
      <c r="H91" s="2" t="inlineStr">
        <is>
          <t>Wedding &amp; event emcee / anchor</t>
        </is>
      </c>
      <c r="I91" s="2" t="inlineStr">
        <is>
          <t>Delhi NCR</t>
        </is>
      </c>
      <c r="J91" s="2" t="inlineStr">
        <is>
          <t>C — Strong Mid-tier</t>
        </is>
      </c>
      <c r="K91" s="2" t="inlineStr">
        <is>
          <t>Independent professional</t>
        </is>
      </c>
      <c r="L91" s="2" t="inlineStr">
        <is>
          <t>P0</t>
        </is>
      </c>
      <c r="M91" s="2" t="inlineStr">
        <is>
          <t>P0</t>
        </is>
      </c>
      <c r="N91" s="2" t="n">
        <v>82.90000000000001</v>
      </c>
      <c r="O91" s="2" t="n">
        <v>100</v>
      </c>
      <c r="P91" s="2" t="n">
        <v>72.2</v>
      </c>
      <c r="Q91" s="2" t="n">
        <v>76</v>
      </c>
      <c r="R91" s="2" t="n">
        <v>40</v>
      </c>
      <c r="S91" s="2" t="inlineStr">
        <is>
          <t>C1-DIRECT-VERIFIED</t>
        </is>
      </c>
      <c r="T91" s="2" t="inlineStr">
        <is>
          <t>Personal 1:1 email from founder/team to published business email</t>
        </is>
      </c>
      <c r="U91" s="2" t="inlineStr">
        <is>
          <t>https://talkativesagar.com/</t>
        </is>
      </c>
      <c r="V91" s="2" t="inlineStr">
        <is>
          <t>2026-06 — WeddingSutra vendor profile updated; latest WedMeGood review 2024-05-04</t>
        </is>
      </c>
      <c r="W91" s="2" t="inlineStr">
        <is>
          <t>Listed by WeddingSutra as a wedding emcee serving Delhi NCR, Dubai, Thailand, Goa, Jaipur, Mumbai; WedMeGood lists starting price ₹65,000 and 60 reviews</t>
        </is>
      </c>
      <c r="X91" s="2" t="inlineStr">
        <is>
          <t>WeddingSutra (vendor showcase profile (Emcees)); WedMeGood (vendor profile (Lite listing; 60 reviews))</t>
        </is>
      </c>
      <c r="Y91" s="2" t="inlineStr">
        <is>
          <t>Readiness 83 (top 1% in category) | Commercial: Listed by WeddingSutra as a wedding emcee serving Delhi NCR, Dubai, Thailand, Goa, Jaipur… | Active: 2026-06 — WeddingSutra vendor profile updated; latest WedMeGood revie… | Marketplace-familiar: WeddingSutra); WedMeGood)</t>
        </is>
      </c>
      <c r="Z91" s="2" t="inlineStr">
        <is>
          <t>Lead with the event formats they host. Services as a professional; clients, not followers.</t>
        </is>
      </c>
      <c r="AA91" s="2" t="inlineStr">
        <is>
          <t>Gets bookings via Instagram and wedding marketplaces already; may see another profile as low priority.</t>
        </is>
      </c>
      <c r="AB91" s="2" t="inlineStr">
        <is>
          <t>Work via agencies/creator platforms; wants proof brands/clients are present</t>
        </is>
      </c>
      <c r="AC91" s="2" t="inlineStr">
        <is>
          <t>E03-CTA-B Written terms + registration link</t>
        </is>
      </c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  <c r="AK91" s="2" t="inlineStr"/>
      <c r="AL91" s="2" t="inlineStr"/>
      <c r="AM91" s="2" t="inlineStr"/>
      <c r="AN91" s="2" t="inlineStr"/>
      <c r="AO91" s="2" t="inlineStr"/>
      <c r="AP91" s="2" t="inlineStr"/>
      <c r="AQ91" s="2" t="inlineStr"/>
      <c r="AR91" s="2" t="inlineStr"/>
      <c r="AS91" s="2" t="inlineStr"/>
      <c r="AT91" s="2" t="inlineStr"/>
      <c r="AU91" s="2" t="inlineStr"/>
      <c r="AV91" s="2" t="inlineStr"/>
      <c r="AW91" s="2" t="inlineStr"/>
      <c r="AX91" s="2" t="inlineStr"/>
    </row>
    <row r="92">
      <c r="A92" s="2" t="n">
        <v>91</v>
      </c>
      <c r="B92" s="2" t="inlineStr">
        <is>
          <t>Wave 1 — Founding cohort</t>
        </is>
      </c>
      <c r="C92" s="2" t="inlineStr">
        <is>
          <t>UPK-CM-001</t>
        </is>
      </c>
      <c r="D92" s="2" t="inlineStr">
        <is>
          <t>Maed in India</t>
        </is>
      </c>
      <c r="E92" s="2" t="inlineStr">
        <is>
          <t>Content &amp; Media</t>
        </is>
      </c>
      <c r="F92" s="2" t="inlineStr">
        <is>
          <t>CM-PRODUCTION</t>
        </is>
      </c>
      <c r="G92" s="2" t="inlineStr">
        <is>
          <t>Brand &amp; Everyday Style</t>
        </is>
      </c>
      <c r="H92" s="2" t="inlineStr">
        <is>
          <t>Podcast host &amp; podcast production studio founder</t>
        </is>
      </c>
      <c r="I92" s="2" t="inlineStr">
        <is>
          <t>Mumbai</t>
        </is>
      </c>
      <c r="J92" s="2" t="inlineStr">
        <is>
          <t>C — Strong Mid-tier</t>
        </is>
      </c>
      <c r="K92" s="2" t="inlineStr">
        <is>
          <t>Micro studio (2-10)</t>
        </is>
      </c>
      <c r="L92" s="2" t="inlineStr">
        <is>
          <t>P0</t>
        </is>
      </c>
      <c r="M92" s="2" t="inlineStr">
        <is>
          <t>P1</t>
        </is>
      </c>
      <c r="N92" s="2" t="n">
        <v>72.40000000000001</v>
      </c>
      <c r="O92" s="2" t="n">
        <v>95</v>
      </c>
      <c r="P92" s="2" t="n">
        <v>73.7</v>
      </c>
      <c r="Q92" s="2" t="n">
        <v>77</v>
      </c>
      <c r="R92" s="2" t="n">
        <v>72</v>
      </c>
      <c r="S92" s="2" t="inlineStr">
        <is>
          <t>C1-DIRECT-VERIFIED</t>
        </is>
      </c>
      <c r="T92" s="2" t="inlineStr">
        <is>
          <t>Personal 1:1 email from founder/team to published business email</t>
        </is>
      </c>
      <c r="U92" s="2" t="inlineStr">
        <is>
          <t>https://www.maedinindia.in/contact</t>
        </is>
      </c>
      <c r="V92" s="2" t="inlineStr">
        <is>
          <t>2026 — listed as speaker, Content is Queen Global Podcast Speakers 2026</t>
        </is>
      </c>
      <c r="W92" s="2" t="inlineStr">
        <is>
          <t>Runs a podcast consultancy &amp; production company offering idea development, format testing, production, post-production and distribution for third parties</t>
        </is>
      </c>
      <c r="X92" s="2" t="inlineStr">
        <is>
          <t>Apple Podcasts (Profile/portfolio)</t>
        </is>
      </c>
      <c r="Y92" s="2" t="inlineStr">
        <is>
          <t>Readiness 72 (top 6% in category) | Commercial: Runs a podcast consultancy &amp; production company offering idea development, format testing… | Active: 2026 — listed as speaker, Content is Queen Global Podcast Speakers 20…</t>
        </is>
      </c>
      <c r="Z92" s="2" t="inlineStr">
        <is>
          <t>Lead with production work for brands/founders. Production as a professional service.</t>
        </is>
      </c>
      <c r="AA92" s="2" t="inlineStr">
        <is>
          <t>B2B pipeline already via network/referrals; marketplace may feel consumer-oriented</t>
        </is>
      </c>
      <c r="AB92" s="2" t="inlineStr">
        <is>
          <t>Work via agencies/creator platforms; wants proof brands/clients are present</t>
        </is>
      </c>
      <c r="AC92" s="2" t="inlineStr">
        <is>
          <t>E03-CTA-A Reply/15-min call</t>
        </is>
      </c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  <c r="AK92" s="2" t="inlineStr"/>
      <c r="AL92" s="2" t="inlineStr"/>
      <c r="AM92" s="2" t="inlineStr"/>
      <c r="AN92" s="2" t="inlineStr"/>
      <c r="AO92" s="2" t="inlineStr"/>
      <c r="AP92" s="2" t="inlineStr"/>
      <c r="AQ92" s="2" t="inlineStr"/>
      <c r="AR92" s="2" t="inlineStr"/>
      <c r="AS92" s="2" t="inlineStr"/>
      <c r="AT92" s="2" t="inlineStr"/>
      <c r="AU92" s="2" t="inlineStr"/>
      <c r="AV92" s="2" t="inlineStr"/>
      <c r="AW92" s="2" t="inlineStr"/>
      <c r="AX92" s="2" t="inlineStr"/>
    </row>
    <row r="93">
      <c r="A93" s="2" t="n">
        <v>92</v>
      </c>
      <c r="B93" s="2" t="inlineStr">
        <is>
          <t>Wave 1 — Founding cohort</t>
        </is>
      </c>
      <c r="C93" s="2" t="inlineStr">
        <is>
          <t>UPK2-CM-010</t>
        </is>
      </c>
      <c r="D93" s="2" t="inlineStr">
        <is>
          <t>Finely Chopped</t>
        </is>
      </c>
      <c r="E93" s="2" t="inlineStr">
        <is>
          <t>Content &amp; Media</t>
        </is>
      </c>
      <c r="F93" s="2" t="inlineStr">
        <is>
          <t>CM-BLOGGER-WRITER</t>
        </is>
      </c>
      <c r="G93" s="2" t="inlineStr">
        <is>
          <t>Brand &amp; Everyday Style</t>
        </is>
      </c>
      <c r="H93" s="2" t="inlineStr">
        <is>
          <t>Food writer, blogger &amp; creator</t>
        </is>
      </c>
      <c r="I93" s="2" t="inlineStr">
        <is>
          <t>Mumbai</t>
        </is>
      </c>
      <c r="J93" s="2" t="inlineStr">
        <is>
          <t>C — Strong Mid-tier</t>
        </is>
      </c>
      <c r="K93" s="2" t="inlineStr">
        <is>
          <t>Independent creator/blog</t>
        </is>
      </c>
      <c r="L93" s="2" t="inlineStr">
        <is>
          <t>P0</t>
        </is>
      </c>
      <c r="M93" s="2" t="inlineStr">
        <is>
          <t>P1</t>
        </is>
      </c>
      <c r="N93" s="2" t="n">
        <v>69.7</v>
      </c>
      <c r="O93" s="2" t="n">
        <v>85</v>
      </c>
      <c r="P93" s="2" t="n">
        <v>71</v>
      </c>
      <c r="Q93" s="2" t="n">
        <v>77</v>
      </c>
      <c r="R93" s="2" t="n">
        <v>65</v>
      </c>
      <c r="S93" s="2" t="inlineStr">
        <is>
          <t>C1-DIRECT-VERIFIED</t>
        </is>
      </c>
      <c r="T93" s="2" t="inlineStr">
        <is>
          <t>Personal 1:1 email from founder/team to published business email</t>
        </is>
      </c>
      <c r="U93" s="2" t="inlineStr">
        <is>
          <t>https://finelychopped.net/</t>
        </is>
      </c>
      <c r="V93" s="2" t="inlineStr">
        <is>
          <t>2026 — posts dated 2026</t>
        </is>
      </c>
      <c r="W93" s="2" t="inlineStr">
        <is>
          <t>Long-running food blog with 'Meals Around Mumbai' section; contact page with business email and phone</t>
        </is>
      </c>
      <c r="X93" s="2" t="inlineStr">
        <is>
          <t>Feedspot (Listed in Mumbai blogs)</t>
        </is>
      </c>
      <c r="Y93" s="2" t="inlineStr">
        <is>
          <t>Readiness 70 (top 16% in category) | Commercial: Long-running food blog with 'Meals Around Mumbai' section; contact page with business ema… | Active: 2026 — posts dated 2026</t>
        </is>
      </c>
      <c r="Z93" s="2" t="inlineStr">
        <is>
          <t>Lead with their writing/beat. Content work as a professional service for brands; clients, not audience.</t>
        </is>
      </c>
      <c r="AA93" s="2" t="inlineStr">
        <is>
          <t>Established; selective on partnerships</t>
        </is>
      </c>
      <c r="AB93" s="2" t="inlineStr">
        <is>
          <t>Work via agencies/creator platforms; wants proof brands/clients are present</t>
        </is>
      </c>
      <c r="AC93" s="2" t="inlineStr">
        <is>
          <t>E03-CTA-B Written terms + registration link</t>
        </is>
      </c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  <c r="AK93" s="2" t="inlineStr"/>
      <c r="AL93" s="2" t="inlineStr"/>
      <c r="AM93" s="2" t="inlineStr"/>
      <c r="AN93" s="2" t="inlineStr"/>
      <c r="AO93" s="2" t="inlineStr"/>
      <c r="AP93" s="2" t="inlineStr"/>
      <c r="AQ93" s="2" t="inlineStr"/>
      <c r="AR93" s="2" t="inlineStr"/>
      <c r="AS93" s="2" t="inlineStr"/>
      <c r="AT93" s="2" t="inlineStr"/>
      <c r="AU93" s="2" t="inlineStr"/>
      <c r="AV93" s="2" t="inlineStr"/>
      <c r="AW93" s="2" t="inlineStr"/>
      <c r="AX93" s="2" t="inlineStr"/>
    </row>
    <row r="94">
      <c r="A94" s="2" t="n">
        <v>93</v>
      </c>
      <c r="B94" s="2" t="inlineStr">
        <is>
          <t>Wave 1 — Founding cohort</t>
        </is>
      </c>
      <c r="C94" s="2" t="inlineStr">
        <is>
          <t>UPK2-CM-001</t>
        </is>
      </c>
      <c r="D94" s="2" t="inlineStr">
        <is>
          <t>The Wedding Scroll</t>
        </is>
      </c>
      <c r="E94" s="2" t="inlineStr">
        <is>
          <t>Content &amp; Media</t>
        </is>
      </c>
      <c r="F94" s="2" t="inlineStr">
        <is>
          <t>CM-CONTENT-CREATOR</t>
        </is>
      </c>
      <c r="G94" s="2" t="inlineStr">
        <is>
          <t>Wedding &amp; Occasion</t>
        </is>
      </c>
      <c r="H94" s="2" t="inlineStr">
        <is>
          <t>Wedding content creation (social-first)</t>
        </is>
      </c>
      <c r="I94" s="2" t="inlineStr">
        <is>
          <t>Delhi NCR</t>
        </is>
      </c>
      <c r="J94" s="2" t="inlineStr">
        <is>
          <t>C — Strong Mid-tier</t>
        </is>
      </c>
      <c r="K94" s="2" t="inlineStr">
        <is>
          <t>Studio/team</t>
        </is>
      </c>
      <c r="L94" s="2" t="inlineStr">
        <is>
          <t>P0</t>
        </is>
      </c>
      <c r="M94" s="2" t="inlineStr">
        <is>
          <t>P1</t>
        </is>
      </c>
      <c r="N94" s="2" t="n">
        <v>70.8</v>
      </c>
      <c r="O94" s="2" t="n">
        <v>88</v>
      </c>
      <c r="P94" s="2" t="n">
        <v>69.2</v>
      </c>
      <c r="Q94" s="2" t="n">
        <v>76</v>
      </c>
      <c r="R94" s="2" t="n">
        <v>55</v>
      </c>
      <c r="S94" s="2" t="inlineStr">
        <is>
          <t>C3-PRO-SOCIAL</t>
        </is>
      </c>
      <c r="T94" s="2" t="inlineStr">
        <is>
          <t>1:1 Instagram DM from Uepaki professional account</t>
        </is>
      </c>
      <c r="U94" s="2" t="inlineStr">
        <is>
          <t>https://www.theweddingscroll.in</t>
        </is>
      </c>
      <c r="V94" s="2" t="inlineStr">
        <is>
          <t>2026-09 — WeddingSutra vendor profile last updated/published (page metadata)</t>
        </is>
      </c>
      <c r="W94" s="2" t="inlineStr">
        <is>
          <t>Services listed on WeddingSutra profile: wedding photography/films; price on request</t>
        </is>
      </c>
      <c r="X94" s="2" t="inlineStr">
        <is>
          <t>WeddingSutra (Vendor directory profile)</t>
        </is>
      </c>
      <c r="Y94" s="2" t="inlineStr">
        <is>
          <t>Readiness 71 (top 13% in category) | Commercial: Services listed on WeddingSutra profile: wedding photography/films; price on request | Active: 2026-09 — WeddingSutra vendor profile last updated/published (page me…</t>
        </is>
      </c>
      <c r="Z94" s="2" t="inlineStr">
        <is>
          <t>Lead with a specific piece of content work. Content production as a professional service for clients; never follower language.</t>
        </is>
      </c>
      <c r="AA94" s="2" t="inlineStr">
        <is>
          <t>Already gets leads via own Instagram and wedding directories</t>
        </is>
      </c>
      <c r="AB94" s="2" t="inlineStr">
        <is>
          <t>Work via agencies/creator platforms; wants proof brands/clients are present</t>
        </is>
      </c>
      <c r="AC94" s="2" t="inlineStr">
        <is>
          <t>E03-CTA-A Reply/15-min call</t>
        </is>
      </c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  <c r="AK94" s="2" t="inlineStr"/>
      <c r="AL94" s="2" t="inlineStr"/>
      <c r="AM94" s="2" t="inlineStr"/>
      <c r="AN94" s="2" t="inlineStr"/>
      <c r="AO94" s="2" t="inlineStr"/>
      <c r="AP94" s="2" t="inlineStr"/>
      <c r="AQ94" s="2" t="inlineStr"/>
      <c r="AR94" s="2" t="inlineStr"/>
      <c r="AS94" s="2" t="inlineStr"/>
      <c r="AT94" s="2" t="inlineStr"/>
      <c r="AU94" s="2" t="inlineStr"/>
      <c r="AV94" s="2" t="inlineStr"/>
      <c r="AW94" s="2" t="inlineStr"/>
      <c r="AX94" s="2" t="inlineStr"/>
    </row>
    <row r="95">
      <c r="A95" s="2" t="n">
        <v>94</v>
      </c>
      <c r="B95" s="2" t="inlineStr">
        <is>
          <t>Wave 1 — Founding cohort</t>
        </is>
      </c>
      <c r="C95" s="2" t="inlineStr">
        <is>
          <t>UPK2-CM-003</t>
        </is>
      </c>
      <c r="D95" s="2" t="inlineStr">
        <is>
          <t>Heart Bows &amp; Makeup</t>
        </is>
      </c>
      <c r="E95" s="2" t="inlineStr">
        <is>
          <t>Content &amp; Media</t>
        </is>
      </c>
      <c r="F95" s="2" t="inlineStr">
        <is>
          <t>CM-BLOGGER-WRITER</t>
        </is>
      </c>
      <c r="G95" s="2" t="inlineStr">
        <is>
          <t>Brand &amp; Everyday Style</t>
        </is>
      </c>
      <c r="H95" s="2" t="inlineStr">
        <is>
          <t>Beauty &amp; fashion blogger/creator</t>
        </is>
      </c>
      <c r="I95" s="2" t="inlineStr">
        <is>
          <t>Delhi NCR</t>
        </is>
      </c>
      <c r="J95" s="2" t="inlineStr">
        <is>
          <t>B — Established Independent</t>
        </is>
      </c>
      <c r="K95" s="2" t="inlineStr">
        <is>
          <t>Independent creator/blog</t>
        </is>
      </c>
      <c r="L95" s="2" t="inlineStr">
        <is>
          <t>P0</t>
        </is>
      </c>
      <c r="M95" s="2" t="inlineStr">
        <is>
          <t>P0</t>
        </is>
      </c>
      <c r="N95" s="2" t="n">
        <v>76.59999999999999</v>
      </c>
      <c r="O95" s="2" t="n">
        <v>99</v>
      </c>
      <c r="P95" s="2" t="n">
        <v>66.59999999999999</v>
      </c>
      <c r="Q95" s="2" t="n">
        <v>71</v>
      </c>
      <c r="R95" s="2" t="n">
        <v>35</v>
      </c>
      <c r="S95" s="2" t="inlineStr">
        <is>
          <t>C1-DIRECT-VERIFIED</t>
        </is>
      </c>
      <c r="T95" s="2" t="inlineStr">
        <is>
          <t>Personal 1:1 email from founder/team to published business email</t>
        </is>
      </c>
      <c r="U95" s="2" t="inlineStr">
        <is>
          <t>https://www.heartbowsmakeup.com/contact-me-pr-advertising/</t>
        </is>
      </c>
      <c r="V95" s="2" t="inlineStr">
        <is>
          <t>undated (site live 2026)</t>
        </is>
      </c>
      <c r="W95" s="2" t="inlineStr">
        <is>
          <t>'Contact me – PR &amp; advertising' page listing past brand campaigns/collaborations; describes itself as PR-friendly, based in New Delhi</t>
        </is>
      </c>
      <c r="X95" s="2" t="inlineStr"/>
      <c r="Y95" s="2" t="inlineStr">
        <is>
          <t>Readiness 77 (top 2% in category) | Commercial: 'Contact me – PR &amp; advertising' page listing past brand campaigns/collaborations; describ… | Active: undated (site live 2026) | Independent/emerging tier — fame not a factor</t>
        </is>
      </c>
      <c r="Z95" s="2" t="inlineStr">
        <is>
          <t>Lead with their writing/beat. Content work as a professional service for brands; clients, not audience.</t>
        </is>
      </c>
      <c r="AA95" s="2" t="inlineStr">
        <is>
          <t>Works through agencies/creator platforms; wants evidence brands are on the platform.</t>
        </is>
      </c>
      <c r="AB95" s="2" t="inlineStr">
        <is>
          <t>Work via agencies/creator platforms; wants proof brands/clients are present</t>
        </is>
      </c>
      <c r="AC95" s="2" t="inlineStr">
        <is>
          <t>E03-CTA-B Written terms + registration link</t>
        </is>
      </c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  <c r="AK95" s="2" t="inlineStr"/>
      <c r="AL95" s="2" t="inlineStr"/>
      <c r="AM95" s="2" t="inlineStr"/>
      <c r="AN95" s="2" t="inlineStr"/>
      <c r="AO95" s="2" t="inlineStr"/>
      <c r="AP95" s="2" t="inlineStr"/>
      <c r="AQ95" s="2" t="inlineStr"/>
      <c r="AR95" s="2" t="inlineStr"/>
      <c r="AS95" s="2" t="inlineStr"/>
      <c r="AT95" s="2" t="inlineStr"/>
      <c r="AU95" s="2" t="inlineStr"/>
      <c r="AV95" s="2" t="inlineStr"/>
      <c r="AW95" s="2" t="inlineStr"/>
      <c r="AX95" s="2" t="inlineStr"/>
    </row>
    <row r="96">
      <c r="A96" s="2" t="n">
        <v>95</v>
      </c>
      <c r="B96" s="2" t="inlineStr">
        <is>
          <t>Wave 1 — Founding cohort</t>
        </is>
      </c>
      <c r="C96" s="2" t="inlineStr">
        <is>
          <t>UPK2-DV-050</t>
        </is>
      </c>
      <c r="D96" s="2" t="inlineStr">
        <is>
          <t>Dead End Right</t>
        </is>
      </c>
      <c r="E96" s="2" t="inlineStr">
        <is>
          <t>Digital &amp; Visual Arts</t>
        </is>
      </c>
      <c r="F96" s="2" t="inlineStr">
        <is>
          <t>DV-ARTIST-ILLUSTRATOR</t>
        </is>
      </c>
      <c r="G96" s="2" t="inlineStr">
        <is>
          <t>Home &amp; Space</t>
        </is>
      </c>
      <c r="H96" s="2" t="inlineStr">
        <is>
          <t>Creative studio — editorial design, film, sound</t>
        </is>
      </c>
      <c r="I96" s="2" t="inlineStr">
        <is>
          <t>Bengaluru</t>
        </is>
      </c>
      <c r="J96" s="2" t="inlineStr">
        <is>
          <t>B — Established Independent</t>
        </is>
      </c>
      <c r="K96" s="2" t="inlineStr">
        <is>
          <t>Independent creative studio</t>
        </is>
      </c>
      <c r="L96" s="2" t="inlineStr">
        <is>
          <t>P0</t>
        </is>
      </c>
      <c r="M96" s="2" t="inlineStr">
        <is>
          <t>P1</t>
        </is>
      </c>
      <c r="N96" s="2" t="n">
        <v>72.8</v>
      </c>
      <c r="O96" s="2" t="n">
        <v>77</v>
      </c>
      <c r="P96" s="2" t="n">
        <v>66.59999999999999</v>
      </c>
      <c r="Q96" s="2" t="n">
        <v>74</v>
      </c>
      <c r="R96" s="2" t="n">
        <v>40</v>
      </c>
      <c r="S96" s="2" t="inlineStr">
        <is>
          <t>C1-DIRECT-VERIFIED</t>
        </is>
      </c>
      <c r="T96" s="2" t="inlineStr">
        <is>
          <t>Personal 1:1 email from founder/team to published business email</t>
        </is>
      </c>
      <c r="U96" s="2" t="inlineStr">
        <is>
          <t>https://www.deadendright.com/</t>
        </is>
      </c>
      <c r="V96" s="2" t="inlineStr">
        <is>
          <t>2026 — Kyoorius Design Awards 2026 Blue Elephant for Luru Magazine issues 03 &amp; 04 (KDA gallery)</t>
        </is>
      </c>
      <c r="W96" s="2" t="inlineStr">
        <is>
          <t>Publishes Luru Magazine; agency work in film and behavioural-science-led campaigns</t>
        </is>
      </c>
      <c r="X96" s="2" t="inlineStr">
        <is>
          <t>Kyoorius Design Awards (2026 Blue Elephant, Editorial Design)</t>
        </is>
      </c>
      <c r="Y96" s="2" t="inlineStr">
        <is>
          <t>Readiness 73 (top 24% in category) | Commercial: Publishes Luru Magazine; agency work in film and behavioural-science-led campaigns | Active: 2026 — Kyoorius Design Awards 2026 Blue Elephant for Luru Magazine is… | Independent/emerging tier — fame not a factor</t>
        </is>
      </c>
      <c r="Z96" s="2" t="inlineStr">
        <is>
          <t>Lead with a specific work or series. Selling original work and commissions under their own name.</t>
        </is>
      </c>
      <c r="AA96" s="2" t="inlineStr">
        <is>
          <t>Studio already has own media property</t>
        </is>
      </c>
      <c r="AB96" s="2" t="inlineStr">
        <is>
          <t>Commission pricing control; IP of artwork; price pressure</t>
        </is>
      </c>
      <c r="AC96" s="2" t="inlineStr">
        <is>
          <t>E03-CTA-A Reply/15-min call</t>
        </is>
      </c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  <c r="AK96" s="2" t="inlineStr"/>
      <c r="AL96" s="2" t="inlineStr"/>
      <c r="AM96" s="2" t="inlineStr"/>
      <c r="AN96" s="2" t="inlineStr"/>
      <c r="AO96" s="2" t="inlineStr"/>
      <c r="AP96" s="2" t="inlineStr"/>
      <c r="AQ96" s="2" t="inlineStr"/>
      <c r="AR96" s="2" t="inlineStr"/>
      <c r="AS96" s="2" t="inlineStr"/>
      <c r="AT96" s="2" t="inlineStr"/>
      <c r="AU96" s="2" t="inlineStr"/>
      <c r="AV96" s="2" t="inlineStr"/>
      <c r="AW96" s="2" t="inlineStr"/>
      <c r="AX96" s="2" t="inlineStr"/>
    </row>
    <row r="97">
      <c r="A97" s="2" t="n">
        <v>96</v>
      </c>
      <c r="B97" s="2" t="inlineStr">
        <is>
          <t>Wave 1 — Founding cohort</t>
        </is>
      </c>
      <c r="C97" s="2" t="inlineStr">
        <is>
          <t>UPK2-DV-004</t>
        </is>
      </c>
      <c r="D97" s="2" t="inlineStr">
        <is>
          <t>CalliScript</t>
        </is>
      </c>
      <c r="E97" s="2" t="inlineStr">
        <is>
          <t>Digital &amp; Visual Arts</t>
        </is>
      </c>
      <c r="F97" s="2" t="inlineStr">
        <is>
          <t>DV-CALLIGRAPHY-STATIONERY</t>
        </is>
      </c>
      <c r="G97" s="2" t="inlineStr">
        <is>
          <t>Wedding &amp; Occasion</t>
        </is>
      </c>
      <c r="H97" s="2" t="inlineStr">
        <is>
          <t>Calligrapher, workshops &amp; commissions</t>
        </is>
      </c>
      <c r="I97" s="2" t="inlineStr">
        <is>
          <t>Mumbai</t>
        </is>
      </c>
      <c r="J97" s="2" t="inlineStr">
        <is>
          <t>B — Established Independent</t>
        </is>
      </c>
      <c r="K97" s="2" t="inlineStr">
        <is>
          <t>Calligraphy studio</t>
        </is>
      </c>
      <c r="L97" s="2" t="inlineStr">
        <is>
          <t>P0</t>
        </is>
      </c>
      <c r="M97" s="2" t="inlineStr">
        <is>
          <t>P0</t>
        </is>
      </c>
      <c r="N97" s="2" t="n">
        <v>75</v>
      </c>
      <c r="O97" s="2" t="n">
        <v>91</v>
      </c>
      <c r="P97" s="2" t="n">
        <v>65.7</v>
      </c>
      <c r="Q97" s="2" t="n">
        <v>74</v>
      </c>
      <c r="R97" s="2" t="n">
        <v>30</v>
      </c>
      <c r="S97" s="2" t="inlineStr">
        <is>
          <t>C1-DIRECT-VERIFIED</t>
        </is>
      </c>
      <c r="T97" s="2" t="inlineStr">
        <is>
          <t>Personal 1:1 email from founder/team to published business email</t>
        </is>
      </c>
      <c r="U97" s="2" t="inlineStr">
        <is>
          <t>https://www.calliscript.com/contact</t>
        </is>
      </c>
      <c r="V97" s="2" t="inlineStr">
        <is>
          <t>2026 — site references 2024–2026</t>
        </is>
      </c>
      <c r="W97" s="2" t="inlineStr">
        <is>
          <t>Site: conducts calligraphy workshops; founder-led studio</t>
        </is>
      </c>
      <c r="X97" s="2" t="inlineStr">
        <is>
          <t>Nibtique (Directory listing (lists Pune))</t>
        </is>
      </c>
      <c r="Y97" s="2" t="inlineStr">
        <is>
          <t>Readiness 75 (top 10% in category) | Commercial: Site: conducts calligraphy workshops; founder-led studio | Active: 2026 — site references 2024–2026 | Independent/emerging tier — fame not a factor</t>
        </is>
      </c>
      <c r="Z97" s="2" t="inlineStr">
        <is>
          <t>Lead with a specific commission (stationery/engraving). Artists who sell both work and commissioned services.</t>
        </is>
      </c>
      <c r="AA97" s="2" t="inlineStr">
        <is>
          <t>Workshop-led revenue may not need marketplace</t>
        </is>
      </c>
      <c r="AB97" s="2" t="inlineStr">
        <is>
          <t>Commission pricing control; IP of artwork; price pressure</t>
        </is>
      </c>
      <c r="AC97" s="2" t="inlineStr">
        <is>
          <t>E03-CTA-B Written terms + registration link</t>
        </is>
      </c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  <c r="AK97" s="2" t="inlineStr"/>
      <c r="AL97" s="2" t="inlineStr"/>
      <c r="AM97" s="2" t="inlineStr"/>
      <c r="AN97" s="2" t="inlineStr"/>
      <c r="AO97" s="2" t="inlineStr"/>
      <c r="AP97" s="2" t="inlineStr"/>
      <c r="AQ97" s="2" t="inlineStr"/>
      <c r="AR97" s="2" t="inlineStr"/>
      <c r="AS97" s="2" t="inlineStr"/>
      <c r="AT97" s="2" t="inlineStr"/>
      <c r="AU97" s="2" t="inlineStr"/>
      <c r="AV97" s="2" t="inlineStr"/>
      <c r="AW97" s="2" t="inlineStr"/>
      <c r="AX97" s="2" t="inlineStr"/>
    </row>
    <row r="98">
      <c r="A98" s="2" t="n">
        <v>97</v>
      </c>
      <c r="B98" s="2" t="inlineStr">
        <is>
          <t>Wave 1 — Founding cohort</t>
        </is>
      </c>
      <c r="C98" s="2" t="inlineStr">
        <is>
          <t>UPK2-DV-033</t>
        </is>
      </c>
      <c r="D98" s="2" t="inlineStr">
        <is>
          <t>Beyondesign</t>
        </is>
      </c>
      <c r="E98" s="2" t="inlineStr">
        <is>
          <t>Digital &amp; Visual Arts</t>
        </is>
      </c>
      <c r="F98" s="2" t="inlineStr">
        <is>
          <t>DV-DESIGN-STUDIO</t>
        </is>
      </c>
      <c r="G98" s="2" t="inlineStr">
        <is>
          <t>Brand &amp; Everyday Style</t>
        </is>
      </c>
      <c r="H98" s="2" t="inlineStr">
        <is>
          <t>Branding &amp; packaging design studio</t>
        </is>
      </c>
      <c r="I98" s="2" t="inlineStr">
        <is>
          <t>Mumbai</t>
        </is>
      </c>
      <c r="J98" s="2" t="inlineStr">
        <is>
          <t>B — Established Independent</t>
        </is>
      </c>
      <c r="K98" s="2" t="inlineStr">
        <is>
          <t>Independent design studio</t>
        </is>
      </c>
      <c r="L98" s="2" t="inlineStr">
        <is>
          <t>P0</t>
        </is>
      </c>
      <c r="M98" s="2" t="inlineStr">
        <is>
          <t>P1</t>
        </is>
      </c>
      <c r="N98" s="2" t="n">
        <v>75</v>
      </c>
      <c r="O98" s="2" t="n">
        <v>91</v>
      </c>
      <c r="P98" s="2" t="n">
        <v>65.3</v>
      </c>
      <c r="Q98" s="2" t="n">
        <v>76</v>
      </c>
      <c r="R98" s="2" t="n">
        <v>25</v>
      </c>
      <c r="S98" s="2" t="inlineStr">
        <is>
          <t>C1-DIRECT-VERIFIED</t>
        </is>
      </c>
      <c r="T98" s="2" t="inlineStr">
        <is>
          <t>Personal 1:1 email from founder/team to published business email</t>
        </is>
      </c>
      <c r="U98" s="2" t="inlineStr">
        <is>
          <t>https://beyondesign.in/</t>
        </is>
      </c>
      <c r="V98" s="2" t="inlineStr">
        <is>
          <t>2026 — site ©2026; 21 years in practice</t>
        </is>
      </c>
      <c r="W98" s="2" t="inlineStr">
        <is>
          <t>Independent all-women brand and design studio</t>
        </is>
      </c>
      <c r="X98" s="2" t="inlineStr">
        <is>
          <t>fueler.io city listicle (listed (discovery seed only))</t>
        </is>
      </c>
      <c r="Y98" s="2" t="inlineStr">
        <is>
          <t>Readiness 75 (top 10% in category) | Commercial: Independent all-women brand and design studio | Active: 2026 — site ©2026; 21 years in practice | Independent/emerging tier — fame not a factor</t>
        </is>
      </c>
      <c r="Z98" s="2" t="inlineStr">
        <is>
          <t>Lead with a specific identity/packaging project. Design services under the studio's own name; link to labels in the Brand pod.</t>
        </is>
      </c>
      <c r="AA98" s="2" t="inlineStr">
        <is>
          <t>Already on Behance/Fiverr/Upwork; fears price-undercutting and another profile to maintain.</t>
        </is>
      </c>
      <c r="AB98" s="2" t="inlineStr">
        <is>
          <t>Commission pricing control; IP of artwork; price pressure</t>
        </is>
      </c>
      <c r="AC98" s="2" t="inlineStr">
        <is>
          <t>E03-CTA-A Reply/15-min call</t>
        </is>
      </c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  <c r="AK98" s="2" t="inlineStr"/>
      <c r="AL98" s="2" t="inlineStr"/>
      <c r="AM98" s="2" t="inlineStr"/>
      <c r="AN98" s="2" t="inlineStr"/>
      <c r="AO98" s="2" t="inlineStr"/>
      <c r="AP98" s="2" t="inlineStr"/>
      <c r="AQ98" s="2" t="inlineStr"/>
      <c r="AR98" s="2" t="inlineStr"/>
      <c r="AS98" s="2" t="inlineStr"/>
      <c r="AT98" s="2" t="inlineStr"/>
      <c r="AU98" s="2" t="inlineStr"/>
      <c r="AV98" s="2" t="inlineStr"/>
      <c r="AW98" s="2" t="inlineStr"/>
      <c r="AX98" s="2" t="inlineStr"/>
    </row>
    <row r="99">
      <c r="A99" s="2" t="n">
        <v>98</v>
      </c>
      <c r="B99" s="2" t="inlineStr">
        <is>
          <t>Wave 1 — Founding cohort</t>
        </is>
      </c>
      <c r="C99" s="2" t="inlineStr">
        <is>
          <t>UPK2-DV-015</t>
        </is>
      </c>
      <c r="D99" s="2" t="inlineStr">
        <is>
          <t>Anant Kulkarni</t>
        </is>
      </c>
      <c r="E99" s="2" t="inlineStr">
        <is>
          <t>Digital &amp; Visual Arts</t>
        </is>
      </c>
      <c r="F99" s="2" t="inlineStr">
        <is>
          <t>DV-ARTIST-ILLUSTRATOR</t>
        </is>
      </c>
      <c r="G99" s="2" t="inlineStr">
        <is>
          <t>Home &amp; Space</t>
        </is>
      </c>
      <c r="H99" s="2" t="inlineStr">
        <is>
          <t>Illustrator &amp; graphic designer</t>
        </is>
      </c>
      <c r="I99" s="2" t="inlineStr">
        <is>
          <t>Mumbai</t>
        </is>
      </c>
      <c r="J99" s="2" t="inlineStr">
        <is>
          <t>B — Established Independent</t>
        </is>
      </c>
      <c r="K99" s="2" t="inlineStr">
        <is>
          <t>Freelance illustrator / educator</t>
        </is>
      </c>
      <c r="L99" s="2" t="inlineStr">
        <is>
          <t>P0</t>
        </is>
      </c>
      <c r="M99" s="2" t="inlineStr">
        <is>
          <t>P1</t>
        </is>
      </c>
      <c r="N99" s="2" t="n">
        <v>69.3</v>
      </c>
      <c r="O99" s="2" t="n">
        <v>63</v>
      </c>
      <c r="P99" s="2" t="n">
        <v>63.6</v>
      </c>
      <c r="Q99" s="2" t="n">
        <v>70</v>
      </c>
      <c r="R99" s="2" t="n">
        <v>40</v>
      </c>
      <c r="S99" s="2" t="inlineStr">
        <is>
          <t>C1-DIRECT-VERIFIED</t>
        </is>
      </c>
      <c r="T99" s="2" t="inlineStr">
        <is>
          <t>Personal 1:1 email from founder/team to published business email</t>
        </is>
      </c>
      <c r="U99" s="2" t="inlineStr">
        <is>
          <t>https://www.anantkulkarni.com/</t>
        </is>
      </c>
      <c r="V99" s="2" t="inlineStr">
        <is>
          <t>undated (site live 2026)</t>
        </is>
      </c>
      <c r="W99" s="2" t="inlineStr">
        <is>
          <t>Site: illustrator and graphic designer from Mumbai with 25+ years experience; also teaches</t>
        </is>
      </c>
      <c r="X99" s="2" t="inlineStr"/>
      <c r="Y99" s="2" t="inlineStr">
        <is>
          <t>Readiness 69 (top 38% in category) | Commercial: Site: illustrator and graphic designer from Mumbai with 25+ years experience; also teaches | Active: undated (site live 2026) | Independent/emerging tier — fame not a factor</t>
        </is>
      </c>
      <c r="Z99" s="2" t="inlineStr">
        <is>
          <t>Lead with a specific work or series. Selling original work and commissions under their own name.</t>
        </is>
      </c>
      <c r="AA99" s="2" t="inlineStr">
        <is>
          <t>Teaching commitments; established client base</t>
        </is>
      </c>
      <c r="AB99" s="2" t="inlineStr">
        <is>
          <t>Commission pricing control; IP of artwork; price pressure</t>
        </is>
      </c>
      <c r="AC99" s="2" t="inlineStr">
        <is>
          <t>E03-CTA-B Written terms + registration link</t>
        </is>
      </c>
      <c r="AD99" s="2" t="inlineStr"/>
      <c r="AE99" s="2" t="inlineStr"/>
      <c r="AF99" s="2" t="inlineStr"/>
      <c r="AG99" s="2" t="inlineStr"/>
      <c r="AH99" s="2" t="inlineStr"/>
      <c r="AI99" s="2" t="inlineStr"/>
      <c r="AJ99" s="2" t="inlineStr"/>
      <c r="AK99" s="2" t="inlineStr"/>
      <c r="AL99" s="2" t="inlineStr"/>
      <c r="AM99" s="2" t="inlineStr"/>
      <c r="AN99" s="2" t="inlineStr"/>
      <c r="AO99" s="2" t="inlineStr"/>
      <c r="AP99" s="2" t="inlineStr"/>
      <c r="AQ99" s="2" t="inlineStr"/>
      <c r="AR99" s="2" t="inlineStr"/>
      <c r="AS99" s="2" t="inlineStr"/>
      <c r="AT99" s="2" t="inlineStr"/>
      <c r="AU99" s="2" t="inlineStr"/>
      <c r="AV99" s="2" t="inlineStr"/>
      <c r="AW99" s="2" t="inlineStr"/>
      <c r="AX99" s="2" t="inlineStr"/>
    </row>
    <row r="100">
      <c r="A100" s="2" t="n">
        <v>99</v>
      </c>
      <c r="B100" s="2" t="inlineStr">
        <is>
          <t>Wave 1 — Founding cohort</t>
        </is>
      </c>
      <c r="C100" s="2" t="inlineStr">
        <is>
          <t>UPK2-DV-051</t>
        </is>
      </c>
      <c r="D100" s="2" t="inlineStr">
        <is>
          <t>From&amp;To</t>
        </is>
      </c>
      <c r="E100" s="2" t="inlineStr">
        <is>
          <t>Digital &amp; Visual Arts</t>
        </is>
      </c>
      <c r="F100" s="2" t="inlineStr">
        <is>
          <t>DV-DESIGN-STUDIO</t>
        </is>
      </c>
      <c r="G100" s="2" t="inlineStr">
        <is>
          <t>Brand &amp; Everyday Style</t>
        </is>
      </c>
      <c r="H100" s="2" t="inlineStr">
        <is>
          <t>Branding, website, book &amp; editorial design studio</t>
        </is>
      </c>
      <c r="I100" s="2" t="inlineStr">
        <is>
          <t>Mumbai</t>
        </is>
      </c>
      <c r="J100" s="2" t="inlineStr">
        <is>
          <t>A — Emerging / High-potential</t>
        </is>
      </c>
      <c r="K100" s="2" t="inlineStr">
        <is>
          <t>Independent design studio (founded 2023)</t>
        </is>
      </c>
      <c r="L100" s="2" t="inlineStr">
        <is>
          <t>P0</t>
        </is>
      </c>
      <c r="M100" s="2" t="inlineStr">
        <is>
          <t>P0</t>
        </is>
      </c>
      <c r="N100" s="2" t="n">
        <v>72.40000000000001</v>
      </c>
      <c r="O100" s="2" t="n">
        <v>74</v>
      </c>
      <c r="P100" s="2" t="n">
        <v>62.3</v>
      </c>
      <c r="Q100" s="2" t="n">
        <v>67</v>
      </c>
      <c r="R100" s="2" t="n">
        <v>30</v>
      </c>
      <c r="S100" s="2" t="inlineStr">
        <is>
          <t>C1-DIRECT-VERIFIED</t>
        </is>
      </c>
      <c r="T100" s="2" t="inlineStr">
        <is>
          <t>Personal 1:1 email from founder/team to published business email</t>
        </is>
      </c>
      <c r="U100" s="2" t="inlineStr">
        <is>
          <t>https://www.fromandto.design/</t>
        </is>
      </c>
      <c r="V100" s="2" t="inlineStr">
        <is>
          <t>2026 — Kyoorius Design Awards 2026 entrant (KDA gallery); site ©2026</t>
        </is>
      </c>
      <c r="W100" s="2" t="inlineStr">
        <is>
          <t>Studio services: brand identities, interactive websites, data visualisation, books</t>
        </is>
      </c>
      <c r="X100" s="2" t="inlineStr">
        <is>
          <t>Kyoorius Design Awards (2026 entrant)</t>
        </is>
      </c>
      <c r="Y100" s="2" t="inlineStr">
        <is>
          <t>Readiness 72 (top 27% in category) | Commercial: Studio services: brand identities, interactive websites, data visualisation, books | Active: 2026 — Kyoorius Design Awards 2026 entrant (KDA gallery); site ©2026 | Independent/emerging tier — fame not a factor</t>
        </is>
      </c>
      <c r="Z100" s="2" t="inlineStr">
        <is>
          <t>Lead with a specific identity/packaging project. Design services under the studio's own name; link to labels in the Brand pod.</t>
        </is>
      </c>
      <c r="AA100" s="2" t="inlineStr">
        <is>
          <t>Very small team; capacity limits</t>
        </is>
      </c>
      <c r="AB100" s="2" t="inlineStr">
        <is>
          <t>Commission pricing control; IP of artwork; price pressure</t>
        </is>
      </c>
      <c r="AC100" s="2" t="inlineStr">
        <is>
          <t>E03-CTA-A Reply/15-min call</t>
        </is>
      </c>
      <c r="AD100" s="2" t="inlineStr"/>
      <c r="AE100" s="2" t="inlineStr"/>
      <c r="AF100" s="2" t="inlineStr"/>
      <c r="AG100" s="2" t="inlineStr"/>
      <c r="AH100" s="2" t="inlineStr"/>
      <c r="AI100" s="2" t="inlineStr"/>
      <c r="AJ100" s="2" t="inlineStr"/>
      <c r="AK100" s="2" t="inlineStr"/>
      <c r="AL100" s="2" t="inlineStr"/>
      <c r="AM100" s="2" t="inlineStr"/>
      <c r="AN100" s="2" t="inlineStr"/>
      <c r="AO100" s="2" t="inlineStr"/>
      <c r="AP100" s="2" t="inlineStr"/>
      <c r="AQ100" s="2" t="inlineStr"/>
      <c r="AR100" s="2" t="inlineStr"/>
      <c r="AS100" s="2" t="inlineStr"/>
      <c r="AT100" s="2" t="inlineStr"/>
      <c r="AU100" s="2" t="inlineStr"/>
      <c r="AV100" s="2" t="inlineStr"/>
      <c r="AW100" s="2" t="inlineStr"/>
      <c r="AX100" s="2" t="inlineStr"/>
    </row>
    <row r="101">
      <c r="A101" s="2" t="n">
        <v>100</v>
      </c>
      <c r="B101" s="2" t="inlineStr">
        <is>
          <t>Wave 1 — Founding cohort</t>
        </is>
      </c>
      <c r="C101" s="2" t="inlineStr">
        <is>
          <t>UPK2-DV-043</t>
        </is>
      </c>
      <c r="D101" s="2" t="inlineStr">
        <is>
          <t>Kamachi Studio</t>
        </is>
      </c>
      <c r="E101" s="2" t="inlineStr">
        <is>
          <t>Digital &amp; Visual Arts</t>
        </is>
      </c>
      <c r="F101" s="2" t="inlineStr">
        <is>
          <t>DV-ARTIST-ILLUSTRATOR</t>
        </is>
      </c>
      <c r="G101" s="2" t="inlineStr">
        <is>
          <t>Home &amp; Space</t>
        </is>
      </c>
      <c r="H101" s="2" t="inlineStr">
        <is>
          <t>Illustration &amp; animation studio</t>
        </is>
      </c>
      <c r="I101" s="2" t="inlineStr">
        <is>
          <t>Mumbai</t>
        </is>
      </c>
      <c r="J101" s="2" t="inlineStr">
        <is>
          <t>A — Emerging / High-potential</t>
        </is>
      </c>
      <c r="K101" s="2" t="inlineStr">
        <is>
          <t>Independent illustration/animation studio</t>
        </is>
      </c>
      <c r="L101" s="2" t="inlineStr">
        <is>
          <t>P0</t>
        </is>
      </c>
      <c r="M101" s="2" t="inlineStr">
        <is>
          <t>P0</t>
        </is>
      </c>
      <c r="N101" s="2" t="n">
        <v>72.40000000000001</v>
      </c>
      <c r="O101" s="2" t="n">
        <v>74</v>
      </c>
      <c r="P101" s="2" t="n">
        <v>61.9</v>
      </c>
      <c r="Q101" s="2" t="n">
        <v>69</v>
      </c>
      <c r="R101" s="2" t="n">
        <v>25</v>
      </c>
      <c r="S101" s="2" t="inlineStr">
        <is>
          <t>C1-DIRECT-VERIFIED</t>
        </is>
      </c>
      <c r="T101" s="2" t="inlineStr">
        <is>
          <t>Personal 1:1 email from founder/team to published business email</t>
        </is>
      </c>
      <c r="U101" s="2" t="inlineStr">
        <is>
          <t>https://www.kamachistudio.com/</t>
        </is>
      </c>
      <c r="V101" s="2" t="inlineStr">
        <is>
          <t>2026 — Kyoorius Design Awards 2026 Blue Elephant, Illustration for Design: Animation &amp; Motion ('Chitragaatha')</t>
        </is>
      </c>
      <c r="W101" s="2" t="inlineStr">
        <is>
          <t>Has 'Our Work' and 'Shop' sections</t>
        </is>
      </c>
      <c r="X101" s="2" t="inlineStr">
        <is>
          <t>Kyoorius Design Awards (2026 Blue Elephant)</t>
        </is>
      </c>
      <c r="Y101" s="2" t="inlineStr">
        <is>
          <t>Readiness 72 (top 27% in category) | Commercial: Has 'Our Work' and 'Shop' sections | Active: 2026 — Kyoorius Design Awards 2026 Blue Elephant, Illustration for De… | Independent/emerging tier — fame not a factor</t>
        </is>
      </c>
      <c r="Z101" s="2" t="inlineStr">
        <is>
          <t>Lead with a specific work or series. Selling original work and commissions under their own name.</t>
        </is>
      </c>
      <c r="AA101" s="2" t="inlineStr">
        <is>
          <t>Already on Behance/Fiverr/Upwork; fears price-undercutting and another profile to maintain.</t>
        </is>
      </c>
      <c r="AB101" s="2" t="inlineStr">
        <is>
          <t>Commission pricing control; IP of artwork; price pressure</t>
        </is>
      </c>
      <c r="AC101" s="2" t="inlineStr">
        <is>
          <t>E03-CTA-B Written terms + registration link</t>
        </is>
      </c>
      <c r="AD101" s="2" t="inlineStr"/>
      <c r="AE101" s="2" t="inlineStr"/>
      <c r="AF101" s="2" t="inlineStr"/>
      <c r="AG101" s="2" t="inlineStr"/>
      <c r="AH101" s="2" t="inlineStr"/>
      <c r="AI101" s="2" t="inlineStr"/>
      <c r="AJ101" s="2" t="inlineStr"/>
      <c r="AK101" s="2" t="inlineStr"/>
      <c r="AL101" s="2" t="inlineStr"/>
      <c r="AM101" s="2" t="inlineStr"/>
      <c r="AN101" s="2" t="inlineStr"/>
      <c r="AO101" s="2" t="inlineStr"/>
      <c r="AP101" s="2" t="inlineStr"/>
      <c r="AQ101" s="2" t="inlineStr"/>
      <c r="AR101" s="2" t="inlineStr"/>
      <c r="AS101" s="2" t="inlineStr"/>
      <c r="AT101" s="2" t="inlineStr"/>
      <c r="AU101" s="2" t="inlineStr"/>
      <c r="AV101" s="2" t="inlineStr"/>
      <c r="AW101" s="2" t="inlineStr"/>
      <c r="AX101" s="2" t="inlineStr"/>
    </row>
  </sheetData>
  <autoFilter ref="A1:AX101"/>
  <dataValidations count="1">
    <dataValidation sqref="AE2:AE101" showDropDown="0" showInputMessage="0" showErrorMessage="0" allowBlank="1" type="list">
      <formula1>STAGES!$A$2:$A$18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t="inlineStr">
        <is>
          <t>Stage (dropdown values)</t>
        </is>
      </c>
      <c r="B1" t="inlineStr">
        <is>
          <t>Counts when — see UEPAKI_ACQUISITION_FUNNEL_AND_KPI_FRAMEWORK.md</t>
        </is>
      </c>
    </row>
    <row r="2">
      <c r="A2" t="inlineStr">
        <is>
          <t>0 Prospect</t>
        </is>
      </c>
      <c r="B2" t="inlineStr">
        <is>
          <t>Record exists in master</t>
        </is>
      </c>
    </row>
    <row r="3">
      <c r="A3" t="inlineStr">
        <is>
          <t>1 Contactable</t>
        </is>
      </c>
      <c r="B3" t="inlineStr">
        <is>
          <t>Verified C1/C3 route re-checked on outreach day</t>
        </is>
      </c>
    </row>
    <row r="4">
      <c r="A4" t="inlineStr">
        <is>
          <t>2 Contacted</t>
        </is>
      </c>
      <c r="B4" t="inlineStr">
        <is>
          <t>1:1 human-written message sent</t>
        </is>
      </c>
    </row>
    <row r="5">
      <c r="A5" t="inlineStr">
        <is>
          <t>3 Delivered</t>
        </is>
      </c>
      <c r="B5" t="inlineStr">
        <is>
          <t>No bounce/failure within 48h</t>
        </is>
      </c>
    </row>
    <row r="6">
      <c r="A6" t="inlineStr">
        <is>
          <t>4 Engaged</t>
        </is>
      </c>
      <c r="B6" t="inlineStr">
        <is>
          <t>Any human reply within 21 days (incl. no)</t>
        </is>
      </c>
    </row>
    <row r="7">
      <c r="A7" t="inlineStr">
        <is>
          <t>5 Interested</t>
        </is>
      </c>
      <c r="B7" t="inlineStr">
        <is>
          <t>Positive intent: asks about joining / agrees to call / asks for terms</t>
        </is>
      </c>
    </row>
    <row r="8">
      <c r="A8" t="inlineStr">
        <is>
          <t>6 Info requested</t>
        </is>
      </c>
      <c r="B8" t="inlineStr">
        <is>
          <t>Terms/steps sent on request, or call held</t>
        </is>
      </c>
    </row>
    <row r="9">
      <c r="A9" t="inlineStr">
        <is>
          <t>7 Registration started</t>
        </is>
      </c>
      <c r="B9" t="inlineStr">
        <is>
          <t>Seller account exists for their identity</t>
        </is>
      </c>
    </row>
    <row r="10">
      <c r="A10" t="inlineStr">
        <is>
          <t>8 Registration completed</t>
        </is>
      </c>
      <c r="B10" t="inlineStr">
        <is>
          <t>Flow finished incl. ₹1 + GST web charge</t>
        </is>
      </c>
    </row>
    <row r="11">
      <c r="A11" t="inlineStr">
        <is>
          <t>9 KYC/Approved</t>
        </is>
      </c>
      <c r="B11" t="inlineStr">
        <is>
          <t>Approved to sell under current checks (confirm live checks)</t>
        </is>
      </c>
    </row>
    <row r="12">
      <c r="A12" t="inlineStr">
        <is>
          <t>10 Profile completed</t>
        </is>
      </c>
      <c r="B12" t="inlineStr">
        <is>
          <t>Meets profile standard incl. consent-to-be-named recorded</t>
        </is>
      </c>
    </row>
    <row r="13">
      <c r="A13" t="inlineStr">
        <is>
          <t>11 First listing</t>
        </is>
      </c>
      <c r="B13" t="inlineStr">
        <is>
          <t>≥1 product/service/design listing visible to customers</t>
        </is>
      </c>
    </row>
    <row r="14">
      <c r="A14" t="inlineStr">
        <is>
          <t>12 Activated</t>
        </is>
      </c>
      <c r="B14" t="inlineStr">
        <is>
          <t>Approved + profile + first listing + payout details complete</t>
        </is>
      </c>
    </row>
    <row r="15">
      <c r="A15" t="inlineStr">
        <is>
          <t>13 First enquiry/order/booking</t>
        </is>
      </c>
      <c r="B15" t="inlineStr">
        <is>
          <t>First genuine customer enquiry/order/booking via Uepaki</t>
        </is>
      </c>
    </row>
    <row r="16">
      <c r="A16" t="inlineStr">
        <is>
          <t>X Declined</t>
        </is>
      </c>
      <c r="B16" t="inlineStr">
        <is>
          <t>Said no — suppress permanently</t>
        </is>
      </c>
    </row>
    <row r="17">
      <c r="A17" t="inlineStr">
        <is>
          <t>X Do-not-contact</t>
        </is>
      </c>
      <c r="B17" t="inlineStr">
        <is>
          <t>Asked not to be contacted / complained — suppress</t>
        </is>
      </c>
    </row>
    <row r="18">
      <c r="A18" t="inlineStr">
        <is>
          <t>X Bounced/undeliverable</t>
        </is>
      </c>
      <c r="B18" t="inlineStr">
        <is>
          <t>Route failed — back to research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Composition</t>
        </is>
      </c>
    </row>
    <row r="3">
      <c r="A3" s="5" t="inlineStr">
        <is>
          <t>Category</t>
        </is>
      </c>
    </row>
    <row r="4">
      <c r="A4" t="inlineStr">
        <is>
          <t>Beauty &amp; Makeup</t>
        </is>
      </c>
      <c r="B4" t="n">
        <v>23</v>
      </c>
      <c r="C4" s="6">
        <f>B4/100</f>
        <v/>
      </c>
    </row>
    <row r="5">
      <c r="A5" t="inlineStr">
        <is>
          <t>Fashion &amp; Lifestyle</t>
        </is>
      </c>
      <c r="B5" t="n">
        <v>22</v>
      </c>
      <c r="C5" s="6">
        <f>B5/100</f>
        <v/>
      </c>
    </row>
    <row r="6">
      <c r="A6" t="inlineStr">
        <is>
          <t>Space &amp; Design</t>
        </is>
      </c>
      <c r="B6" t="n">
        <v>18</v>
      </c>
      <c r="C6" s="6">
        <f>B6/100</f>
        <v/>
      </c>
    </row>
    <row r="7">
      <c r="A7" t="inlineStr">
        <is>
          <t>Lens &amp; Motion</t>
        </is>
      </c>
      <c r="B7" t="n">
        <v>17</v>
      </c>
      <c r="C7" s="6">
        <f>B7/100</f>
        <v/>
      </c>
    </row>
    <row r="8">
      <c r="A8" t="inlineStr">
        <is>
          <t>Content &amp; Media</t>
        </is>
      </c>
      <c r="B8" t="n">
        <v>12</v>
      </c>
      <c r="C8" s="6">
        <f>B8/100</f>
        <v/>
      </c>
    </row>
    <row r="9">
      <c r="A9" t="inlineStr">
        <is>
          <t>Digital &amp; Visual Arts</t>
        </is>
      </c>
      <c r="B9" t="n">
        <v>8</v>
      </c>
      <c r="C9" s="6">
        <f>B9/100</f>
        <v/>
      </c>
    </row>
    <row r="11">
      <c r="A11" s="5" t="inlineStr">
        <is>
          <t>City</t>
        </is>
      </c>
    </row>
    <row r="12">
      <c r="A12" t="inlineStr">
        <is>
          <t>Delhi NCR</t>
        </is>
      </c>
      <c r="B12" t="n">
        <v>43</v>
      </c>
      <c r="C12" s="6">
        <f>B12/100</f>
        <v/>
      </c>
    </row>
    <row r="13">
      <c r="A13" t="inlineStr">
        <is>
          <t>Mumbai</t>
        </is>
      </c>
      <c r="B13" t="n">
        <v>37</v>
      </c>
      <c r="C13" s="6">
        <f>B13/100</f>
        <v/>
      </c>
    </row>
    <row r="14">
      <c r="A14" t="inlineStr">
        <is>
          <t>Bengaluru</t>
        </is>
      </c>
      <c r="B14" t="n">
        <v>10</v>
      </c>
      <c r="C14" s="6">
        <f>B14/100</f>
        <v/>
      </c>
    </row>
    <row r="15">
      <c r="A15" t="inlineStr">
        <is>
          <t>Jaipur</t>
        </is>
      </c>
      <c r="B15" t="n">
        <v>10</v>
      </c>
      <c r="C15" s="6">
        <f>B15/100</f>
        <v/>
      </c>
    </row>
    <row r="17">
      <c r="A17" s="5" t="inlineStr">
        <is>
          <t>Segment</t>
        </is>
      </c>
    </row>
    <row r="18">
      <c r="A18" t="inlineStr">
        <is>
          <t>BM-INDEPENDENT-MUA</t>
        </is>
      </c>
      <c r="B18" t="n">
        <v>11</v>
      </c>
      <c r="C18" s="6">
        <f>B18/100</f>
        <v/>
      </c>
    </row>
    <row r="19">
      <c r="A19" t="inlineStr">
        <is>
          <t>LM-WEDDING</t>
        </is>
      </c>
      <c r="B19" t="n">
        <v>9</v>
      </c>
      <c r="C19" s="6">
        <f>B19/100</f>
        <v/>
      </c>
    </row>
    <row r="20">
      <c r="A20" t="inlineStr">
        <is>
          <t>FL-OCCASION-BRIDAL</t>
        </is>
      </c>
      <c r="B20" t="n">
        <v>8</v>
      </c>
      <c r="C20" s="6">
        <f>B20/100</f>
        <v/>
      </c>
    </row>
    <row r="21">
      <c r="A21" t="inlineStr">
        <is>
          <t>BM-STUDIO</t>
        </is>
      </c>
      <c r="B21" t="n">
        <v>7</v>
      </c>
      <c r="C21" s="6">
        <f>B21/100</f>
        <v/>
      </c>
    </row>
    <row r="22">
      <c r="A22" t="inlineStr">
        <is>
          <t>FL-CONTEMPORARY</t>
        </is>
      </c>
      <c r="B22" t="n">
        <v>6</v>
      </c>
      <c r="C22" s="6">
        <f>B22/100</f>
        <v/>
      </c>
    </row>
    <row r="23">
      <c r="A23" t="inlineStr">
        <is>
          <t>SD-PRODUCT-MAKER</t>
        </is>
      </c>
      <c r="B23" t="n">
        <v>6</v>
      </c>
      <c r="C23" s="6">
        <f>B23/100</f>
        <v/>
      </c>
    </row>
    <row r="24">
      <c r="A24" t="inlineStr">
        <is>
          <t>SD-ARCHITECTURE</t>
        </is>
      </c>
      <c r="B24" t="n">
        <v>6</v>
      </c>
      <c r="C24" s="6">
        <f>B24/100</f>
        <v/>
      </c>
    </row>
    <row r="25">
      <c r="A25" t="inlineStr">
        <is>
          <t>SD-INTERIOR</t>
        </is>
      </c>
      <c r="B25" t="n">
        <v>6</v>
      </c>
      <c r="C25" s="6">
        <f>B25/100</f>
        <v/>
      </c>
    </row>
    <row r="26">
      <c r="A26" t="inlineStr">
        <is>
          <t>BM-MEHENDI</t>
        </is>
      </c>
      <c r="B26" t="n">
        <v>5</v>
      </c>
      <c r="C26" s="6">
        <f>B26/100</f>
        <v/>
      </c>
    </row>
    <row r="27">
      <c r="A27" t="inlineStr">
        <is>
          <t>CM-EMCEE-HOST</t>
        </is>
      </c>
      <c r="B27" t="n">
        <v>5</v>
      </c>
      <c r="C27" s="6">
        <f>B27/100</f>
        <v/>
      </c>
    </row>
    <row r="28">
      <c r="A28" t="inlineStr">
        <is>
          <t>FL-JEWELLERY</t>
        </is>
      </c>
      <c r="B28" t="n">
        <v>4</v>
      </c>
      <c r="C28" s="6">
        <f>B28/100</f>
        <v/>
      </c>
    </row>
    <row r="29">
      <c r="A29" t="inlineStr">
        <is>
          <t>LM-ARCH-INTERIOR</t>
        </is>
      </c>
      <c r="B29" t="n">
        <v>4</v>
      </c>
      <c r="C29" s="6">
        <f>B29/100</f>
        <v/>
      </c>
    </row>
    <row r="30">
      <c r="A30" t="inlineStr">
        <is>
          <t>LM-COMMERCIAL-FASHION</t>
        </is>
      </c>
      <c r="B30" t="n">
        <v>4</v>
      </c>
      <c r="C30" s="6">
        <f>B30/100</f>
        <v/>
      </c>
    </row>
    <row r="31">
      <c r="A31" t="inlineStr">
        <is>
          <t>CM-BLOGGER-WRITER</t>
        </is>
      </c>
      <c r="B31" t="n">
        <v>4</v>
      </c>
      <c r="C31" s="6">
        <f>B31/100</f>
        <v/>
      </c>
    </row>
    <row r="32">
      <c r="A32" t="inlineStr">
        <is>
          <t>DV-DESIGN-STUDIO</t>
        </is>
      </c>
      <c r="B32" t="n">
        <v>3</v>
      </c>
      <c r="C32" s="6">
        <f>B32/100</f>
        <v/>
      </c>
    </row>
    <row r="33">
      <c r="A33" t="inlineStr">
        <is>
          <t>DV-ARTIST-ILLUSTRATOR</t>
        </is>
      </c>
      <c r="B33" t="n">
        <v>3</v>
      </c>
      <c r="C33" s="6">
        <f>B33/100</f>
        <v/>
      </c>
    </row>
    <row r="34">
      <c r="A34" t="inlineStr">
        <is>
          <t>FL-ACCESSORIES</t>
        </is>
      </c>
      <c r="B34" t="n">
        <v>2</v>
      </c>
      <c r="C34" s="6">
        <f>B34/100</f>
        <v/>
      </c>
    </row>
    <row r="35">
      <c r="A35" t="inlineStr">
        <is>
          <t>DV-CALLIGRAPHY-STATIONERY</t>
        </is>
      </c>
      <c r="B35" t="n">
        <v>2</v>
      </c>
      <c r="C35" s="6">
        <f>B35/100</f>
        <v/>
      </c>
    </row>
    <row r="36">
      <c r="A36" t="inlineStr">
        <is>
          <t>FL-MENSWEAR</t>
        </is>
      </c>
      <c r="B36" t="n">
        <v>2</v>
      </c>
      <c r="C36" s="6">
        <f>B36/100</f>
        <v/>
      </c>
    </row>
    <row r="37">
      <c r="A37" t="inlineStr">
        <is>
          <t>CM-CONTENT-CREATOR</t>
        </is>
      </c>
      <c r="B37" t="n">
        <v>2</v>
      </c>
      <c r="C37" s="6">
        <f>B37/100</f>
        <v/>
      </c>
    </row>
    <row r="38">
      <c r="A38" t="inlineStr">
        <is>
          <t>CM-PRODUCTION</t>
        </is>
      </c>
      <c r="B38" t="n">
        <v>1</v>
      </c>
      <c r="C38" s="6">
        <f>B38/100</f>
        <v/>
      </c>
    </row>
    <row r="40">
      <c r="A40" s="5" t="inlineStr">
        <is>
          <t>Ecosystem Pod</t>
        </is>
      </c>
    </row>
    <row r="41">
      <c r="A41" t="inlineStr">
        <is>
          <t>Wedding &amp; Occasion</t>
        </is>
      </c>
      <c r="B41" t="n">
        <v>55</v>
      </c>
      <c r="C41" s="6">
        <f>B41/100</f>
        <v/>
      </c>
    </row>
    <row r="42">
      <c r="A42" t="inlineStr">
        <is>
          <t>Home &amp; Space</t>
        </is>
      </c>
      <c r="B42" t="n">
        <v>25</v>
      </c>
      <c r="C42" s="6">
        <f>B42/100</f>
        <v/>
      </c>
    </row>
    <row r="43">
      <c r="A43" t="inlineStr">
        <is>
          <t>Brand &amp; Everyday Style</t>
        </is>
      </c>
      <c r="B43" t="n">
        <v>20</v>
      </c>
      <c r="C43" s="6">
        <f>B43/100</f>
        <v/>
      </c>
    </row>
    <row r="45">
      <c r="A45" s="5" t="inlineStr">
        <is>
          <t>Tier</t>
        </is>
      </c>
    </row>
    <row r="46">
      <c r="A46" t="inlineStr">
        <is>
          <t>B — Established Independent</t>
        </is>
      </c>
      <c r="B46" t="n">
        <v>61</v>
      </c>
      <c r="C46" s="6">
        <f>B46/100</f>
        <v/>
      </c>
    </row>
    <row r="47">
      <c r="A47" t="inlineStr">
        <is>
          <t>C — Strong Mid-tier</t>
        </is>
      </c>
      <c r="B47" t="n">
        <v>32</v>
      </c>
      <c r="C47" s="6">
        <f>B47/100</f>
        <v/>
      </c>
    </row>
    <row r="48">
      <c r="A48" t="inlineStr">
        <is>
          <t>A — Emerging / High-potential</t>
        </is>
      </c>
      <c r="B48" t="n">
        <v>7</v>
      </c>
      <c r="C48" s="6">
        <f>B48/100</f>
        <v/>
      </c>
    </row>
    <row r="50">
      <c r="A50" s="5" t="inlineStr">
        <is>
          <t>Contact Class</t>
        </is>
      </c>
    </row>
    <row r="51">
      <c r="A51" t="inlineStr">
        <is>
          <t>C1-DIRECT-VERIFIED</t>
        </is>
      </c>
      <c r="B51" t="n">
        <v>92</v>
      </c>
      <c r="C51" s="6">
        <f>B51/100</f>
        <v/>
      </c>
    </row>
    <row r="52">
      <c r="A52" t="inlineStr">
        <is>
          <t>C3-PRO-SOCIAL</t>
        </is>
      </c>
      <c r="B52" t="n">
        <v>8</v>
      </c>
      <c r="C52" s="6">
        <f>B52/100</f>
        <v/>
      </c>
    </row>
    <row r="54">
      <c r="A54" s="5" t="inlineStr">
        <is>
          <t>Acq Priority (OS)</t>
        </is>
      </c>
    </row>
    <row r="55">
      <c r="A55" t="inlineStr">
        <is>
          <t>P0</t>
        </is>
      </c>
      <c r="B55" t="n">
        <v>100</v>
      </c>
      <c r="C55" s="6">
        <f>B55/100</f>
        <v/>
      </c>
    </row>
    <row r="57">
      <c r="A57" s="5" t="inlineStr">
        <is>
          <t>Wave</t>
        </is>
      </c>
    </row>
    <row r="58">
      <c r="A58" t="inlineStr">
        <is>
          <t>Wave 1 — Founding cohort</t>
        </is>
      </c>
      <c r="B58" t="n">
        <v>75</v>
      </c>
      <c r="C58" s="6">
        <f>B58/100</f>
        <v/>
      </c>
    </row>
    <row r="59">
      <c r="A59" t="inlineStr">
        <is>
          <t>Wave 0 — Controlled pilot</t>
        </is>
      </c>
      <c r="B59" t="n">
        <v>25</v>
      </c>
      <c r="C59" s="6">
        <f>B59/100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Live funnel counts from LIST!Stage (counts records whose current stage ≥ each step)</t>
        </is>
      </c>
    </row>
    <row r="3">
      <c r="A3" t="inlineStr">
        <is>
          <t>Stage</t>
        </is>
      </c>
      <c r="B3" t="inlineStr">
        <is>
          <t>Records at this stage now</t>
        </is>
      </c>
      <c r="C3" t="inlineStr">
        <is>
          <t>Reached this stage or later</t>
        </is>
      </c>
      <c r="D3" t="inlineStr">
        <is>
          <t>Step conversion vs previous</t>
        </is>
      </c>
    </row>
    <row r="4">
      <c r="A4" t="inlineStr">
        <is>
          <t>1 Contactable</t>
        </is>
      </c>
      <c r="B4">
        <f>COUNTIF(LIST!AE:AE,"1 Contactable")</f>
        <v/>
      </c>
      <c r="C4">
        <f>SUM(B4:B16)</f>
        <v/>
      </c>
    </row>
    <row r="5">
      <c r="A5" t="inlineStr">
        <is>
          <t>2 Contacted</t>
        </is>
      </c>
      <c r="B5">
        <f>COUNTIF(LIST!AE:AE,"2 Contacted")</f>
        <v/>
      </c>
      <c r="C5">
        <f>SUM(B5:B16)</f>
        <v/>
      </c>
      <c r="D5" s="6">
        <f>IF(C4=0,"",C5/C4)</f>
        <v/>
      </c>
    </row>
    <row r="6">
      <c r="A6" t="inlineStr">
        <is>
          <t>3 Delivered</t>
        </is>
      </c>
      <c r="B6">
        <f>COUNTIF(LIST!AE:AE,"3 Delivered")</f>
        <v/>
      </c>
      <c r="C6">
        <f>SUM(B6:B16)</f>
        <v/>
      </c>
      <c r="D6" s="6">
        <f>IF(C5=0,"",C6/C5)</f>
        <v/>
      </c>
    </row>
    <row r="7">
      <c r="A7" t="inlineStr">
        <is>
          <t>4 Engaged</t>
        </is>
      </c>
      <c r="B7">
        <f>COUNTIF(LIST!AE:AE,"4 Engaged")</f>
        <v/>
      </c>
      <c r="C7">
        <f>SUM(B7:B16)</f>
        <v/>
      </c>
      <c r="D7" s="6">
        <f>IF(C6=0,"",C7/C6)</f>
        <v/>
      </c>
    </row>
    <row r="8">
      <c r="A8" t="inlineStr">
        <is>
          <t>5 Interested</t>
        </is>
      </c>
      <c r="B8">
        <f>COUNTIF(LIST!AE:AE,"5 Interested")</f>
        <v/>
      </c>
      <c r="C8">
        <f>SUM(B8:B16)</f>
        <v/>
      </c>
      <c r="D8" s="6">
        <f>IF(C7=0,"",C8/C7)</f>
        <v/>
      </c>
    </row>
    <row r="9">
      <c r="A9" t="inlineStr">
        <is>
          <t>6 Info requested</t>
        </is>
      </c>
      <c r="B9">
        <f>COUNTIF(LIST!AE:AE,"6 Info requested")</f>
        <v/>
      </c>
      <c r="C9">
        <f>SUM(B9:B16)</f>
        <v/>
      </c>
      <c r="D9" s="6">
        <f>IF(C8=0,"",C9/C8)</f>
        <v/>
      </c>
    </row>
    <row r="10">
      <c r="A10" t="inlineStr">
        <is>
          <t>7 Registration started</t>
        </is>
      </c>
      <c r="B10">
        <f>COUNTIF(LIST!AE:AE,"7 Registration started")</f>
        <v/>
      </c>
      <c r="C10">
        <f>SUM(B10:B16)</f>
        <v/>
      </c>
      <c r="D10" s="6">
        <f>IF(C9=0,"",C10/C9)</f>
        <v/>
      </c>
    </row>
    <row r="11">
      <c r="A11" t="inlineStr">
        <is>
          <t>8 Registration completed</t>
        </is>
      </c>
      <c r="B11">
        <f>COUNTIF(LIST!AE:AE,"8 Registration completed")</f>
        <v/>
      </c>
      <c r="C11">
        <f>SUM(B11:B16)</f>
        <v/>
      </c>
      <c r="D11" s="6">
        <f>IF(C10=0,"",C11/C10)</f>
        <v/>
      </c>
    </row>
    <row r="12">
      <c r="A12" t="inlineStr">
        <is>
          <t>9 KYC/Approved</t>
        </is>
      </c>
      <c r="B12">
        <f>COUNTIF(LIST!AE:AE,"9 KYC/Approved")</f>
        <v/>
      </c>
      <c r="C12">
        <f>SUM(B12:B16)</f>
        <v/>
      </c>
      <c r="D12" s="6">
        <f>IF(C11=0,"",C12/C11)</f>
        <v/>
      </c>
    </row>
    <row r="13">
      <c r="A13" t="inlineStr">
        <is>
          <t>10 Profile completed</t>
        </is>
      </c>
      <c r="B13">
        <f>COUNTIF(LIST!AE:AE,"10 Profile completed")</f>
        <v/>
      </c>
      <c r="C13">
        <f>SUM(B13:B16)</f>
        <v/>
      </c>
      <c r="D13" s="6">
        <f>IF(C12=0,"",C13/C12)</f>
        <v/>
      </c>
    </row>
    <row r="14">
      <c r="A14" t="inlineStr">
        <is>
          <t>11 First listing</t>
        </is>
      </c>
      <c r="B14">
        <f>COUNTIF(LIST!AE:AE,"11 First listing")</f>
        <v/>
      </c>
      <c r="C14">
        <f>SUM(B14:B16)</f>
        <v/>
      </c>
      <c r="D14" s="6">
        <f>IF(C13=0,"",C14/C13)</f>
        <v/>
      </c>
    </row>
    <row r="15">
      <c r="A15" t="inlineStr">
        <is>
          <t>12 Activated</t>
        </is>
      </c>
      <c r="B15">
        <f>COUNTIF(LIST!AE:AE,"12 Activated")</f>
        <v/>
      </c>
      <c r="C15">
        <f>SUM(B15:B16)</f>
        <v/>
      </c>
      <c r="D15" s="6">
        <f>IF(C14=0,"",C15/C14)</f>
        <v/>
      </c>
    </row>
    <row r="16">
      <c r="A16" t="inlineStr">
        <is>
          <t>13 First enquiry/order/booking</t>
        </is>
      </c>
      <c r="B16">
        <f>COUNTIF(LIST!AE:AE,"13 First enquiry/order/booking")</f>
        <v/>
      </c>
      <c r="C16">
        <f>SUM(B16:B16)</f>
        <v/>
      </c>
      <c r="D16" s="6">
        <f>IF(C15=0,"",C16/C15)</f>
        <v/>
      </c>
    </row>
    <row r="18">
      <c r="A18" t="inlineStr">
        <is>
          <t>Declined</t>
        </is>
      </c>
      <c r="B18">
        <f>COUNTIF(LIST!AE:AE,"X Declined")</f>
        <v/>
      </c>
    </row>
    <row r="19">
      <c r="A19" t="inlineStr">
        <is>
          <t>Do-not-contact</t>
        </is>
      </c>
      <c r="B19">
        <f>COUNTIF(LIST!AE:AE,"X Do-not-contact")</f>
        <v/>
      </c>
    </row>
    <row r="20">
      <c r="A20" t="inlineStr">
        <is>
          <t>Bounced/undeliverable</t>
        </is>
      </c>
      <c r="B20">
        <f>COUNTIF(LIST!AE:AE,"X Bounced/undeliverable")</f>
        <v/>
      </c>
    </row>
    <row r="22">
      <c r="A22" s="7" t="inlineStr">
        <is>
          <t>Note: declined/DNC/bounced records drop out of "reached or later"; read step conversions alongside them.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2026-10-08T20:12:15Z</dcterms:created>
  <dcterms:modified xmlns:dcterms="http://purl.org/dc/terms/" xmlns:xsi="http://www.w3.org/2001/XMLSchema-instance" xsi:type="dcterms:W3CDTF">2026-10-08T20:12:15Z</dcterms:modified>
</cp:coreProperties>
</file>
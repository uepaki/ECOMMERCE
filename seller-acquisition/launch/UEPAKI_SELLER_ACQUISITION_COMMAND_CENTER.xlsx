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SPECT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CAMPAIGN_DASHBOARD" sheetId="5" state="visible" r:id="rId5"/>
    <sheet xmlns:r="http://schemas.openxmlformats.org/officeDocument/2006/relationships" name="KPI_FUNNEL" sheetId="6" state="visible" r:id="rId6"/>
    <sheet xmlns:r="http://schemas.openxmlformats.org/officeDocument/2006/relationships" name="WEEKLY_COHORTS" sheetId="7" state="visible" r:id="rId7"/>
    <sheet xmlns:r="http://schemas.openxmlformats.org/officeDocument/2006/relationships" name="BLOCKERS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LISTS" sheetId="10" state="visible" r:id="rId10"/>
  </sheets>
  <definedNames>
    <definedName name="_xlnm._FilterDatabase" localSheetId="2" hidden="1">'PROSPECTS'!$A$1:$AO$501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FF2CC"/>
      </patternFill>
    </fill>
    <fill>
      <patternFill patternType="solid">
        <fgColor rgb="005B4A2B"/>
      </patternFill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3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9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Uepaki — Seller Acquisition Command Center</t>
        </is>
      </c>
    </row>
    <row r="2">
      <c r="A2" s="2" t="inlineStr"/>
    </row>
    <row r="3">
      <c r="A3" s="2" t="inlineStr">
        <is>
          <t>The single operating tracker for seller acquisition. It supersedes the trackers inside the First 25/100/300 lists, the Segmentation workbook KPI sheet and the Activation Checklist tracker for day-to-day use (those remain reference material).</t>
        </is>
      </c>
    </row>
    <row r="4">
      <c r="A4" s="2" t="inlineStr">
        <is>
          <t>PROSPECTS is pre-filled with the red-team-corrected "Golden 300 v2" (Waves 0–2) plus blank rows for Wave −1 friendly testers, existing-seller reactivation, inbound and peer introductions. One row per professional. Never duplicate a professional.</t>
        </is>
      </c>
    </row>
    <row r="5">
      <c r="A5" s="2" t="inlineStr">
        <is>
          <t>Brown headers = pre-filled from the database (read-only). Dark headers = enter data (dates as yyyy-mm-dd; dropdowns where offered). Green headers = calculated — do not type.</t>
        </is>
      </c>
    </row>
    <row r="6">
      <c r="A6" s="2" t="inlineStr">
        <is>
          <t>No phone numbers, emails or WhatsApp links are stored. Resolve the verified business route from the master database by Prospect ID at outreach time and re-check it is still published.</t>
        </is>
      </c>
    </row>
    <row r="7">
      <c r="A7" s="2" t="inlineStr">
        <is>
          <t>Contactable ≠ consent. 0 prospects have opted in to marketing. WhatsApp only after the professional invites it; AiSensy templates only after a recorded opt-in (column "WhatsApp opt-in").</t>
        </is>
      </c>
    </row>
    <row r="8">
      <c r="A8" s="2" t="inlineStr">
        <is>
          <t>ACTIVATED = Approval date + Profile complete date + Listing live date + Payout details date + Standing OK = Y.</t>
        </is>
      </c>
    </row>
    <row r="9">
      <c r="A9" s="2" t="inlineStr">
        <is>
          <t>All thresholds in SETTINGS are diagnostic TEST thresholds — not Uepaki benchmarks. Replace with observed rates after Wave 0–1.</t>
        </is>
      </c>
    </row>
    <row r="10">
      <c r="A10" s="2" t="inlineStr">
        <is>
          <t>Do not start any campaign while BLOCKERS shows open Critical gates for that campaign.</t>
        </is>
      </c>
    </row>
    <row r="11">
      <c r="A11" s="2" t="inlineStr">
        <is>
          <t>Sheets: PROSPECTS · CAMPAIGNS · CAMPAIGN_DASHBOARD · KPI_FUNNEL · WEEKLY_COHORTS · BLOCKERS · BUDGET · SETTINGS · 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46" customWidth="1" min="3" max="3"/>
  </cols>
  <sheetData>
    <row r="1">
      <c r="A1" s="3" t="inlineStr">
        <is>
          <t>Diagnostic TEST thresholds — not Uepaki benchmarks</t>
        </is>
      </c>
    </row>
    <row r="2">
      <c r="A2" s="4" t="inlineStr">
        <is>
          <t>Setting</t>
        </is>
      </c>
      <c r="B2" s="4" t="inlineStr">
        <is>
          <t>Value</t>
        </is>
      </c>
      <c r="C2" s="4" t="inlineStr">
        <is>
          <t>Use</t>
        </is>
      </c>
    </row>
    <row r="3">
      <c r="A3" t="inlineStr">
        <is>
          <t>Days after first contact for follow-up 1</t>
        </is>
      </c>
      <c r="B3" s="5" t="n">
        <v>5</v>
      </c>
      <c r="C3" t="inlineStr">
        <is>
          <t>Next follow-up date</t>
        </is>
      </c>
    </row>
    <row r="4">
      <c r="A4" t="inlineStr">
        <is>
          <t>Days after follow-up 1 for final note</t>
        </is>
      </c>
      <c r="B4" s="5" t="n">
        <v>7</v>
      </c>
      <c r="C4" t="inlineStr">
        <is>
          <t>Next follow-up date</t>
        </is>
      </c>
    </row>
    <row r="5">
      <c r="A5" t="inlineStr">
        <is>
          <t>Days of silence after sequence before any re-approach</t>
        </is>
      </c>
      <c r="B5" s="5" t="n">
        <v>75</v>
      </c>
      <c r="C5" t="inlineStr">
        <is>
          <t>Next action</t>
        </is>
      </c>
    </row>
    <row r="6">
      <c r="A6" t="inlineStr">
        <is>
          <t>Minimum cell size to read a rate</t>
        </is>
      </c>
      <c r="B6" s="5" t="n">
        <v>20</v>
      </c>
      <c r="C6" t="inlineStr">
        <is>
          <t>Dashboards: below this = "Too early"</t>
        </is>
      </c>
    </row>
    <row r="7">
      <c r="A7" t="inlineStr">
        <is>
          <t>Reply rate: STOP / rework below</t>
        </is>
      </c>
      <c r="B7" s="6" t="n">
        <v>0.1</v>
      </c>
      <c r="C7" t="inlineStr">
        <is>
          <t>Campaign rule (after ≥ 40 delivered)</t>
        </is>
      </c>
    </row>
    <row r="8">
      <c r="A8" t="inlineStr">
        <is>
          <t>Reply rate: SCALE at or above</t>
        </is>
      </c>
      <c r="B8" s="6" t="n">
        <v>0.2</v>
      </c>
      <c r="C8" t="inlineStr">
        <is>
          <t>Campaign rule</t>
        </is>
      </c>
    </row>
    <row r="9">
      <c r="A9" t="inlineStr">
        <is>
          <t>Interested → Registered: investigate below</t>
        </is>
      </c>
      <c r="B9" s="6" t="n">
        <v>0.3</v>
      </c>
      <c r="C9" t="inlineStr">
        <is>
          <t>Conversion</t>
        </is>
      </c>
    </row>
    <row r="10">
      <c r="A10" t="inlineStr">
        <is>
          <t>Registered → Approved: investigate below</t>
        </is>
      </c>
      <c r="B10" s="6" t="n">
        <v>0.7</v>
      </c>
      <c r="C10" t="inlineStr">
        <is>
          <t>Conversion</t>
        </is>
      </c>
    </row>
    <row r="11">
      <c r="A11" t="inlineStr">
        <is>
          <t>Approved → Activated: investigate below</t>
        </is>
      </c>
      <c r="B11" s="6" t="n">
        <v>0.5</v>
      </c>
      <c r="C11" t="inlineStr">
        <is>
          <t>Conversion</t>
        </is>
      </c>
    </row>
    <row r="12">
      <c r="A12" t="inlineStr">
        <is>
          <t>Bounce rate: STOP above</t>
        </is>
      </c>
      <c r="B12" s="6" t="n">
        <v>0.05</v>
      </c>
      <c r="C12" t="inlineStr">
        <is>
          <t>Data quality</t>
        </is>
      </c>
    </row>
    <row r="13">
      <c r="A13" t="inlineStr">
        <is>
          <t>Opt-out / negative rate: STOP above</t>
        </is>
      </c>
      <c r="B13" s="6" t="n">
        <v>0.02</v>
      </c>
      <c r="C13" t="inlineStr">
        <is>
          <t>Compliance guardrail</t>
        </is>
      </c>
    </row>
    <row r="14">
      <c r="A14" t="inlineStr">
        <is>
          <t>Days in a stage before STUCK</t>
        </is>
      </c>
      <c r="B14" s="5" t="n">
        <v>3</v>
      </c>
      <c r="C14" t="inlineStr">
        <is>
          <t>Onboarding alert</t>
        </is>
      </c>
    </row>
    <row r="15">
      <c r="A15" t="inlineStr">
        <is>
          <t>Contacts needed before a campaign rule is applied</t>
        </is>
      </c>
      <c r="B15" s="5" t="n">
        <v>40</v>
      </c>
      <c r="C15" t="inlineStr">
        <is>
          <t>Campaign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3" customWidth="1" min="4" max="4"/>
    <col width="22" customWidth="1" min="5" max="5"/>
    <col width="13" customWidth="1" min="6" max="6"/>
    <col width="13" customWidth="1" min="7" max="7"/>
    <col width="13" customWidth="1" min="8" max="8"/>
    <col width="22" customWidth="1" min="9" max="9"/>
    <col width="30" customWidth="1" min="10" max="10"/>
    <col width="32" customWidth="1" min="11" max="11"/>
    <col width="20" customWidth="1" min="12" max="12"/>
    <col width="18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6" customWidth="1" min="32" max="32"/>
    <col width="34" customWidth="1" min="33" max="33"/>
    <col width="13" customWidth="1" min="34" max="34"/>
    <col width="13" customWidth="1" min="35" max="35"/>
    <col width="22" customWidth="1" min="36" max="36"/>
    <col width="13" customWidth="1" min="37" max="37"/>
    <col width="34" customWidth="1" min="38" max="38"/>
    <col width="13" customWidth="1" min="39" max="39"/>
    <col width="13" customWidth="1" min="40" max="40"/>
    <col width="22" customWidth="1" min="41" max="41"/>
  </cols>
  <sheetData>
    <row r="1" ht="54" customHeight="1">
      <c r="A1" s="7" t="inlineStr">
        <is>
          <t>Rank (v2)</t>
        </is>
      </c>
      <c r="B1" s="7" t="inlineStr">
        <is>
          <t>Prospect ID</t>
        </is>
      </c>
      <c r="C1" s="7" t="inlineStr">
        <is>
          <t>Prospect (name as they use it)</t>
        </is>
      </c>
      <c r="D1" s="7" t="inlineStr">
        <is>
          <t>Category</t>
        </is>
      </c>
      <c r="E1" s="7" t="inlineStr">
        <is>
          <t>Segment</t>
        </is>
      </c>
      <c r="F1" s="7" t="inlineStr">
        <is>
          <t>City</t>
        </is>
      </c>
      <c r="G1" s="7" t="inlineStr">
        <is>
          <t>Tier</t>
        </is>
      </c>
      <c r="H1" s="7" t="inlineStr">
        <is>
          <t>Priority (OS)</t>
        </is>
      </c>
      <c r="I1" s="7" t="inlineStr">
        <is>
          <t>Red-team flags</t>
        </is>
      </c>
      <c r="J1" s="7" t="inlineStr">
        <is>
          <t>Recommended channel</t>
        </is>
      </c>
      <c r="K1" s="7" t="inlineStr">
        <is>
          <t>Public route reference</t>
        </is>
      </c>
      <c r="L1" s="8" t="inlineStr">
        <is>
          <t>Campaign</t>
        </is>
      </c>
      <c r="M1" s="8" t="inlineStr">
        <is>
          <t>Channel used</t>
        </is>
      </c>
      <c r="N1" s="8" t="inlineStr">
        <is>
          <t>Owner</t>
        </is>
      </c>
      <c r="O1" s="8" t="inlineStr">
        <is>
          <t>Contact date</t>
        </is>
      </c>
      <c r="P1" s="8" t="inlineStr">
        <is>
          <t>Follow-up 1 sent</t>
        </is>
      </c>
      <c r="Q1" s="8" t="inlineStr">
        <is>
          <t>Follow-up 2 sent</t>
        </is>
      </c>
      <c r="R1" s="8" t="inlineStr">
        <is>
          <t>Response date</t>
        </is>
      </c>
      <c r="S1" s="8" t="inlineStr">
        <is>
          <t>Response type</t>
        </is>
      </c>
      <c r="T1" s="8" t="inlineStr">
        <is>
          <t>Interest date</t>
        </is>
      </c>
      <c r="U1" s="8" t="inlineStr">
        <is>
          <t>GSTIN status</t>
        </is>
      </c>
      <c r="V1" s="8" t="inlineStr">
        <is>
          <t>Registration date</t>
        </is>
      </c>
      <c r="W1" s="8" t="inlineStr">
        <is>
          <t>KYC submitted date</t>
        </is>
      </c>
      <c r="X1" s="8" t="inlineStr">
        <is>
          <t>Approval date</t>
        </is>
      </c>
      <c r="Y1" s="8" t="inlineStr">
        <is>
          <t>Profile complete date</t>
        </is>
      </c>
      <c r="Z1" s="8" t="inlineStr">
        <is>
          <t>Listing live date</t>
        </is>
      </c>
      <c r="AA1" s="8" t="inlineStr">
        <is>
          <t>Payout details date</t>
        </is>
      </c>
      <c r="AB1" s="8" t="inlineStr">
        <is>
          <t>Standing OK (Y/N)</t>
        </is>
      </c>
      <c r="AC1" s="8" t="inlineStr">
        <is>
          <t>Transaction date</t>
        </is>
      </c>
      <c r="AD1" s="8" t="inlineStr">
        <is>
          <t>Consent: named (Y/N)</t>
        </is>
      </c>
      <c r="AE1" s="8" t="inlineStr">
        <is>
          <t>WhatsApp opt-in (Y/N, date)</t>
        </is>
      </c>
      <c r="AF1" s="8" t="inlineStr">
        <is>
          <t>Manual next follow-up</t>
        </is>
      </c>
      <c r="AG1" s="8" t="inlineStr">
        <is>
          <t>Notes</t>
        </is>
      </c>
      <c r="AH1" s="9" t="inlineStr">
        <is>
          <t>Activated</t>
        </is>
      </c>
      <c r="AI1" s="9" t="inlineStr">
        <is>
          <t>Activation date</t>
        </is>
      </c>
      <c r="AJ1" s="9" t="inlineStr">
        <is>
          <t>Stage</t>
        </is>
      </c>
      <c r="AK1" s="9" t="inlineStr">
        <is>
          <t>Next follow-up</t>
        </is>
      </c>
      <c r="AL1" s="9" t="inlineStr">
        <is>
          <t>Next action</t>
        </is>
      </c>
      <c r="AM1" s="9" t="inlineStr">
        <is>
          <t>Due</t>
        </is>
      </c>
      <c r="AN1" s="9" t="inlineStr">
        <is>
          <t>Days in stage</t>
        </is>
      </c>
      <c r="AO1" s="9" t="inlineStr">
        <is>
          <t>Alert</t>
        </is>
      </c>
    </row>
    <row r="2">
      <c r="A2" t="n">
        <v>1</v>
      </c>
      <c r="B2" t="inlineStr">
        <is>
          <t>UPK2-FL-172</t>
        </is>
      </c>
      <c r="C2" t="inlineStr">
        <is>
          <t>Corpora Studio</t>
        </is>
      </c>
      <c r="D2" t="inlineStr">
        <is>
          <t>Fashion &amp; Lifestyle</t>
        </is>
      </c>
      <c r="E2" t="inlineStr">
        <is>
          <t>FL-CONTEMPORARY</t>
        </is>
      </c>
      <c r="F2" t="inlineStr">
        <is>
          <t>Delhi NCR</t>
        </is>
      </c>
      <c r="G2" t="inlineStr">
        <is>
          <t>A</t>
        </is>
      </c>
      <c r="H2" t="inlineStr">
        <is>
          <t>P0</t>
        </is>
      </c>
      <c r="I2" t="inlineStr">
        <is>
          <t>stockist-listed</t>
        </is>
      </c>
      <c r="J2" t="inlineStr">
        <is>
          <t>Personal 1:1 email from founder/team to published business email</t>
        </is>
      </c>
      <c r="K2" t="inlineStr">
        <is>
          <t>https://corporastudio.in/pages/contact</t>
        </is>
      </c>
      <c r="L2" t="inlineStr">
        <is>
          <t>W0 Pilot</t>
        </is>
      </c>
      <c r="M2" t="inlineStr"/>
      <c r="N2" t="inlineStr"/>
      <c r="O2" s="10" t="inlineStr"/>
      <c r="P2" s="10" t="inlineStr"/>
      <c r="Q2" s="10" t="inlineStr"/>
      <c r="R2" s="10" t="inlineStr"/>
      <c r="S2" t="inlineStr"/>
      <c r="T2" s="10" t="inlineStr"/>
      <c r="U2" t="inlineStr"/>
      <c r="V2" s="10" t="inlineStr"/>
      <c r="W2" s="10" t="inlineStr"/>
      <c r="X2" s="10" t="inlineStr"/>
      <c r="Y2" s="10" t="inlineStr"/>
      <c r="Z2" s="10" t="inlineStr"/>
      <c r="AA2" s="10" t="inlineStr"/>
      <c r="AB2" t="inlineStr"/>
      <c r="AC2" s="10" t="inlineStr"/>
      <c r="AD2" t="inlineStr"/>
      <c r="AE2" t="inlineStr"/>
      <c r="AF2" s="10" t="inlineStr"/>
      <c r="AG2" t="inlineStr"/>
      <c r="AH2">
        <f>IF(AND(B2="",C2=""),"",IF(AND(X2&lt;&gt;"",Y2&lt;&gt;"",Z2&lt;&gt;"",AA2&lt;&gt;"",AB2="Y"),"YES","no"))</f>
        <v/>
      </c>
      <c r="AI2" s="10">
        <f>IF(AH2="YES",MAX(X2,Y2,Z2,AA2),"")</f>
        <v/>
      </c>
      <c r="AJ2">
        <f>IF(AND(B2="",C2=""),"",IF(OR(S2="Not interested",S2="Opt-out / do not contact"),"X Declined / suppressed",IF(S2="Bounced / undeliverable","X Bounced — research",IF(AC2&lt;&gt;"","13 Transacting",IF(AH2="YES","12 ACTIVATED",IF(Z2&lt;&gt;"","11 Listing live",IF(Y2&lt;&gt;"","10 Profile complete",IF(X2&lt;&gt;"","9 Approved",IF(W2&lt;&gt;"","8 KYC submitted",IF(V2&lt;&gt;"","7 Registered",IF(T2&lt;&gt;"","5 Interested",IF(R2&lt;&gt;"","4 Responded",IF(O2&lt;&gt;"","2 Contacted","1 Not yet contacted")))))))))))))</f>
        <v/>
      </c>
      <c r="AK2" s="10">
        <f>IF(AF2&lt;&gt;"",AF2,IF(OR(O2="",R2&lt;&gt;"",LEFT(AJ2,1)="X"),"",IF(Q2&lt;&gt;"","",IF(P2&lt;&gt;"",P2+SETTINGS!$B$4,O2+SETTINGS!$B$3))))</f>
        <v/>
      </c>
      <c r="AL2">
        <f>IF(AJ2="","",IF(LEFT(AJ2,1)="X","None — do not contact",IF(AJ2="1 Not yet contacted","Verify route today, then send M1",IF(AND(R2="",Q2&lt;&gt;""),"Sequence complete — no contact before "&amp;TEXT(Q2+SETTINGS!$B$5,"yyyy-mm-dd"),IF(AND(R2="",P2&lt;&gt;""),"Send final note (M4)",IF(R2="","Send follow-up (M2)",IF(AJ2="12 ACTIVATED","7-day check-in; consent &amp; referral soft ask",IF(AJ2="13 Transacting","Repeat-activity support","Onboarding: move to next stage (see playbook §6)"))))))))</f>
        <v/>
      </c>
      <c r="AM2">
        <f>IF(ISNUMBER(AK2),IF(AK2&lt;=TODAY(),"DUE",""),"")</f>
        <v/>
      </c>
      <c r="AN2">
        <f>IF(COUNT(O2,P2,Q2,R2,T2,V2,W2,X2,Y2,Z2,AA2,AC2)=0,"",TODAY()-MAX(O2,P2,Q2,R2,T2,V2,W2,X2,Y2,Z2,AA2,AC2))</f>
        <v/>
      </c>
      <c r="AO2">
        <f>IF(AJ2="","",IF(AND(T2&lt;&gt;"",U2&lt;&gt;"Active (verified)"),"GST: escalate (no tax advice)",IF(AND(IFERROR(VALUE(LEFT(AJ2,2)),0)&gt;=5,AH2&lt;&gt;"YES",ISNUMBER(AN2),AN2&gt;SETTINGS!$B$14),"STUCK in onboarding","")))</f>
        <v/>
      </c>
    </row>
    <row r="3">
      <c r="A3" t="n">
        <v>2</v>
      </c>
      <c r="B3" t="inlineStr">
        <is>
          <t>UPK2-FL-200</t>
        </is>
      </c>
      <c r="C3" t="inlineStr">
        <is>
          <t>Akhl</t>
        </is>
      </c>
      <c r="D3" t="inlineStr">
        <is>
          <t>Fashion &amp; Lifestyle</t>
        </is>
      </c>
      <c r="E3" t="inlineStr">
        <is>
          <t>FL-CONTEMPORARY</t>
        </is>
      </c>
      <c r="F3" t="inlineStr">
        <is>
          <t>Delhi NCR</t>
        </is>
      </c>
      <c r="G3" t="inlineStr">
        <is>
          <t>A</t>
        </is>
      </c>
      <c r="H3" t="inlineStr">
        <is>
          <t>P0</t>
        </is>
      </c>
      <c r="I3" t="inlineStr">
        <is>
          <t>stockist-listed</t>
        </is>
      </c>
      <c r="J3" t="inlineStr">
        <is>
          <t>Personal 1:1 email from founder/team to published business email</t>
        </is>
      </c>
      <c r="K3" t="inlineStr">
        <is>
          <t>https://www.akhlstudio.com/contact</t>
        </is>
      </c>
      <c r="L3" t="inlineStr">
        <is>
          <t>W0 Pilot</t>
        </is>
      </c>
      <c r="M3" t="inlineStr"/>
      <c r="N3" t="inlineStr"/>
      <c r="O3" s="10" t="inlineStr"/>
      <c r="P3" s="10" t="inlineStr"/>
      <c r="Q3" s="10" t="inlineStr"/>
      <c r="R3" s="10" t="inlineStr"/>
      <c r="S3" t="inlineStr"/>
      <c r="T3" s="10" t="inlineStr"/>
      <c r="U3" t="inlineStr"/>
      <c r="V3" s="10" t="inlineStr"/>
      <c r="W3" s="10" t="inlineStr"/>
      <c r="X3" s="10" t="inlineStr"/>
      <c r="Y3" s="10" t="inlineStr"/>
      <c r="Z3" s="10" t="inlineStr"/>
      <c r="AA3" s="10" t="inlineStr"/>
      <c r="AB3" t="inlineStr"/>
      <c r="AC3" s="10" t="inlineStr"/>
      <c r="AD3" t="inlineStr"/>
      <c r="AE3" t="inlineStr"/>
      <c r="AF3" s="10" t="inlineStr"/>
      <c r="AG3" t="inlineStr"/>
      <c r="AH3">
        <f>IF(AND(B3="",C3=""),"",IF(AND(X3&lt;&gt;"",Y3&lt;&gt;"",Z3&lt;&gt;"",AA3&lt;&gt;"",AB3="Y"),"YES","no"))</f>
        <v/>
      </c>
      <c r="AI3" s="10">
        <f>IF(AH3="YES",MAX(X3,Y3,Z3,AA3),"")</f>
        <v/>
      </c>
      <c r="AJ3">
        <f>IF(AND(B3="",C3=""),"",IF(OR(S3="Not interested",S3="Opt-out / do not contact"),"X Declined / suppressed",IF(S3="Bounced / undeliverable","X Bounced — research",IF(AC3&lt;&gt;"","13 Transacting",IF(AH3="YES","12 ACTIVATED",IF(Z3&lt;&gt;"","11 Listing live",IF(Y3&lt;&gt;"","10 Profile complete",IF(X3&lt;&gt;"","9 Approved",IF(W3&lt;&gt;"","8 KYC submitted",IF(V3&lt;&gt;"","7 Registered",IF(T3&lt;&gt;"","5 Interested",IF(R3&lt;&gt;"","4 Responded",IF(O3&lt;&gt;"","2 Contacted","1 Not yet contacted")))))))))))))</f>
        <v/>
      </c>
      <c r="AK3" s="10">
        <f>IF(AF3&lt;&gt;"",AF3,IF(OR(O3="",R3&lt;&gt;"",LEFT(AJ3,1)="X"),"",IF(Q3&lt;&gt;"","",IF(P3&lt;&gt;"",P3+SETTINGS!$B$4,O3+SETTINGS!$B$3))))</f>
        <v/>
      </c>
      <c r="AL3">
        <f>IF(AJ3="","",IF(LEFT(AJ3,1)="X","None — do not contact",IF(AJ3="1 Not yet contacted","Verify route today, then send M1",IF(AND(R3="",Q3&lt;&gt;""),"Sequence complete — no contact before "&amp;TEXT(Q3+SETTINGS!$B$5,"yyyy-mm-dd"),IF(AND(R3="",P3&lt;&gt;""),"Send final note (M4)",IF(R3="","Send follow-up (M2)",IF(AJ3="12 ACTIVATED","7-day check-in; consent &amp; referral soft ask",IF(AJ3="13 Transacting","Repeat-activity support","Onboarding: move to next stage (see playbook §6)"))))))))</f>
        <v/>
      </c>
      <c r="AM3">
        <f>IF(ISNUMBER(AK3),IF(AK3&lt;=TODAY(),"DUE",""),"")</f>
        <v/>
      </c>
      <c r="AN3">
        <f>IF(COUNT(O3,P3,Q3,R3,T3,V3,W3,X3,Y3,Z3,AA3,AC3)=0,"",TODAY()-MAX(O3,P3,Q3,R3,T3,V3,W3,X3,Y3,Z3,AA3,AC3))</f>
        <v/>
      </c>
      <c r="AO3">
        <f>IF(AJ3="","",IF(AND(T3&lt;&gt;"",U3&lt;&gt;"Active (verified)"),"GST: escalate (no tax advice)",IF(AND(IFERROR(VALUE(LEFT(AJ3,2)),0)&gt;=5,AH3&lt;&gt;"YES",ISNUMBER(AN3),AN3&gt;SETTINGS!$B$14),"STUCK in onboarding","")))</f>
        <v/>
      </c>
    </row>
    <row r="4">
      <c r="A4" t="n">
        <v>3</v>
      </c>
      <c r="B4" t="inlineStr">
        <is>
          <t>UPK2-FL-173</t>
        </is>
      </c>
      <c r="C4" t="inlineStr">
        <is>
          <t>Kamaali Couture</t>
        </is>
      </c>
      <c r="D4" t="inlineStr">
        <is>
          <t>Fashion &amp; Lifestyle</t>
        </is>
      </c>
      <c r="E4" t="inlineStr">
        <is>
          <t>FL-CONTEMPORARY</t>
        </is>
      </c>
      <c r="F4" t="inlineStr">
        <is>
          <t>Delhi NCR</t>
        </is>
      </c>
      <c r="G4" t="inlineStr">
        <is>
          <t>B</t>
        </is>
      </c>
      <c r="H4" t="inlineStr">
        <is>
          <t>P0</t>
        </is>
      </c>
      <c r="I4" t="inlineStr">
        <is>
          <t>stockist-listed</t>
        </is>
      </c>
      <c r="J4" t="inlineStr">
        <is>
          <t>Personal 1:1 email from founder/team to published business email</t>
        </is>
      </c>
      <c r="K4" t="inlineStr">
        <is>
          <t>https://kamaali.in/pages/contact-us-1</t>
        </is>
      </c>
      <c r="L4" t="inlineStr">
        <is>
          <t>W0 Pilot</t>
        </is>
      </c>
      <c r="M4" t="inlineStr"/>
      <c r="N4" t="inlineStr"/>
      <c r="O4" s="10" t="inlineStr"/>
      <c r="P4" s="10" t="inlineStr"/>
      <c r="Q4" s="10" t="inlineStr"/>
      <c r="R4" s="10" t="inlineStr"/>
      <c r="S4" t="inlineStr"/>
      <c r="T4" s="10" t="inlineStr"/>
      <c r="U4" t="inlineStr"/>
      <c r="V4" s="10" t="inlineStr"/>
      <c r="W4" s="10" t="inlineStr"/>
      <c r="X4" s="10" t="inlineStr"/>
      <c r="Y4" s="10" t="inlineStr"/>
      <c r="Z4" s="10" t="inlineStr"/>
      <c r="AA4" s="10" t="inlineStr"/>
      <c r="AB4" t="inlineStr"/>
      <c r="AC4" s="10" t="inlineStr"/>
      <c r="AD4" t="inlineStr"/>
      <c r="AE4" t="inlineStr"/>
      <c r="AF4" s="10" t="inlineStr"/>
      <c r="AG4" t="inlineStr"/>
      <c r="AH4">
        <f>IF(AND(B4="",C4=""),"",IF(AND(X4&lt;&gt;"",Y4&lt;&gt;"",Z4&lt;&gt;"",AA4&lt;&gt;"",AB4="Y"),"YES","no"))</f>
        <v/>
      </c>
      <c r="AI4" s="10">
        <f>IF(AH4="YES",MAX(X4,Y4,Z4,AA4),"")</f>
        <v/>
      </c>
      <c r="AJ4">
        <f>IF(AND(B4="",C4=""),"",IF(OR(S4="Not interested",S4="Opt-out / do not contact"),"X Declined / suppressed",IF(S4="Bounced / undeliverable","X Bounced — research",IF(AC4&lt;&gt;"","13 Transacting",IF(AH4="YES","12 ACTIVATED",IF(Z4&lt;&gt;"","11 Listing live",IF(Y4&lt;&gt;"","10 Profile complete",IF(X4&lt;&gt;"","9 Approved",IF(W4&lt;&gt;"","8 KYC submitted",IF(V4&lt;&gt;"","7 Registered",IF(T4&lt;&gt;"","5 Interested",IF(R4&lt;&gt;"","4 Responded",IF(O4&lt;&gt;"","2 Contacted","1 Not yet contacted")))))))))))))</f>
        <v/>
      </c>
      <c r="AK4" s="10">
        <f>IF(AF4&lt;&gt;"",AF4,IF(OR(O4="",R4&lt;&gt;"",LEFT(AJ4,1)="X"),"",IF(Q4&lt;&gt;"","",IF(P4&lt;&gt;"",P4+SETTINGS!$B$4,O4+SETTINGS!$B$3))))</f>
        <v/>
      </c>
      <c r="AL4">
        <f>IF(AJ4="","",IF(LEFT(AJ4,1)="X","None — do not contact",IF(AJ4="1 Not yet contacted","Verify route today, then send M1",IF(AND(R4="",Q4&lt;&gt;""),"Sequence complete — no contact before "&amp;TEXT(Q4+SETTINGS!$B$5,"yyyy-mm-dd"),IF(AND(R4="",P4&lt;&gt;""),"Send final note (M4)",IF(R4="","Send follow-up (M2)",IF(AJ4="12 ACTIVATED","7-day check-in; consent &amp; referral soft ask",IF(AJ4="13 Transacting","Repeat-activity support","Onboarding: move to next stage (see playbook §6)"))))))))</f>
        <v/>
      </c>
      <c r="AM4">
        <f>IF(ISNUMBER(AK4),IF(AK4&lt;=TODAY(),"DUE",""),"")</f>
        <v/>
      </c>
      <c r="AN4">
        <f>IF(COUNT(O4,P4,Q4,R4,T4,V4,W4,X4,Y4,Z4,AA4,AC4)=0,"",TODAY()-MAX(O4,P4,Q4,R4,T4,V4,W4,X4,Y4,Z4,AA4,AC4))</f>
        <v/>
      </c>
      <c r="AO4">
        <f>IF(AJ4="","",IF(AND(T4&lt;&gt;"",U4&lt;&gt;"Active (verified)"),"GST: escalate (no tax advice)",IF(AND(IFERROR(VALUE(LEFT(AJ4,2)),0)&gt;=5,AH4&lt;&gt;"YES",ISNUMBER(AN4),AN4&gt;SETTINGS!$B$14),"STUCK in onboarding","")))</f>
        <v/>
      </c>
    </row>
    <row r="5">
      <c r="A5" t="n">
        <v>4</v>
      </c>
      <c r="B5" t="inlineStr">
        <is>
          <t>UPK2-FL-180</t>
        </is>
      </c>
      <c r="C5" t="inlineStr">
        <is>
          <t>Ituvana</t>
        </is>
      </c>
      <c r="D5" t="inlineStr">
        <is>
          <t>Fashion &amp; Lifestyle</t>
        </is>
      </c>
      <c r="E5" t="inlineStr">
        <is>
          <t>FL-JEWELLERY</t>
        </is>
      </c>
      <c r="F5" t="inlineStr">
        <is>
          <t>Delhi NCR</t>
        </is>
      </c>
      <c r="G5" t="inlineStr">
        <is>
          <t>B</t>
        </is>
      </c>
      <c r="H5" t="inlineStr">
        <is>
          <t>P0</t>
        </is>
      </c>
      <c r="I5" t="inlineStr">
        <is>
          <t>stockist-listed</t>
        </is>
      </c>
      <c r="J5" t="inlineStr">
        <is>
          <t>Personal 1:1 email from founder/team to published business email</t>
        </is>
      </c>
      <c r="K5" t="inlineStr">
        <is>
          <t>https://www.ituvana.com/pages/contact-us</t>
        </is>
      </c>
      <c r="L5" t="inlineStr">
        <is>
          <t>W0 Pilot</t>
        </is>
      </c>
      <c r="M5" t="inlineStr"/>
      <c r="N5" t="inlineStr"/>
      <c r="O5" s="10" t="inlineStr"/>
      <c r="P5" s="10" t="inlineStr"/>
      <c r="Q5" s="10" t="inlineStr"/>
      <c r="R5" s="10" t="inlineStr"/>
      <c r="S5" t="inlineStr"/>
      <c r="T5" s="10" t="inlineStr"/>
      <c r="U5" t="inlineStr"/>
      <c r="V5" s="10" t="inlineStr"/>
      <c r="W5" s="10" t="inlineStr"/>
      <c r="X5" s="10" t="inlineStr"/>
      <c r="Y5" s="10" t="inlineStr"/>
      <c r="Z5" s="10" t="inlineStr"/>
      <c r="AA5" s="10" t="inlineStr"/>
      <c r="AB5" t="inlineStr"/>
      <c r="AC5" s="10" t="inlineStr"/>
      <c r="AD5" t="inlineStr"/>
      <c r="AE5" t="inlineStr"/>
      <c r="AF5" s="10" t="inlineStr"/>
      <c r="AG5" t="inlineStr"/>
      <c r="AH5">
        <f>IF(AND(B5="",C5=""),"",IF(AND(X5&lt;&gt;"",Y5&lt;&gt;"",Z5&lt;&gt;"",AA5&lt;&gt;"",AB5="Y"),"YES","no"))</f>
        <v/>
      </c>
      <c r="AI5" s="10">
        <f>IF(AH5="YES",MAX(X5,Y5,Z5,AA5),"")</f>
        <v/>
      </c>
      <c r="AJ5">
        <f>IF(AND(B5="",C5=""),"",IF(OR(S5="Not interested",S5="Opt-out / do not contact"),"X Declined / suppressed",IF(S5="Bounced / undeliverable","X Bounced — research",IF(AC5&lt;&gt;"","13 Transacting",IF(AH5="YES","12 ACTIVATED",IF(Z5&lt;&gt;"","11 Listing live",IF(Y5&lt;&gt;"","10 Profile complete",IF(X5&lt;&gt;"","9 Approved",IF(W5&lt;&gt;"","8 KYC submitted",IF(V5&lt;&gt;"","7 Registered",IF(T5&lt;&gt;"","5 Interested",IF(R5&lt;&gt;"","4 Responded",IF(O5&lt;&gt;"","2 Contacted","1 Not yet contacted")))))))))))))</f>
        <v/>
      </c>
      <c r="AK5" s="10">
        <f>IF(AF5&lt;&gt;"",AF5,IF(OR(O5="",R5&lt;&gt;"",LEFT(AJ5,1)="X"),"",IF(Q5&lt;&gt;"","",IF(P5&lt;&gt;"",P5+SETTINGS!$B$4,O5+SETTINGS!$B$3))))</f>
        <v/>
      </c>
      <c r="AL5">
        <f>IF(AJ5="","",IF(LEFT(AJ5,1)="X","None — do not contact",IF(AJ5="1 Not yet contacted","Verify route today, then send M1",IF(AND(R5="",Q5&lt;&gt;""),"Sequence complete — no contact before "&amp;TEXT(Q5+SETTINGS!$B$5,"yyyy-mm-dd"),IF(AND(R5="",P5&lt;&gt;""),"Send final note (M4)",IF(R5="","Send follow-up (M2)",IF(AJ5="12 ACTIVATED","7-day check-in; consent &amp; referral soft ask",IF(AJ5="13 Transacting","Repeat-activity support","Onboarding: move to next stage (see playbook §6)"))))))))</f>
        <v/>
      </c>
      <c r="AM5">
        <f>IF(ISNUMBER(AK5),IF(AK5&lt;=TODAY(),"DUE",""),"")</f>
        <v/>
      </c>
      <c r="AN5">
        <f>IF(COUNT(O5,P5,Q5,R5,T5,V5,W5,X5,Y5,Z5,AA5,AC5)=0,"",TODAY()-MAX(O5,P5,Q5,R5,T5,V5,W5,X5,Y5,Z5,AA5,AC5))</f>
        <v/>
      </c>
      <c r="AO5">
        <f>IF(AJ5="","",IF(AND(T5&lt;&gt;"",U5&lt;&gt;"Active (verified)"),"GST: escalate (no tax advice)",IF(AND(IFERROR(VALUE(LEFT(AJ5,2)),0)&gt;=5,AH5&lt;&gt;"YES",ISNUMBER(AN5),AN5&gt;SETTINGS!$B$14),"STUCK in onboarding","")))</f>
        <v/>
      </c>
    </row>
    <row r="6">
      <c r="A6" t="n">
        <v>5</v>
      </c>
      <c r="B6" t="inlineStr">
        <is>
          <t>UPK2-FL-273</t>
        </is>
      </c>
      <c r="C6" t="inlineStr">
        <is>
          <t>Jigar Mali</t>
        </is>
      </c>
      <c r="D6" t="inlineStr">
        <is>
          <t>Fashion &amp; Lifestyle</t>
        </is>
      </c>
      <c r="E6" t="inlineStr">
        <is>
          <t>FL-OCCASION-BRIDAL</t>
        </is>
      </c>
      <c r="F6" t="inlineStr">
        <is>
          <t>Delhi NCR</t>
        </is>
      </c>
      <c r="G6" t="inlineStr">
        <is>
          <t>A</t>
        </is>
      </c>
      <c r="H6" t="inlineStr">
        <is>
          <t>P0</t>
        </is>
      </c>
      <c r="I6" t="inlineStr">
        <is>
          <t>stockist-listed</t>
        </is>
      </c>
      <c r="J6" t="inlineStr">
        <is>
          <t>Personal 1:1 email from founder/team to published business email</t>
        </is>
      </c>
      <c r="K6" t="inlineStr">
        <is>
          <t>https://jigarmali.com/pages/contact</t>
        </is>
      </c>
      <c r="L6" t="inlineStr">
        <is>
          <t>W0 Pilot</t>
        </is>
      </c>
      <c r="M6" t="inlineStr"/>
      <c r="N6" t="inlineStr"/>
      <c r="O6" s="10" t="inlineStr"/>
      <c r="P6" s="10" t="inlineStr"/>
      <c r="Q6" s="10" t="inlineStr"/>
      <c r="R6" s="10" t="inlineStr"/>
      <c r="S6" t="inlineStr"/>
      <c r="T6" s="10" t="inlineStr"/>
      <c r="U6" t="inlineStr"/>
      <c r="V6" s="10" t="inlineStr"/>
      <c r="W6" s="10" t="inlineStr"/>
      <c r="X6" s="10" t="inlineStr"/>
      <c r="Y6" s="10" t="inlineStr"/>
      <c r="Z6" s="10" t="inlineStr"/>
      <c r="AA6" s="10" t="inlineStr"/>
      <c r="AB6" t="inlineStr"/>
      <c r="AC6" s="10" t="inlineStr"/>
      <c r="AD6" t="inlineStr"/>
      <c r="AE6" t="inlineStr"/>
      <c r="AF6" s="10" t="inlineStr"/>
      <c r="AG6" t="inlineStr"/>
      <c r="AH6">
        <f>IF(AND(B6="",C6=""),"",IF(AND(X6&lt;&gt;"",Y6&lt;&gt;"",Z6&lt;&gt;"",AA6&lt;&gt;"",AB6="Y"),"YES","no"))</f>
        <v/>
      </c>
      <c r="AI6" s="10">
        <f>IF(AH6="YES",MAX(X6,Y6,Z6,AA6),"")</f>
        <v/>
      </c>
      <c r="AJ6">
        <f>IF(AND(B6="",C6=""),"",IF(OR(S6="Not interested",S6="Opt-out / do not contact"),"X Declined / suppressed",IF(S6="Bounced / undeliverable","X Bounced — research",IF(AC6&lt;&gt;"","13 Transacting",IF(AH6="YES","12 ACTIVATED",IF(Z6&lt;&gt;"","11 Listing live",IF(Y6&lt;&gt;"","10 Profile complete",IF(X6&lt;&gt;"","9 Approved",IF(W6&lt;&gt;"","8 KYC submitted",IF(V6&lt;&gt;"","7 Registered",IF(T6&lt;&gt;"","5 Interested",IF(R6&lt;&gt;"","4 Responded",IF(O6&lt;&gt;"","2 Contacted","1 Not yet contacted")))))))))))))</f>
        <v/>
      </c>
      <c r="AK6" s="10">
        <f>IF(AF6&lt;&gt;"",AF6,IF(OR(O6="",R6&lt;&gt;"",LEFT(AJ6,1)="X"),"",IF(Q6&lt;&gt;"","",IF(P6&lt;&gt;"",P6+SETTINGS!$B$4,O6+SETTINGS!$B$3))))</f>
        <v/>
      </c>
      <c r="AL6">
        <f>IF(AJ6="","",IF(LEFT(AJ6,1)="X","None — do not contact",IF(AJ6="1 Not yet contacted","Verify route today, then send M1",IF(AND(R6="",Q6&lt;&gt;""),"Sequence complete — no contact before "&amp;TEXT(Q6+SETTINGS!$B$5,"yyyy-mm-dd"),IF(AND(R6="",P6&lt;&gt;""),"Send final note (M4)",IF(R6="","Send follow-up (M2)",IF(AJ6="12 ACTIVATED","7-day check-in; consent &amp; referral soft ask",IF(AJ6="13 Transacting","Repeat-activity support","Onboarding: move to next stage (see playbook §6)"))))))))</f>
        <v/>
      </c>
      <c r="AM6">
        <f>IF(ISNUMBER(AK6),IF(AK6&lt;=TODAY(),"DUE",""),"")</f>
        <v/>
      </c>
      <c r="AN6">
        <f>IF(COUNT(O6,P6,Q6,R6,T6,V6,W6,X6,Y6,Z6,AA6,AC6)=0,"",TODAY()-MAX(O6,P6,Q6,R6,T6,V6,W6,X6,Y6,Z6,AA6,AC6))</f>
        <v/>
      </c>
      <c r="AO6">
        <f>IF(AJ6="","",IF(AND(T6&lt;&gt;"",U6&lt;&gt;"Active (verified)"),"GST: escalate (no tax advice)",IF(AND(IFERROR(VALUE(LEFT(AJ6,2)),0)&gt;=5,AH6&lt;&gt;"YES",ISNUMBER(AN6),AN6&gt;SETTINGS!$B$14),"STUCK in onboarding","")))</f>
        <v/>
      </c>
    </row>
    <row r="7">
      <c r="A7" t="n">
        <v>6</v>
      </c>
      <c r="B7" t="inlineStr">
        <is>
          <t>UPK2-FL-199</t>
        </is>
      </c>
      <c r="C7" t="inlineStr">
        <is>
          <t>Thee Modern Roots</t>
        </is>
      </c>
      <c r="D7" t="inlineStr">
        <is>
          <t>Fashion &amp; Lifestyle</t>
        </is>
      </c>
      <c r="E7" t="inlineStr">
        <is>
          <t>FL-OCCASION-BRIDAL</t>
        </is>
      </c>
      <c r="F7" t="inlineStr">
        <is>
          <t>Delhi NCR</t>
        </is>
      </c>
      <c r="G7" t="inlineStr">
        <is>
          <t>A</t>
        </is>
      </c>
      <c r="H7" t="inlineStr">
        <is>
          <t>P0</t>
        </is>
      </c>
      <c r="I7" t="inlineStr">
        <is>
          <t>stockist-listed</t>
        </is>
      </c>
      <c r="J7" t="inlineStr">
        <is>
          <t>Personal 1:1 email from founder/team to published business email</t>
        </is>
      </c>
      <c r="K7" t="inlineStr">
        <is>
          <t>https://theemodernroots.com/pages/contact</t>
        </is>
      </c>
      <c r="L7" t="inlineStr">
        <is>
          <t>W0 Pilot</t>
        </is>
      </c>
      <c r="M7" t="inlineStr"/>
      <c r="N7" t="inlineStr"/>
      <c r="O7" s="10" t="inlineStr"/>
      <c r="P7" s="10" t="inlineStr"/>
      <c r="Q7" s="10" t="inlineStr"/>
      <c r="R7" s="10" t="inlineStr"/>
      <c r="S7" t="inlineStr"/>
      <c r="T7" s="10" t="inlineStr"/>
      <c r="U7" t="inlineStr"/>
      <c r="V7" s="10" t="inlineStr"/>
      <c r="W7" s="10" t="inlineStr"/>
      <c r="X7" s="10" t="inlineStr"/>
      <c r="Y7" s="10" t="inlineStr"/>
      <c r="Z7" s="10" t="inlineStr"/>
      <c r="AA7" s="10" t="inlineStr"/>
      <c r="AB7" t="inlineStr"/>
      <c r="AC7" s="10" t="inlineStr"/>
      <c r="AD7" t="inlineStr"/>
      <c r="AE7" t="inlineStr"/>
      <c r="AF7" s="10" t="inlineStr"/>
      <c r="AG7" t="inlineStr"/>
      <c r="AH7">
        <f>IF(AND(B7="",C7=""),"",IF(AND(X7&lt;&gt;"",Y7&lt;&gt;"",Z7&lt;&gt;"",AA7&lt;&gt;"",AB7="Y"),"YES","no"))</f>
        <v/>
      </c>
      <c r="AI7" s="10">
        <f>IF(AH7="YES",MAX(X7,Y7,Z7,AA7),"")</f>
        <v/>
      </c>
      <c r="AJ7">
        <f>IF(AND(B7="",C7=""),"",IF(OR(S7="Not interested",S7="Opt-out / do not contact"),"X Declined / suppressed",IF(S7="Bounced / undeliverable","X Bounced — research",IF(AC7&lt;&gt;"","13 Transacting",IF(AH7="YES","12 ACTIVATED",IF(Z7&lt;&gt;"","11 Listing live",IF(Y7&lt;&gt;"","10 Profile complete",IF(X7&lt;&gt;"","9 Approved",IF(W7&lt;&gt;"","8 KYC submitted",IF(V7&lt;&gt;"","7 Registered",IF(T7&lt;&gt;"","5 Interested",IF(R7&lt;&gt;"","4 Responded",IF(O7&lt;&gt;"","2 Contacted","1 Not yet contacted")))))))))))))</f>
        <v/>
      </c>
      <c r="AK7" s="10">
        <f>IF(AF7&lt;&gt;"",AF7,IF(OR(O7="",R7&lt;&gt;"",LEFT(AJ7,1)="X"),"",IF(Q7&lt;&gt;"","",IF(P7&lt;&gt;"",P7+SETTINGS!$B$4,O7+SETTINGS!$B$3))))</f>
        <v/>
      </c>
      <c r="AL7">
        <f>IF(AJ7="","",IF(LEFT(AJ7,1)="X","None — do not contact",IF(AJ7="1 Not yet contacted","Verify route today, then send M1",IF(AND(R7="",Q7&lt;&gt;""),"Sequence complete — no contact before "&amp;TEXT(Q7+SETTINGS!$B$5,"yyyy-mm-dd"),IF(AND(R7="",P7&lt;&gt;""),"Send final note (M4)",IF(R7="","Send follow-up (M2)",IF(AJ7="12 ACTIVATED","7-day check-in; consent &amp; referral soft ask",IF(AJ7="13 Transacting","Repeat-activity support","Onboarding: move to next stage (see playbook §6)"))))))))</f>
        <v/>
      </c>
      <c r="AM7">
        <f>IF(ISNUMBER(AK7),IF(AK7&lt;=TODAY(),"DUE",""),"")</f>
        <v/>
      </c>
      <c r="AN7">
        <f>IF(COUNT(O7,P7,Q7,R7,T7,V7,W7,X7,Y7,Z7,AA7,AC7)=0,"",TODAY()-MAX(O7,P7,Q7,R7,T7,V7,W7,X7,Y7,Z7,AA7,AC7))</f>
        <v/>
      </c>
      <c r="AO7">
        <f>IF(AJ7="","",IF(AND(T7&lt;&gt;"",U7&lt;&gt;"Active (verified)"),"GST: escalate (no tax advice)",IF(AND(IFERROR(VALUE(LEFT(AJ7,2)),0)&gt;=5,AH7&lt;&gt;"YES",ISNUMBER(AN7),AN7&gt;SETTINGS!$B$14),"STUCK in onboarding","")))</f>
        <v/>
      </c>
    </row>
    <row r="8">
      <c r="A8" t="n">
        <v>7</v>
      </c>
      <c r="B8" t="inlineStr">
        <is>
          <t>UPK2-SD-290</t>
        </is>
      </c>
      <c r="C8" t="inlineStr">
        <is>
          <t>Parman Designs</t>
        </is>
      </c>
      <c r="D8" t="inlineStr">
        <is>
          <t>Space &amp; Design</t>
        </is>
      </c>
      <c r="E8" t="inlineStr">
        <is>
          <t>SD-PRODUCT-MAKER</t>
        </is>
      </c>
      <c r="F8" t="inlineStr">
        <is>
          <t>Delhi NCR</t>
        </is>
      </c>
      <c r="G8" t="inlineStr">
        <is>
          <t>A</t>
        </is>
      </c>
      <c r="H8" t="inlineStr">
        <is>
          <t>P0</t>
        </is>
      </c>
      <c r="I8" t="inlineStr">
        <is>
          <t>under-discovered</t>
        </is>
      </c>
      <c r="J8" t="inlineStr">
        <is>
          <t>Personal 1:1 email from founder/team to published business email</t>
        </is>
      </c>
      <c r="K8" t="inlineStr">
        <is>
          <t>https://www.parmandesigns.com/</t>
        </is>
      </c>
      <c r="L8" t="inlineStr">
        <is>
          <t>W0 Pilot</t>
        </is>
      </c>
      <c r="M8" t="inlineStr"/>
      <c r="N8" t="inlineStr"/>
      <c r="O8" s="10" t="inlineStr"/>
      <c r="P8" s="10" t="inlineStr"/>
      <c r="Q8" s="10" t="inlineStr"/>
      <c r="R8" s="10" t="inlineStr"/>
      <c r="S8" t="inlineStr"/>
      <c r="T8" s="10" t="inlineStr"/>
      <c r="U8" t="inlineStr"/>
      <c r="V8" s="10" t="inlineStr"/>
      <c r="W8" s="10" t="inlineStr"/>
      <c r="X8" s="10" t="inlineStr"/>
      <c r="Y8" s="10" t="inlineStr"/>
      <c r="Z8" s="10" t="inlineStr"/>
      <c r="AA8" s="10" t="inlineStr"/>
      <c r="AB8" t="inlineStr"/>
      <c r="AC8" s="10" t="inlineStr"/>
      <c r="AD8" t="inlineStr"/>
      <c r="AE8" t="inlineStr"/>
      <c r="AF8" s="10" t="inlineStr"/>
      <c r="AG8" t="inlineStr"/>
      <c r="AH8">
        <f>IF(AND(B8="",C8=""),"",IF(AND(X8&lt;&gt;"",Y8&lt;&gt;"",Z8&lt;&gt;"",AA8&lt;&gt;"",AB8="Y"),"YES","no"))</f>
        <v/>
      </c>
      <c r="AI8" s="10">
        <f>IF(AH8="YES",MAX(X8,Y8,Z8,AA8),"")</f>
        <v/>
      </c>
      <c r="AJ8">
        <f>IF(AND(B8="",C8=""),"",IF(OR(S8="Not interested",S8="Opt-out / do not contact"),"X Declined / suppressed",IF(S8="Bounced / undeliverable","X Bounced — research",IF(AC8&lt;&gt;"","13 Transacting",IF(AH8="YES","12 ACTIVATED",IF(Z8&lt;&gt;"","11 Listing live",IF(Y8&lt;&gt;"","10 Profile complete",IF(X8&lt;&gt;"","9 Approved",IF(W8&lt;&gt;"","8 KYC submitted",IF(V8&lt;&gt;"","7 Registered",IF(T8&lt;&gt;"","5 Interested",IF(R8&lt;&gt;"","4 Responded",IF(O8&lt;&gt;"","2 Contacted","1 Not yet contacted")))))))))))))</f>
        <v/>
      </c>
      <c r="AK8" s="10">
        <f>IF(AF8&lt;&gt;"",AF8,IF(OR(O8="",R8&lt;&gt;"",LEFT(AJ8,1)="X"),"",IF(Q8&lt;&gt;"","",IF(P8&lt;&gt;"",P8+SETTINGS!$B$4,O8+SETTINGS!$B$3))))</f>
        <v/>
      </c>
      <c r="AL8">
        <f>IF(AJ8="","",IF(LEFT(AJ8,1)="X","None — do not contact",IF(AJ8="1 Not yet contacted","Verify route today, then send M1",IF(AND(R8="",Q8&lt;&gt;""),"Sequence complete — no contact before "&amp;TEXT(Q8+SETTINGS!$B$5,"yyyy-mm-dd"),IF(AND(R8="",P8&lt;&gt;""),"Send final note (M4)",IF(R8="","Send follow-up (M2)",IF(AJ8="12 ACTIVATED","7-day check-in; consent &amp; referral soft ask",IF(AJ8="13 Transacting","Repeat-activity support","Onboarding: move to next stage (see playbook §6)"))))))))</f>
        <v/>
      </c>
      <c r="AM8">
        <f>IF(ISNUMBER(AK8),IF(AK8&lt;=TODAY(),"DUE",""),"")</f>
        <v/>
      </c>
      <c r="AN8">
        <f>IF(COUNT(O8,P8,Q8,R8,T8,V8,W8,X8,Y8,Z8,AA8,AC8)=0,"",TODAY()-MAX(O8,P8,Q8,R8,T8,V8,W8,X8,Y8,Z8,AA8,AC8))</f>
        <v/>
      </c>
      <c r="AO8">
        <f>IF(AJ8="","",IF(AND(T8&lt;&gt;"",U8&lt;&gt;"Active (verified)"),"GST: escalate (no tax advice)",IF(AND(IFERROR(VALUE(LEFT(AJ8,2)),0)&gt;=5,AH8&lt;&gt;"YES",ISNUMBER(AN8),AN8&gt;SETTINGS!$B$14),"STUCK in onboarding","")))</f>
        <v/>
      </c>
    </row>
    <row r="9">
      <c r="A9" t="n">
        <v>8</v>
      </c>
      <c r="B9" t="inlineStr">
        <is>
          <t>UPK2-SD-292</t>
        </is>
      </c>
      <c r="C9" t="inlineStr">
        <is>
          <t>Harshita Jhamtani Designs LLP</t>
        </is>
      </c>
      <c r="D9" t="inlineStr">
        <is>
          <t>Space &amp; Design</t>
        </is>
      </c>
      <c r="E9" t="inlineStr">
        <is>
          <t>SD-PRODUCT-MAKER</t>
        </is>
      </c>
      <c r="F9" t="inlineStr">
        <is>
          <t>Mumbai</t>
        </is>
      </c>
      <c r="G9" t="inlineStr">
        <is>
          <t>A</t>
        </is>
      </c>
      <c r="H9" t="inlineStr">
        <is>
          <t>P0</t>
        </is>
      </c>
      <c r="I9" t="inlineStr">
        <is>
          <t>under-discovered</t>
        </is>
      </c>
      <c r="J9" t="inlineStr">
        <is>
          <t>Personal 1:1 email from founder/team to published business email</t>
        </is>
      </c>
      <c r="K9" t="inlineStr">
        <is>
          <t>https://www.harshitajhamtani.com/</t>
        </is>
      </c>
      <c r="L9" t="inlineStr">
        <is>
          <t>W0 Pilot</t>
        </is>
      </c>
      <c r="M9" t="inlineStr"/>
      <c r="N9" t="inlineStr"/>
      <c r="O9" s="10" t="inlineStr"/>
      <c r="P9" s="10" t="inlineStr"/>
      <c r="Q9" s="10" t="inlineStr"/>
      <c r="R9" s="10" t="inlineStr"/>
      <c r="S9" t="inlineStr"/>
      <c r="T9" s="10" t="inlineStr"/>
      <c r="U9" t="inlineStr"/>
      <c r="V9" s="10" t="inlineStr"/>
      <c r="W9" s="10" t="inlineStr"/>
      <c r="X9" s="10" t="inlineStr"/>
      <c r="Y9" s="10" t="inlineStr"/>
      <c r="Z9" s="10" t="inlineStr"/>
      <c r="AA9" s="10" t="inlineStr"/>
      <c r="AB9" t="inlineStr"/>
      <c r="AC9" s="10" t="inlineStr"/>
      <c r="AD9" t="inlineStr"/>
      <c r="AE9" t="inlineStr"/>
      <c r="AF9" s="10" t="inlineStr"/>
      <c r="AG9" t="inlineStr"/>
      <c r="AH9">
        <f>IF(AND(B9="",C9=""),"",IF(AND(X9&lt;&gt;"",Y9&lt;&gt;"",Z9&lt;&gt;"",AA9&lt;&gt;"",AB9="Y"),"YES","no"))</f>
        <v/>
      </c>
      <c r="AI9" s="10">
        <f>IF(AH9="YES",MAX(X9,Y9,Z9,AA9),"")</f>
        <v/>
      </c>
      <c r="AJ9">
        <f>IF(AND(B9="",C9=""),"",IF(OR(S9="Not interested",S9="Opt-out / do not contact"),"X Declined / suppressed",IF(S9="Bounced / undeliverable","X Bounced — research",IF(AC9&lt;&gt;"","13 Transacting",IF(AH9="YES","12 ACTIVATED",IF(Z9&lt;&gt;"","11 Listing live",IF(Y9&lt;&gt;"","10 Profile complete",IF(X9&lt;&gt;"","9 Approved",IF(W9&lt;&gt;"","8 KYC submitted",IF(V9&lt;&gt;"","7 Registered",IF(T9&lt;&gt;"","5 Interested",IF(R9&lt;&gt;"","4 Responded",IF(O9&lt;&gt;"","2 Contacted","1 Not yet contacted")))))))))))))</f>
        <v/>
      </c>
      <c r="AK9" s="10">
        <f>IF(AF9&lt;&gt;"",AF9,IF(OR(O9="",R9&lt;&gt;"",LEFT(AJ9,1)="X"),"",IF(Q9&lt;&gt;"","",IF(P9&lt;&gt;"",P9+SETTINGS!$B$4,O9+SETTINGS!$B$3))))</f>
        <v/>
      </c>
      <c r="AL9">
        <f>IF(AJ9="","",IF(LEFT(AJ9,1)="X","None — do not contact",IF(AJ9="1 Not yet contacted","Verify route today, then send M1",IF(AND(R9="",Q9&lt;&gt;""),"Sequence complete — no contact before "&amp;TEXT(Q9+SETTINGS!$B$5,"yyyy-mm-dd"),IF(AND(R9="",P9&lt;&gt;""),"Send final note (M4)",IF(R9="","Send follow-up (M2)",IF(AJ9="12 ACTIVATED","7-day check-in; consent &amp; referral soft ask",IF(AJ9="13 Transacting","Repeat-activity support","Onboarding: move to next stage (see playbook §6)"))))))))</f>
        <v/>
      </c>
      <c r="AM9">
        <f>IF(ISNUMBER(AK9),IF(AK9&lt;=TODAY(),"DUE",""),"")</f>
        <v/>
      </c>
      <c r="AN9">
        <f>IF(COUNT(O9,P9,Q9,R9,T9,V9,W9,X9,Y9,Z9,AA9,AC9)=0,"",TODAY()-MAX(O9,P9,Q9,R9,T9,V9,W9,X9,Y9,Z9,AA9,AC9))</f>
        <v/>
      </c>
      <c r="AO9">
        <f>IF(AJ9="","",IF(AND(T9&lt;&gt;"",U9&lt;&gt;"Active (verified)"),"GST: escalate (no tax advice)",IF(AND(IFERROR(VALUE(LEFT(AJ9,2)),0)&gt;=5,AH9&lt;&gt;"YES",ISNUMBER(AN9),AN9&gt;SETTINGS!$B$14),"STUCK in onboarding","")))</f>
        <v/>
      </c>
    </row>
    <row r="10">
      <c r="A10" t="n">
        <v>9</v>
      </c>
      <c r="B10" t="inlineStr">
        <is>
          <t>UPK2-SD-291</t>
        </is>
      </c>
      <c r="C10" t="inlineStr">
        <is>
          <t>LumeHaus</t>
        </is>
      </c>
      <c r="D10" t="inlineStr">
        <is>
          <t>Space &amp; Design</t>
        </is>
      </c>
      <c r="E10" t="inlineStr">
        <is>
          <t>SD-PRODUCT-MAKER</t>
        </is>
      </c>
      <c r="F10" t="inlineStr">
        <is>
          <t>Delhi NCR</t>
        </is>
      </c>
      <c r="G10" t="inlineStr">
        <is>
          <t>A</t>
        </is>
      </c>
      <c r="H10" t="inlineStr">
        <is>
          <t>P0</t>
        </is>
      </c>
      <c r="I10" t="inlineStr">
        <is>
          <t>under-discovered</t>
        </is>
      </c>
      <c r="J10" t="inlineStr">
        <is>
          <t>Personal 1:1 email from founder/team to published business email</t>
        </is>
      </c>
      <c r="K10" t="inlineStr">
        <is>
          <t>https://lumehaus.in/</t>
        </is>
      </c>
      <c r="L10" t="inlineStr">
        <is>
          <t>W0 Pilot</t>
        </is>
      </c>
      <c r="M10" t="inlineStr"/>
      <c r="N10" t="inlineStr"/>
      <c r="O10" s="10" t="inlineStr"/>
      <c r="P10" s="10" t="inlineStr"/>
      <c r="Q10" s="10" t="inlineStr"/>
      <c r="R10" s="10" t="inlineStr"/>
      <c r="S10" t="inlineStr"/>
      <c r="T10" s="10" t="inlineStr"/>
      <c r="U10" t="inlineStr"/>
      <c r="V10" s="10" t="inlineStr"/>
      <c r="W10" s="10" t="inlineStr"/>
      <c r="X10" s="10" t="inlineStr"/>
      <c r="Y10" s="10" t="inlineStr"/>
      <c r="Z10" s="10" t="inlineStr"/>
      <c r="AA10" s="10" t="inlineStr"/>
      <c r="AB10" t="inlineStr"/>
      <c r="AC10" s="10" t="inlineStr"/>
      <c r="AD10" t="inlineStr"/>
      <c r="AE10" t="inlineStr"/>
      <c r="AF10" s="10" t="inlineStr"/>
      <c r="AG10" t="inlineStr"/>
      <c r="AH10">
        <f>IF(AND(B10="",C10=""),"",IF(AND(X10&lt;&gt;"",Y10&lt;&gt;"",Z10&lt;&gt;"",AA10&lt;&gt;"",AB10="Y"),"YES","no"))</f>
        <v/>
      </c>
      <c r="AI10" s="10">
        <f>IF(AH10="YES",MAX(X10,Y10,Z10,AA10),"")</f>
        <v/>
      </c>
      <c r="AJ10">
        <f>IF(AND(B10="",C10=""),"",IF(OR(S10="Not interested",S10="Opt-out / do not contact"),"X Declined / suppressed",IF(S10="Bounced / undeliverable","X Bounced — research",IF(AC10&lt;&gt;"","13 Transacting",IF(AH10="YES","12 ACTIVATED",IF(Z10&lt;&gt;"","11 Listing live",IF(Y10&lt;&gt;"","10 Profile complete",IF(X10&lt;&gt;"","9 Approved",IF(W10&lt;&gt;"","8 KYC submitted",IF(V10&lt;&gt;"","7 Registered",IF(T10&lt;&gt;"","5 Interested",IF(R10&lt;&gt;"","4 Responded",IF(O10&lt;&gt;"","2 Contacted","1 Not yet contacted")))))))))))))</f>
        <v/>
      </c>
      <c r="AK10" s="10">
        <f>IF(AF10&lt;&gt;"",AF10,IF(OR(O10="",R10&lt;&gt;"",LEFT(AJ10,1)="X"),"",IF(Q10&lt;&gt;"","",IF(P10&lt;&gt;"",P10+SETTINGS!$B$4,O10+SETTINGS!$B$3))))</f>
        <v/>
      </c>
      <c r="AL10">
        <f>IF(AJ10="","",IF(LEFT(AJ10,1)="X","None — do not contact",IF(AJ10="1 Not yet contacted","Verify route today, then send M1",IF(AND(R10="",Q10&lt;&gt;""),"Sequence complete — no contact before "&amp;TEXT(Q10+SETTINGS!$B$5,"yyyy-mm-dd"),IF(AND(R10="",P10&lt;&gt;""),"Send final note (M4)",IF(R10="","Send follow-up (M2)",IF(AJ10="12 ACTIVATED","7-day check-in; consent &amp; referral soft ask",IF(AJ10="13 Transacting","Repeat-activity support","Onboarding: move to next stage (see playbook §6)"))))))))</f>
        <v/>
      </c>
      <c r="AM10">
        <f>IF(ISNUMBER(AK10),IF(AK10&lt;=TODAY(),"DUE",""),"")</f>
        <v/>
      </c>
      <c r="AN10">
        <f>IF(COUNT(O10,P10,Q10,R10,T10,V10,W10,X10,Y10,Z10,AA10,AC10)=0,"",TODAY()-MAX(O10,P10,Q10,R10,T10,V10,W10,X10,Y10,Z10,AA10,AC10))</f>
        <v/>
      </c>
      <c r="AO10">
        <f>IF(AJ10="","",IF(AND(T10&lt;&gt;"",U10&lt;&gt;"Active (verified)"),"GST: escalate (no tax advice)",IF(AND(IFERROR(VALUE(LEFT(AJ10,2)),0)&gt;=5,AH10&lt;&gt;"YES",ISNUMBER(AN10),AN10&gt;SETTINGS!$B$14),"STUCK in onboarding","")))</f>
        <v/>
      </c>
    </row>
    <row r="11">
      <c r="A11" t="n">
        <v>10</v>
      </c>
      <c r="B11" t="inlineStr">
        <is>
          <t>UPK2-SD-018</t>
        </is>
      </c>
      <c r="C11" t="inlineStr">
        <is>
          <t>Saaz Design Studio</t>
        </is>
      </c>
      <c r="D11" t="inlineStr">
        <is>
          <t>Space &amp; Design</t>
        </is>
      </c>
      <c r="E11" t="inlineStr">
        <is>
          <t>SD-ARCHITECTURE</t>
        </is>
      </c>
      <c r="F11" t="inlineStr">
        <is>
          <t>Delhi NCR</t>
        </is>
      </c>
      <c r="G11" t="inlineStr">
        <is>
          <t>A</t>
        </is>
      </c>
      <c r="H11" t="inlineStr">
        <is>
          <t>P0</t>
        </is>
      </c>
      <c r="I11" t="inlineStr">
        <is>
          <t>under-discovered</t>
        </is>
      </c>
      <c r="J11" t="inlineStr">
        <is>
          <t>Personal 1:1 email from founder/team to published business email</t>
        </is>
      </c>
      <c r="K11" t="inlineStr">
        <is>
          <t>https://www.saazdesignstudio.com/</t>
        </is>
      </c>
      <c r="L11" t="inlineStr">
        <is>
          <t>W0 Pilot</t>
        </is>
      </c>
      <c r="M11" t="inlineStr"/>
      <c r="N11" t="inlineStr"/>
      <c r="O11" s="10" t="inlineStr"/>
      <c r="P11" s="10" t="inlineStr"/>
      <c r="Q11" s="10" t="inlineStr"/>
      <c r="R11" s="10" t="inlineStr"/>
      <c r="S11" t="inlineStr"/>
      <c r="T11" s="10" t="inlineStr"/>
      <c r="U11" t="inlineStr"/>
      <c r="V11" s="10" t="inlineStr"/>
      <c r="W11" s="10" t="inlineStr"/>
      <c r="X11" s="10" t="inlineStr"/>
      <c r="Y11" s="10" t="inlineStr"/>
      <c r="Z11" s="10" t="inlineStr"/>
      <c r="AA11" s="10" t="inlineStr"/>
      <c r="AB11" t="inlineStr"/>
      <c r="AC11" s="10" t="inlineStr"/>
      <c r="AD11" t="inlineStr"/>
      <c r="AE11" t="inlineStr"/>
      <c r="AF11" s="10" t="inlineStr"/>
      <c r="AG11" t="inlineStr"/>
      <c r="AH11">
        <f>IF(AND(B11="",C11=""),"",IF(AND(X11&lt;&gt;"",Y11&lt;&gt;"",Z11&lt;&gt;"",AA11&lt;&gt;"",AB11="Y"),"YES","no"))</f>
        <v/>
      </c>
      <c r="AI11" s="10">
        <f>IF(AH11="YES",MAX(X11,Y11,Z11,AA11),"")</f>
        <v/>
      </c>
      <c r="AJ11">
        <f>IF(AND(B11="",C11=""),"",IF(OR(S11="Not interested",S11="Opt-out / do not contact"),"X Declined / suppressed",IF(S11="Bounced / undeliverable","X Bounced — research",IF(AC11&lt;&gt;"","13 Transacting",IF(AH11="YES","12 ACTIVATED",IF(Z11&lt;&gt;"","11 Listing live",IF(Y11&lt;&gt;"","10 Profile complete",IF(X11&lt;&gt;"","9 Approved",IF(W11&lt;&gt;"","8 KYC submitted",IF(V11&lt;&gt;"","7 Registered",IF(T11&lt;&gt;"","5 Interested",IF(R11&lt;&gt;"","4 Responded",IF(O11&lt;&gt;"","2 Contacted","1 Not yet contacted")))))))))))))</f>
        <v/>
      </c>
      <c r="AK11" s="10">
        <f>IF(AF11&lt;&gt;"",AF11,IF(OR(O11="",R11&lt;&gt;"",LEFT(AJ11,1)="X"),"",IF(Q11&lt;&gt;"","",IF(P11&lt;&gt;"",P11+SETTINGS!$B$4,O11+SETTINGS!$B$3))))</f>
        <v/>
      </c>
      <c r="AL11">
        <f>IF(AJ11="","",IF(LEFT(AJ11,1)="X","None — do not contact",IF(AJ11="1 Not yet contacted","Verify route today, then send M1",IF(AND(R11="",Q11&lt;&gt;""),"Sequence complete — no contact before "&amp;TEXT(Q11+SETTINGS!$B$5,"yyyy-mm-dd"),IF(AND(R11="",P11&lt;&gt;""),"Send final note (M4)",IF(R11="","Send follow-up (M2)",IF(AJ11="12 ACTIVATED","7-day check-in; consent &amp; referral soft ask",IF(AJ11="13 Transacting","Repeat-activity support","Onboarding: move to next stage (see playbook §6)"))))))))</f>
        <v/>
      </c>
      <c r="AM11">
        <f>IF(ISNUMBER(AK11),IF(AK11&lt;=TODAY(),"DUE",""),"")</f>
        <v/>
      </c>
      <c r="AN11">
        <f>IF(COUNT(O11,P11,Q11,R11,T11,V11,W11,X11,Y11,Z11,AA11,AC11)=0,"",TODAY()-MAX(O11,P11,Q11,R11,T11,V11,W11,X11,Y11,Z11,AA11,AC11))</f>
        <v/>
      </c>
      <c r="AO11">
        <f>IF(AJ11="","",IF(AND(T11&lt;&gt;"",U11&lt;&gt;"Active (verified)"),"GST: escalate (no tax advice)",IF(AND(IFERROR(VALUE(LEFT(AJ11,2)),0)&gt;=5,AH11&lt;&gt;"YES",ISNUMBER(AN11),AN11&gt;SETTINGS!$B$14),"STUCK in onboarding","")))</f>
        <v/>
      </c>
    </row>
    <row r="12">
      <c r="A12" t="n">
        <v>11</v>
      </c>
      <c r="B12" t="inlineStr">
        <is>
          <t>UPK2-SD-009</t>
        </is>
      </c>
      <c r="C12" t="inlineStr">
        <is>
          <t>Studio Dot</t>
        </is>
      </c>
      <c r="D12" t="inlineStr">
        <is>
          <t>Space &amp; Design</t>
        </is>
      </c>
      <c r="E12" t="inlineStr">
        <is>
          <t>SD-INTERIOR</t>
        </is>
      </c>
      <c r="F12" t="inlineStr">
        <is>
          <t>Delhi NCR</t>
        </is>
      </c>
      <c r="G12" t="inlineStr">
        <is>
          <t>A</t>
        </is>
      </c>
      <c r="H12" t="inlineStr">
        <is>
          <t>P0</t>
        </is>
      </c>
      <c r="I12" t="inlineStr">
        <is>
          <t>under-discovered</t>
        </is>
      </c>
      <c r="J12" t="inlineStr">
        <is>
          <t>Personal 1:1 email from founder/team to published business email</t>
        </is>
      </c>
      <c r="K12" t="inlineStr">
        <is>
          <t>https://www.studiodot.co.in/contact</t>
        </is>
      </c>
      <c r="L12" t="inlineStr">
        <is>
          <t>W0 Pilot</t>
        </is>
      </c>
      <c r="M12" t="inlineStr"/>
      <c r="N12" t="inlineStr"/>
      <c r="O12" s="10" t="inlineStr"/>
      <c r="P12" s="10" t="inlineStr"/>
      <c r="Q12" s="10" t="inlineStr"/>
      <c r="R12" s="10" t="inlineStr"/>
      <c r="S12" t="inlineStr"/>
      <c r="T12" s="10" t="inlineStr"/>
      <c r="U12" t="inlineStr"/>
      <c r="V12" s="10" t="inlineStr"/>
      <c r="W12" s="10" t="inlineStr"/>
      <c r="X12" s="10" t="inlineStr"/>
      <c r="Y12" s="10" t="inlineStr"/>
      <c r="Z12" s="10" t="inlineStr"/>
      <c r="AA12" s="10" t="inlineStr"/>
      <c r="AB12" t="inlineStr"/>
      <c r="AC12" s="10" t="inlineStr"/>
      <c r="AD12" t="inlineStr"/>
      <c r="AE12" t="inlineStr"/>
      <c r="AF12" s="10" t="inlineStr"/>
      <c r="AG12" t="inlineStr"/>
      <c r="AH12">
        <f>IF(AND(B12="",C12=""),"",IF(AND(X12&lt;&gt;"",Y12&lt;&gt;"",Z12&lt;&gt;"",AA12&lt;&gt;"",AB12="Y"),"YES","no"))</f>
        <v/>
      </c>
      <c r="AI12" s="10">
        <f>IF(AH12="YES",MAX(X12,Y12,Z12,AA12),"")</f>
        <v/>
      </c>
      <c r="AJ12">
        <f>IF(AND(B12="",C12=""),"",IF(OR(S12="Not interested",S12="Opt-out / do not contact"),"X Declined / suppressed",IF(S12="Bounced / undeliverable","X Bounced — research",IF(AC12&lt;&gt;"","13 Transacting",IF(AH12="YES","12 ACTIVATED",IF(Z12&lt;&gt;"","11 Listing live",IF(Y12&lt;&gt;"","10 Profile complete",IF(X12&lt;&gt;"","9 Approved",IF(W12&lt;&gt;"","8 KYC submitted",IF(V12&lt;&gt;"","7 Registered",IF(T12&lt;&gt;"","5 Interested",IF(R12&lt;&gt;"","4 Responded",IF(O12&lt;&gt;"","2 Contacted","1 Not yet contacted")))))))))))))</f>
        <v/>
      </c>
      <c r="AK12" s="10">
        <f>IF(AF12&lt;&gt;"",AF12,IF(OR(O12="",R12&lt;&gt;"",LEFT(AJ12,1)="X"),"",IF(Q12&lt;&gt;"","",IF(P12&lt;&gt;"",P12+SETTINGS!$B$4,O12+SETTINGS!$B$3))))</f>
        <v/>
      </c>
      <c r="AL12">
        <f>IF(AJ12="","",IF(LEFT(AJ12,1)="X","None — do not contact",IF(AJ12="1 Not yet contacted","Verify route today, then send M1",IF(AND(R12="",Q12&lt;&gt;""),"Sequence complete — no contact before "&amp;TEXT(Q12+SETTINGS!$B$5,"yyyy-mm-dd"),IF(AND(R12="",P12&lt;&gt;""),"Send final note (M4)",IF(R12="","Send follow-up (M2)",IF(AJ12="12 ACTIVATED","7-day check-in; consent &amp; referral soft ask",IF(AJ12="13 Transacting","Repeat-activity support","Onboarding: move to next stage (see playbook §6)"))))))))</f>
        <v/>
      </c>
      <c r="AM12">
        <f>IF(ISNUMBER(AK12),IF(AK12&lt;=TODAY(),"DUE",""),"")</f>
        <v/>
      </c>
      <c r="AN12">
        <f>IF(COUNT(O12,P12,Q12,R12,T12,V12,W12,X12,Y12,Z12,AA12,AC12)=0,"",TODAY()-MAX(O12,P12,Q12,R12,T12,V12,W12,X12,Y12,Z12,AA12,AC12))</f>
        <v/>
      </c>
      <c r="AO12">
        <f>IF(AJ12="","",IF(AND(T12&lt;&gt;"",U12&lt;&gt;"Active (verified)"),"GST: escalate (no tax advice)",IF(AND(IFERROR(VALUE(LEFT(AJ12,2)),0)&gt;=5,AH12&lt;&gt;"YES",ISNUMBER(AN12),AN12&gt;SETTINGS!$B$14),"STUCK in onboarding","")))</f>
        <v/>
      </c>
    </row>
    <row r="13">
      <c r="A13" t="n">
        <v>12</v>
      </c>
      <c r="B13" t="inlineStr">
        <is>
          <t>UPK2-SD-003</t>
        </is>
      </c>
      <c r="C13" t="inlineStr">
        <is>
          <t>Navrasa</t>
        </is>
      </c>
      <c r="D13" t="inlineStr">
        <is>
          <t>Space &amp; Design</t>
        </is>
      </c>
      <c r="E13" t="inlineStr">
        <is>
          <t>SD-INTERIOR</t>
        </is>
      </c>
      <c r="F13" t="inlineStr">
        <is>
          <t>Delhi NCR</t>
        </is>
      </c>
      <c r="G13" t="inlineStr">
        <is>
          <t>B</t>
        </is>
      </c>
      <c r="H13" t="inlineStr">
        <is>
          <t>P0</t>
        </is>
      </c>
      <c r="I13" t="inlineStr"/>
      <c r="J13" t="inlineStr">
        <is>
          <t>Personal 1:1 email from founder/team to published business email</t>
        </is>
      </c>
      <c r="K13" t="inlineStr">
        <is>
          <t>https://nav-rasa.com/</t>
        </is>
      </c>
      <c r="L13" t="inlineStr">
        <is>
          <t>W0 Pilot</t>
        </is>
      </c>
      <c r="M13" t="inlineStr"/>
      <c r="N13" t="inlineStr"/>
      <c r="O13" s="10" t="inlineStr"/>
      <c r="P13" s="10" t="inlineStr"/>
      <c r="Q13" s="10" t="inlineStr"/>
      <c r="R13" s="10" t="inlineStr"/>
      <c r="S13" t="inlineStr"/>
      <c r="T13" s="10" t="inlineStr"/>
      <c r="U13" t="inlineStr"/>
      <c r="V13" s="10" t="inlineStr"/>
      <c r="W13" s="10" t="inlineStr"/>
      <c r="X13" s="10" t="inlineStr"/>
      <c r="Y13" s="10" t="inlineStr"/>
      <c r="Z13" s="10" t="inlineStr"/>
      <c r="AA13" s="10" t="inlineStr"/>
      <c r="AB13" t="inlineStr"/>
      <c r="AC13" s="10" t="inlineStr"/>
      <c r="AD13" t="inlineStr"/>
      <c r="AE13" t="inlineStr"/>
      <c r="AF13" s="10" t="inlineStr"/>
      <c r="AG13" t="inlineStr"/>
      <c r="AH13">
        <f>IF(AND(B13="",C13=""),"",IF(AND(X13&lt;&gt;"",Y13&lt;&gt;"",Z13&lt;&gt;"",AA13&lt;&gt;"",AB13="Y"),"YES","no"))</f>
        <v/>
      </c>
      <c r="AI13" s="10">
        <f>IF(AH13="YES",MAX(X13,Y13,Z13,AA13),"")</f>
        <v/>
      </c>
      <c r="AJ13">
        <f>IF(AND(B13="",C13=""),"",IF(OR(S13="Not interested",S13="Opt-out / do not contact"),"X Declined / suppressed",IF(S13="Bounced / undeliverable","X Bounced — research",IF(AC13&lt;&gt;"","13 Transacting",IF(AH13="YES","12 ACTIVATED",IF(Z13&lt;&gt;"","11 Listing live",IF(Y13&lt;&gt;"","10 Profile complete",IF(X13&lt;&gt;"","9 Approved",IF(W13&lt;&gt;"","8 KYC submitted",IF(V13&lt;&gt;"","7 Registered",IF(T13&lt;&gt;"","5 Interested",IF(R13&lt;&gt;"","4 Responded",IF(O13&lt;&gt;"","2 Contacted","1 Not yet contacted")))))))))))))</f>
        <v/>
      </c>
      <c r="AK13" s="10">
        <f>IF(AF13&lt;&gt;"",AF13,IF(OR(O13="",R13&lt;&gt;"",LEFT(AJ13,1)="X"),"",IF(Q13&lt;&gt;"","",IF(P13&lt;&gt;"",P13+SETTINGS!$B$4,O13+SETTINGS!$B$3))))</f>
        <v/>
      </c>
      <c r="AL13">
        <f>IF(AJ13="","",IF(LEFT(AJ13,1)="X","None — do not contact",IF(AJ13="1 Not yet contacted","Verify route today, then send M1",IF(AND(R13="",Q13&lt;&gt;""),"Sequence complete — no contact before "&amp;TEXT(Q13+SETTINGS!$B$5,"yyyy-mm-dd"),IF(AND(R13="",P13&lt;&gt;""),"Send final note (M4)",IF(R13="","Send follow-up (M2)",IF(AJ13="12 ACTIVATED","7-day check-in; consent &amp; referral soft ask",IF(AJ13="13 Transacting","Repeat-activity support","Onboarding: move to next stage (see playbook §6)"))))))))</f>
        <v/>
      </c>
      <c r="AM13">
        <f>IF(ISNUMBER(AK13),IF(AK13&lt;=TODAY(),"DUE",""),"")</f>
        <v/>
      </c>
      <c r="AN13">
        <f>IF(COUNT(O13,P13,Q13,R13,T13,V13,W13,X13,Y13,Z13,AA13,AC13)=0,"",TODAY()-MAX(O13,P13,Q13,R13,T13,V13,W13,X13,Y13,Z13,AA13,AC13))</f>
        <v/>
      </c>
      <c r="AO13">
        <f>IF(AJ13="","",IF(AND(T13&lt;&gt;"",U13&lt;&gt;"Active (verified)"),"GST: escalate (no tax advice)",IF(AND(IFERROR(VALUE(LEFT(AJ13,2)),0)&gt;=5,AH13&lt;&gt;"YES",ISNUMBER(AN13),AN13&gt;SETTINGS!$B$14),"STUCK in onboarding","")))</f>
        <v/>
      </c>
    </row>
    <row r="14">
      <c r="A14" t="n">
        <v>13</v>
      </c>
      <c r="B14" t="inlineStr">
        <is>
          <t>UPK2-DV-006</t>
        </is>
      </c>
      <c r="C14" t="inlineStr">
        <is>
          <t>Inkyhand</t>
        </is>
      </c>
      <c r="D14" t="inlineStr">
        <is>
          <t>Digital &amp; Visual Arts</t>
        </is>
      </c>
      <c r="E14" t="inlineStr">
        <is>
          <t>DV-CALLIGRAPHY-STATIONERY</t>
        </is>
      </c>
      <c r="F14" t="inlineStr">
        <is>
          <t>Delhi NCR</t>
        </is>
      </c>
      <c r="G14" t="inlineStr">
        <is>
          <t>A</t>
        </is>
      </c>
      <c r="H14" t="inlineStr">
        <is>
          <t>P0</t>
        </is>
      </c>
      <c r="I14" t="inlineStr">
        <is>
          <t>under-discovered</t>
        </is>
      </c>
      <c r="J14" t="inlineStr">
        <is>
          <t>Personal 1:1 email from founder/team to published business email</t>
        </is>
      </c>
      <c r="K14" t="inlineStr">
        <is>
          <t>https://www.inkyhand.com/</t>
        </is>
      </c>
      <c r="L14" t="inlineStr">
        <is>
          <t>W0 Pilot</t>
        </is>
      </c>
      <c r="M14" t="inlineStr"/>
      <c r="N14" t="inlineStr"/>
      <c r="O14" s="10" t="inlineStr"/>
      <c r="P14" s="10" t="inlineStr"/>
      <c r="Q14" s="10" t="inlineStr"/>
      <c r="R14" s="10" t="inlineStr"/>
      <c r="S14" t="inlineStr"/>
      <c r="T14" s="10" t="inlineStr"/>
      <c r="U14" t="inlineStr"/>
      <c r="V14" s="10" t="inlineStr"/>
      <c r="W14" s="10" t="inlineStr"/>
      <c r="X14" s="10" t="inlineStr"/>
      <c r="Y14" s="10" t="inlineStr"/>
      <c r="Z14" s="10" t="inlineStr"/>
      <c r="AA14" s="10" t="inlineStr"/>
      <c r="AB14" t="inlineStr"/>
      <c r="AC14" s="10" t="inlineStr"/>
      <c r="AD14" t="inlineStr"/>
      <c r="AE14" t="inlineStr"/>
      <c r="AF14" s="10" t="inlineStr"/>
      <c r="AG14" t="inlineStr"/>
      <c r="AH14">
        <f>IF(AND(B14="",C14=""),"",IF(AND(X14&lt;&gt;"",Y14&lt;&gt;"",Z14&lt;&gt;"",AA14&lt;&gt;"",AB14="Y"),"YES","no"))</f>
        <v/>
      </c>
      <c r="AI14" s="10">
        <f>IF(AH14="YES",MAX(X14,Y14,Z14,AA14),"")</f>
        <v/>
      </c>
      <c r="AJ14">
        <f>IF(AND(B14="",C14=""),"",IF(OR(S14="Not interested",S14="Opt-out / do not contact"),"X Declined / suppressed",IF(S14="Bounced / undeliverable","X Bounced — research",IF(AC14&lt;&gt;"","13 Transacting",IF(AH14="YES","12 ACTIVATED",IF(Z14&lt;&gt;"","11 Listing live",IF(Y14&lt;&gt;"","10 Profile complete",IF(X14&lt;&gt;"","9 Approved",IF(W14&lt;&gt;"","8 KYC submitted",IF(V14&lt;&gt;"","7 Registered",IF(T14&lt;&gt;"","5 Interested",IF(R14&lt;&gt;"","4 Responded",IF(O14&lt;&gt;"","2 Contacted","1 Not yet contacted")))))))))))))</f>
        <v/>
      </c>
      <c r="AK14" s="10">
        <f>IF(AF14&lt;&gt;"",AF14,IF(OR(O14="",R14&lt;&gt;"",LEFT(AJ14,1)="X"),"",IF(Q14&lt;&gt;"","",IF(P14&lt;&gt;"",P14+SETTINGS!$B$4,O14+SETTINGS!$B$3))))</f>
        <v/>
      </c>
      <c r="AL14">
        <f>IF(AJ14="","",IF(LEFT(AJ14,1)="X","None — do not contact",IF(AJ14="1 Not yet contacted","Verify route today, then send M1",IF(AND(R14="",Q14&lt;&gt;""),"Sequence complete — no contact before "&amp;TEXT(Q14+SETTINGS!$B$5,"yyyy-mm-dd"),IF(AND(R14="",P14&lt;&gt;""),"Send final note (M4)",IF(R14="","Send follow-up (M2)",IF(AJ14="12 ACTIVATED","7-day check-in; consent &amp; referral soft ask",IF(AJ14="13 Transacting","Repeat-activity support","Onboarding: move to next stage (see playbook §6)"))))))))</f>
        <v/>
      </c>
      <c r="AM14">
        <f>IF(ISNUMBER(AK14),IF(AK14&lt;=TODAY(),"DUE",""),"")</f>
        <v/>
      </c>
      <c r="AN14">
        <f>IF(COUNT(O14,P14,Q14,R14,T14,V14,W14,X14,Y14,Z14,AA14,AC14)=0,"",TODAY()-MAX(O14,P14,Q14,R14,T14,V14,W14,X14,Y14,Z14,AA14,AC14))</f>
        <v/>
      </c>
      <c r="AO14">
        <f>IF(AJ14="","",IF(AND(T14&lt;&gt;"",U14&lt;&gt;"Active (verified)"),"GST: escalate (no tax advice)",IF(AND(IFERROR(VALUE(LEFT(AJ14,2)),0)&gt;=5,AH14&lt;&gt;"YES",ISNUMBER(AN14),AN14&gt;SETTINGS!$B$14),"STUCK in onboarding","")))</f>
        <v/>
      </c>
    </row>
    <row r="15">
      <c r="A15" t="n">
        <v>14</v>
      </c>
      <c r="B15" t="inlineStr">
        <is>
          <t>UPK2-DV-034</t>
        </is>
      </c>
      <c r="C15" t="inlineStr">
        <is>
          <t>Presentable</t>
        </is>
      </c>
      <c r="D15" t="inlineStr">
        <is>
          <t>Digital &amp; Visual Arts</t>
        </is>
      </c>
      <c r="E15" t="inlineStr">
        <is>
          <t>DV-DESIGN-STUDIO</t>
        </is>
      </c>
      <c r="F15" t="inlineStr">
        <is>
          <t>Delhi NCR</t>
        </is>
      </c>
      <c r="G15" t="inlineStr">
        <is>
          <t>B</t>
        </is>
      </c>
      <c r="H15" t="inlineStr">
        <is>
          <t>P0</t>
        </is>
      </c>
      <c r="I15" t="inlineStr"/>
      <c r="J15" t="inlineStr">
        <is>
          <t>Personal 1:1 email from founder/team to published business email</t>
        </is>
      </c>
      <c r="K15" t="inlineStr">
        <is>
          <t>https://www.makepresentable.com/contact</t>
        </is>
      </c>
      <c r="L15" t="inlineStr">
        <is>
          <t>W0 Pilot</t>
        </is>
      </c>
      <c r="M15" t="inlineStr"/>
      <c r="N15" t="inlineStr"/>
      <c r="O15" s="10" t="inlineStr"/>
      <c r="P15" s="10" t="inlineStr"/>
      <c r="Q15" s="10" t="inlineStr"/>
      <c r="R15" s="10" t="inlineStr"/>
      <c r="S15" t="inlineStr"/>
      <c r="T15" s="10" t="inlineStr"/>
      <c r="U15" t="inlineStr"/>
      <c r="V15" s="10" t="inlineStr"/>
      <c r="W15" s="10" t="inlineStr"/>
      <c r="X15" s="10" t="inlineStr"/>
      <c r="Y15" s="10" t="inlineStr"/>
      <c r="Z15" s="10" t="inlineStr"/>
      <c r="AA15" s="10" t="inlineStr"/>
      <c r="AB15" t="inlineStr"/>
      <c r="AC15" s="10" t="inlineStr"/>
      <c r="AD15" t="inlineStr"/>
      <c r="AE15" t="inlineStr"/>
      <c r="AF15" s="10" t="inlineStr"/>
      <c r="AG15" t="inlineStr"/>
      <c r="AH15">
        <f>IF(AND(B15="",C15=""),"",IF(AND(X15&lt;&gt;"",Y15&lt;&gt;"",Z15&lt;&gt;"",AA15&lt;&gt;"",AB15="Y"),"YES","no"))</f>
        <v/>
      </c>
      <c r="AI15" s="10">
        <f>IF(AH15="YES",MAX(X15,Y15,Z15,AA15),"")</f>
        <v/>
      </c>
      <c r="AJ15">
        <f>IF(AND(B15="",C15=""),"",IF(OR(S15="Not interested",S15="Opt-out / do not contact"),"X Declined / suppressed",IF(S15="Bounced / undeliverable","X Bounced — research",IF(AC15&lt;&gt;"","13 Transacting",IF(AH15="YES","12 ACTIVATED",IF(Z15&lt;&gt;"","11 Listing live",IF(Y15&lt;&gt;"","10 Profile complete",IF(X15&lt;&gt;"","9 Approved",IF(W15&lt;&gt;"","8 KYC submitted",IF(V15&lt;&gt;"","7 Registered",IF(T15&lt;&gt;"","5 Interested",IF(R15&lt;&gt;"","4 Responded",IF(O15&lt;&gt;"","2 Contacted","1 Not yet contacted")))))))))))))</f>
        <v/>
      </c>
      <c r="AK15" s="10">
        <f>IF(AF15&lt;&gt;"",AF15,IF(OR(O15="",R15&lt;&gt;"",LEFT(AJ15,1)="X"),"",IF(Q15&lt;&gt;"","",IF(P15&lt;&gt;"",P15+SETTINGS!$B$4,O15+SETTINGS!$B$3))))</f>
        <v/>
      </c>
      <c r="AL15">
        <f>IF(AJ15="","",IF(LEFT(AJ15,1)="X","None — do not contact",IF(AJ15="1 Not yet contacted","Verify route today, then send M1",IF(AND(R15="",Q15&lt;&gt;""),"Sequence complete — no contact before "&amp;TEXT(Q15+SETTINGS!$B$5,"yyyy-mm-dd"),IF(AND(R15="",P15&lt;&gt;""),"Send final note (M4)",IF(R15="","Send follow-up (M2)",IF(AJ15="12 ACTIVATED","7-day check-in; consent &amp; referral soft ask",IF(AJ15="13 Transacting","Repeat-activity support","Onboarding: move to next stage (see playbook §6)"))))))))</f>
        <v/>
      </c>
      <c r="AM15">
        <f>IF(ISNUMBER(AK15),IF(AK15&lt;=TODAY(),"DUE",""),"")</f>
        <v/>
      </c>
      <c r="AN15">
        <f>IF(COUNT(O15,P15,Q15,R15,T15,V15,W15,X15,Y15,Z15,AA15,AC15)=0,"",TODAY()-MAX(O15,P15,Q15,R15,T15,V15,W15,X15,Y15,Z15,AA15,AC15))</f>
        <v/>
      </c>
      <c r="AO15">
        <f>IF(AJ15="","",IF(AND(T15&lt;&gt;"",U15&lt;&gt;"Active (verified)"),"GST: escalate (no tax advice)",IF(AND(IFERROR(VALUE(LEFT(AJ15,2)),0)&gt;=5,AH15&lt;&gt;"YES",ISNUMBER(AN15),AN15&gt;SETTINGS!$B$14),"STUCK in onboarding","")))</f>
        <v/>
      </c>
    </row>
    <row r="16">
      <c r="A16" t="n">
        <v>15</v>
      </c>
      <c r="B16" t="inlineStr">
        <is>
          <t>UPK2-DV-003</t>
        </is>
      </c>
      <c r="C16" t="inlineStr">
        <is>
          <t>Ink n Bliss</t>
        </is>
      </c>
      <c r="D16" t="inlineStr">
        <is>
          <t>Digital &amp; Visual Arts</t>
        </is>
      </c>
      <c r="E16" t="inlineStr">
        <is>
          <t>DV-CALLIGRAPHY-STATIONERY</t>
        </is>
      </c>
      <c r="F16" t="inlineStr">
        <is>
          <t>Mumbai</t>
        </is>
      </c>
      <c r="G16" t="inlineStr">
        <is>
          <t>B</t>
        </is>
      </c>
      <c r="H16" t="inlineStr">
        <is>
          <t>P0</t>
        </is>
      </c>
      <c r="I16" t="inlineStr"/>
      <c r="J16" t="inlineStr">
        <is>
          <t>Personal 1:1 email from founder/team to published business email</t>
        </is>
      </c>
      <c r="K16" t="inlineStr">
        <is>
          <t>https://www.inknbliss.com/contact</t>
        </is>
      </c>
      <c r="L16" t="inlineStr">
        <is>
          <t>W0 Pilot</t>
        </is>
      </c>
      <c r="M16" t="inlineStr"/>
      <c r="N16" t="inlineStr"/>
      <c r="O16" s="10" t="inlineStr"/>
      <c r="P16" s="10" t="inlineStr"/>
      <c r="Q16" s="10" t="inlineStr"/>
      <c r="R16" s="10" t="inlineStr"/>
      <c r="S16" t="inlineStr"/>
      <c r="T16" s="10" t="inlineStr"/>
      <c r="U16" t="inlineStr"/>
      <c r="V16" s="10" t="inlineStr"/>
      <c r="W16" s="10" t="inlineStr"/>
      <c r="X16" s="10" t="inlineStr"/>
      <c r="Y16" s="10" t="inlineStr"/>
      <c r="Z16" s="10" t="inlineStr"/>
      <c r="AA16" s="10" t="inlineStr"/>
      <c r="AB16" t="inlineStr"/>
      <c r="AC16" s="10" t="inlineStr"/>
      <c r="AD16" t="inlineStr"/>
      <c r="AE16" t="inlineStr"/>
      <c r="AF16" s="10" t="inlineStr"/>
      <c r="AG16" t="inlineStr"/>
      <c r="AH16">
        <f>IF(AND(B16="",C16=""),"",IF(AND(X16&lt;&gt;"",Y16&lt;&gt;"",Z16&lt;&gt;"",AA16&lt;&gt;"",AB16="Y"),"YES","no"))</f>
        <v/>
      </c>
      <c r="AI16" s="10">
        <f>IF(AH16="YES",MAX(X16,Y16,Z16,AA16),"")</f>
        <v/>
      </c>
      <c r="AJ16">
        <f>IF(AND(B16="",C16=""),"",IF(OR(S16="Not interested",S16="Opt-out / do not contact"),"X Declined / suppressed",IF(S16="Bounced / undeliverable","X Bounced — research",IF(AC16&lt;&gt;"","13 Transacting",IF(AH16="YES","12 ACTIVATED",IF(Z16&lt;&gt;"","11 Listing live",IF(Y16&lt;&gt;"","10 Profile complete",IF(X16&lt;&gt;"","9 Approved",IF(W16&lt;&gt;"","8 KYC submitted",IF(V16&lt;&gt;"","7 Registered",IF(T16&lt;&gt;"","5 Interested",IF(R16&lt;&gt;"","4 Responded",IF(O16&lt;&gt;"","2 Contacted","1 Not yet contacted")))))))))))))</f>
        <v/>
      </c>
      <c r="AK16" s="10">
        <f>IF(AF16&lt;&gt;"",AF16,IF(OR(O16="",R16&lt;&gt;"",LEFT(AJ16,1)="X"),"",IF(Q16&lt;&gt;"","",IF(P16&lt;&gt;"",P16+SETTINGS!$B$4,O16+SETTINGS!$B$3))))</f>
        <v/>
      </c>
      <c r="AL16">
        <f>IF(AJ16="","",IF(LEFT(AJ16,1)="X","None — do not contact",IF(AJ16="1 Not yet contacted","Verify route today, then send M1",IF(AND(R16="",Q16&lt;&gt;""),"Sequence complete — no contact before "&amp;TEXT(Q16+SETTINGS!$B$5,"yyyy-mm-dd"),IF(AND(R16="",P16&lt;&gt;""),"Send final note (M4)",IF(R16="","Send follow-up (M2)",IF(AJ16="12 ACTIVATED","7-day check-in; consent &amp; referral soft ask",IF(AJ16="13 Transacting","Repeat-activity support","Onboarding: move to next stage (see playbook §6)"))))))))</f>
        <v/>
      </c>
      <c r="AM16">
        <f>IF(ISNUMBER(AK16),IF(AK16&lt;=TODAY(),"DUE",""),"")</f>
        <v/>
      </c>
      <c r="AN16">
        <f>IF(COUNT(O16,P16,Q16,R16,T16,V16,W16,X16,Y16,Z16,AA16,AC16)=0,"",TODAY()-MAX(O16,P16,Q16,R16,T16,V16,W16,X16,Y16,Z16,AA16,AC16))</f>
        <v/>
      </c>
      <c r="AO16">
        <f>IF(AJ16="","",IF(AND(T16&lt;&gt;"",U16&lt;&gt;"Active (verified)"),"GST: escalate (no tax advice)",IF(AND(IFERROR(VALUE(LEFT(AJ16,2)),0)&gt;=5,AH16&lt;&gt;"YES",ISNUMBER(AN16),AN16&gt;SETTINGS!$B$14),"STUCK in onboarding","")))</f>
        <v/>
      </c>
    </row>
    <row r="17">
      <c r="A17" t="n">
        <v>16</v>
      </c>
      <c r="B17" t="inlineStr">
        <is>
          <t>UPK2-BM-277</t>
        </is>
      </c>
      <c r="C17" t="inlineStr">
        <is>
          <t>Ram Kumar Mehandi</t>
        </is>
      </c>
      <c r="D17" t="inlineStr">
        <is>
          <t>Beauty &amp; Makeup</t>
        </is>
      </c>
      <c r="E17" t="inlineStr">
        <is>
          <t>BM-MEHENDI</t>
        </is>
      </c>
      <c r="F17" t="inlineStr">
        <is>
          <t>Delhi NCR</t>
        </is>
      </c>
      <c r="G17" t="inlineStr">
        <is>
          <t>A</t>
        </is>
      </c>
      <c r="H17" t="inlineStr">
        <is>
          <t>P0</t>
        </is>
      </c>
      <c r="I17" t="inlineStr"/>
      <c r="J17" t="inlineStr">
        <is>
          <t>Personal 1:1 email from founder/team to published business email</t>
        </is>
      </c>
      <c r="K17" t="inlineStr">
        <is>
          <t>https://ramkumarmehandi.com/landing/</t>
        </is>
      </c>
      <c r="L17" t="inlineStr">
        <is>
          <t>W0 Pilot</t>
        </is>
      </c>
      <c r="M17" t="inlineStr"/>
      <c r="N17" t="inlineStr"/>
      <c r="O17" s="10" t="inlineStr"/>
      <c r="P17" s="10" t="inlineStr"/>
      <c r="Q17" s="10" t="inlineStr"/>
      <c r="R17" s="10" t="inlineStr"/>
      <c r="S17" t="inlineStr"/>
      <c r="T17" s="10" t="inlineStr"/>
      <c r="U17" t="inlineStr"/>
      <c r="V17" s="10" t="inlineStr"/>
      <c r="W17" s="10" t="inlineStr"/>
      <c r="X17" s="10" t="inlineStr"/>
      <c r="Y17" s="10" t="inlineStr"/>
      <c r="Z17" s="10" t="inlineStr"/>
      <c r="AA17" s="10" t="inlineStr"/>
      <c r="AB17" t="inlineStr"/>
      <c r="AC17" s="10" t="inlineStr"/>
      <c r="AD17" t="inlineStr"/>
      <c r="AE17" t="inlineStr"/>
      <c r="AF17" s="10" t="inlineStr"/>
      <c r="AG17" t="inlineStr"/>
      <c r="AH17">
        <f>IF(AND(B17="",C17=""),"",IF(AND(X17&lt;&gt;"",Y17&lt;&gt;"",Z17&lt;&gt;"",AA17&lt;&gt;"",AB17="Y"),"YES","no"))</f>
        <v/>
      </c>
      <c r="AI17" s="10">
        <f>IF(AH17="YES",MAX(X17,Y17,Z17,AA17),"")</f>
        <v/>
      </c>
      <c r="AJ17">
        <f>IF(AND(B17="",C17=""),"",IF(OR(S17="Not interested",S17="Opt-out / do not contact"),"X Declined / suppressed",IF(S17="Bounced / undeliverable","X Bounced — research",IF(AC17&lt;&gt;"","13 Transacting",IF(AH17="YES","12 ACTIVATED",IF(Z17&lt;&gt;"","11 Listing live",IF(Y17&lt;&gt;"","10 Profile complete",IF(X17&lt;&gt;"","9 Approved",IF(W17&lt;&gt;"","8 KYC submitted",IF(V17&lt;&gt;"","7 Registered",IF(T17&lt;&gt;"","5 Interested",IF(R17&lt;&gt;"","4 Responded",IF(O17&lt;&gt;"","2 Contacted","1 Not yet contacted")))))))))))))</f>
        <v/>
      </c>
      <c r="AK17" s="10">
        <f>IF(AF17&lt;&gt;"",AF17,IF(OR(O17="",R17&lt;&gt;"",LEFT(AJ17,1)="X"),"",IF(Q17&lt;&gt;"","",IF(P17&lt;&gt;"",P17+SETTINGS!$B$4,O17+SETTINGS!$B$3))))</f>
        <v/>
      </c>
      <c r="AL17">
        <f>IF(AJ17="","",IF(LEFT(AJ17,1)="X","None — do not contact",IF(AJ17="1 Not yet contacted","Verify route today, then send M1",IF(AND(R17="",Q17&lt;&gt;""),"Sequence complete — no contact before "&amp;TEXT(Q17+SETTINGS!$B$5,"yyyy-mm-dd"),IF(AND(R17="",P17&lt;&gt;""),"Send final note (M4)",IF(R17="","Send follow-up (M2)",IF(AJ17="12 ACTIVATED","7-day check-in; consent &amp; referral soft ask",IF(AJ17="13 Transacting","Repeat-activity support","Onboarding: move to next stage (see playbook §6)"))))))))</f>
        <v/>
      </c>
      <c r="AM17">
        <f>IF(ISNUMBER(AK17),IF(AK17&lt;=TODAY(),"DUE",""),"")</f>
        <v/>
      </c>
      <c r="AN17">
        <f>IF(COUNT(O17,P17,Q17,R17,T17,V17,W17,X17,Y17,Z17,AA17,AC17)=0,"",TODAY()-MAX(O17,P17,Q17,R17,T17,V17,W17,X17,Y17,Z17,AA17,AC17))</f>
        <v/>
      </c>
      <c r="AO17">
        <f>IF(AJ17="","",IF(AND(T17&lt;&gt;"",U17&lt;&gt;"Active (verified)"),"GST: escalate (no tax advice)",IF(AND(IFERROR(VALUE(LEFT(AJ17,2)),0)&gt;=5,AH17&lt;&gt;"YES",ISNUMBER(AN17),AN17&gt;SETTINGS!$B$14),"STUCK in onboarding","")))</f>
        <v/>
      </c>
    </row>
    <row r="18">
      <c r="A18" t="n">
        <v>17</v>
      </c>
      <c r="B18" t="inlineStr">
        <is>
          <t>UPK2-BM-163</t>
        </is>
      </c>
      <c r="C18" t="inlineStr">
        <is>
          <t>Arun Mehandi</t>
        </is>
      </c>
      <c r="D18" t="inlineStr">
        <is>
          <t>Beauty &amp; Makeup</t>
        </is>
      </c>
      <c r="E18" t="inlineStr">
        <is>
          <t>BM-MEHENDI</t>
        </is>
      </c>
      <c r="F18" t="inlineStr">
        <is>
          <t>Mumbai</t>
        </is>
      </c>
      <c r="G18" t="inlineStr">
        <is>
          <t>C</t>
        </is>
      </c>
      <c r="H18" t="inlineStr">
        <is>
          <t>P0</t>
        </is>
      </c>
      <c r="I18" t="inlineStr"/>
      <c r="J18" t="inlineStr">
        <is>
          <t>Personal 1:1 email from founder/team to published business email</t>
        </is>
      </c>
      <c r="K18" t="inlineStr">
        <is>
          <t>https://arunmehandi.com/</t>
        </is>
      </c>
      <c r="L18" t="inlineStr">
        <is>
          <t>W0 Pilot</t>
        </is>
      </c>
      <c r="M18" t="inlineStr"/>
      <c r="N18" t="inlineStr"/>
      <c r="O18" s="10" t="inlineStr"/>
      <c r="P18" s="10" t="inlineStr"/>
      <c r="Q18" s="10" t="inlineStr"/>
      <c r="R18" s="10" t="inlineStr"/>
      <c r="S18" t="inlineStr"/>
      <c r="T18" s="10" t="inlineStr"/>
      <c r="U18" t="inlineStr"/>
      <c r="V18" s="10" t="inlineStr"/>
      <c r="W18" s="10" t="inlineStr"/>
      <c r="X18" s="10" t="inlineStr"/>
      <c r="Y18" s="10" t="inlineStr"/>
      <c r="Z18" s="10" t="inlineStr"/>
      <c r="AA18" s="10" t="inlineStr"/>
      <c r="AB18" t="inlineStr"/>
      <c r="AC18" s="10" t="inlineStr"/>
      <c r="AD18" t="inlineStr"/>
      <c r="AE18" t="inlineStr"/>
      <c r="AF18" s="10" t="inlineStr"/>
      <c r="AG18" t="inlineStr"/>
      <c r="AH18">
        <f>IF(AND(B18="",C18=""),"",IF(AND(X18&lt;&gt;"",Y18&lt;&gt;"",Z18&lt;&gt;"",AA18&lt;&gt;"",AB18="Y"),"YES","no"))</f>
        <v/>
      </c>
      <c r="AI18" s="10">
        <f>IF(AH18="YES",MAX(X18,Y18,Z18,AA18),"")</f>
        <v/>
      </c>
      <c r="AJ18">
        <f>IF(AND(B18="",C18=""),"",IF(OR(S18="Not interested",S18="Opt-out / do not contact"),"X Declined / suppressed",IF(S18="Bounced / undeliverable","X Bounced — research",IF(AC18&lt;&gt;"","13 Transacting",IF(AH18="YES","12 ACTIVATED",IF(Z18&lt;&gt;"","11 Listing live",IF(Y18&lt;&gt;"","10 Profile complete",IF(X18&lt;&gt;"","9 Approved",IF(W18&lt;&gt;"","8 KYC submitted",IF(V18&lt;&gt;"","7 Registered",IF(T18&lt;&gt;"","5 Interested",IF(R18&lt;&gt;"","4 Responded",IF(O18&lt;&gt;"","2 Contacted","1 Not yet contacted")))))))))))))</f>
        <v/>
      </c>
      <c r="AK18" s="10">
        <f>IF(AF18&lt;&gt;"",AF18,IF(OR(O18="",R18&lt;&gt;"",LEFT(AJ18,1)="X"),"",IF(Q18&lt;&gt;"","",IF(P18&lt;&gt;"",P18+SETTINGS!$B$4,O18+SETTINGS!$B$3))))</f>
        <v/>
      </c>
      <c r="AL18">
        <f>IF(AJ18="","",IF(LEFT(AJ18,1)="X","None — do not contact",IF(AJ18="1 Not yet contacted","Verify route today, then send M1",IF(AND(R18="",Q18&lt;&gt;""),"Sequence complete — no contact before "&amp;TEXT(Q18+SETTINGS!$B$5,"yyyy-mm-dd"),IF(AND(R18="",P18&lt;&gt;""),"Send final note (M4)",IF(R18="","Send follow-up (M2)",IF(AJ18="12 ACTIVATED","7-day check-in; consent &amp; referral soft ask",IF(AJ18="13 Transacting","Repeat-activity support","Onboarding: move to next stage (see playbook §6)"))))))))</f>
        <v/>
      </c>
      <c r="AM18">
        <f>IF(ISNUMBER(AK18),IF(AK18&lt;=TODAY(),"DUE",""),"")</f>
        <v/>
      </c>
      <c r="AN18">
        <f>IF(COUNT(O18,P18,Q18,R18,T18,V18,W18,X18,Y18,Z18,AA18,AC18)=0,"",TODAY()-MAX(O18,P18,Q18,R18,T18,V18,W18,X18,Y18,Z18,AA18,AC18))</f>
        <v/>
      </c>
      <c r="AO18">
        <f>IF(AJ18="","",IF(AND(T18&lt;&gt;"",U18&lt;&gt;"Active (verified)"),"GST: escalate (no tax advice)",IF(AND(IFERROR(VALUE(LEFT(AJ18,2)),0)&gt;=5,AH18&lt;&gt;"YES",ISNUMBER(AN18),AN18&gt;SETTINGS!$B$14),"STUCK in onboarding","")))</f>
        <v/>
      </c>
    </row>
    <row r="19">
      <c r="A19" t="n">
        <v>18</v>
      </c>
      <c r="B19" t="inlineStr">
        <is>
          <t>UPK2-BM-178</t>
        </is>
      </c>
      <c r="C19" t="inlineStr">
        <is>
          <t>Himani Bhandula Makeup Artist</t>
        </is>
      </c>
      <c r="D19" t="inlineStr">
        <is>
          <t>Beauty &amp; Makeup</t>
        </is>
      </c>
      <c r="E19" t="inlineStr">
        <is>
          <t>BM-INDEPENDENT-MUA</t>
        </is>
      </c>
      <c r="F19" t="inlineStr">
        <is>
          <t>Delhi NCR</t>
        </is>
      </c>
      <c r="G19" t="inlineStr">
        <is>
          <t>B</t>
        </is>
      </c>
      <c r="H19" t="inlineStr">
        <is>
          <t>P0</t>
        </is>
      </c>
      <c r="I19" t="inlineStr"/>
      <c r="J19" t="inlineStr">
        <is>
          <t>1:1 message via own-website contact form</t>
        </is>
      </c>
      <c r="K19" t="inlineStr">
        <is>
          <t>https://himanibhandula.com/contact/</t>
        </is>
      </c>
      <c r="L19" t="inlineStr">
        <is>
          <t>W0 Pilot</t>
        </is>
      </c>
      <c r="M19" t="inlineStr"/>
      <c r="N19" t="inlineStr"/>
      <c r="O19" s="10" t="inlineStr"/>
      <c r="P19" s="10" t="inlineStr"/>
      <c r="Q19" s="10" t="inlineStr"/>
      <c r="R19" s="10" t="inlineStr"/>
      <c r="S19" t="inlineStr"/>
      <c r="T19" s="10" t="inlineStr"/>
      <c r="U19" t="inlineStr"/>
      <c r="V19" s="10" t="inlineStr"/>
      <c r="W19" s="10" t="inlineStr"/>
      <c r="X19" s="10" t="inlineStr"/>
      <c r="Y19" s="10" t="inlineStr"/>
      <c r="Z19" s="10" t="inlineStr"/>
      <c r="AA19" s="10" t="inlineStr"/>
      <c r="AB19" t="inlineStr"/>
      <c r="AC19" s="10" t="inlineStr"/>
      <c r="AD19" t="inlineStr"/>
      <c r="AE19" t="inlineStr"/>
      <c r="AF19" s="10" t="inlineStr"/>
      <c r="AG19" t="inlineStr"/>
      <c r="AH19">
        <f>IF(AND(B19="",C19=""),"",IF(AND(X19&lt;&gt;"",Y19&lt;&gt;"",Z19&lt;&gt;"",AA19&lt;&gt;"",AB19="Y"),"YES","no"))</f>
        <v/>
      </c>
      <c r="AI19" s="10">
        <f>IF(AH19="YES",MAX(X19,Y19,Z19,AA19),"")</f>
        <v/>
      </c>
      <c r="AJ19">
        <f>IF(AND(B19="",C19=""),"",IF(OR(S19="Not interested",S19="Opt-out / do not contact"),"X Declined / suppressed",IF(S19="Bounced / undeliverable","X Bounced — research",IF(AC19&lt;&gt;"","13 Transacting",IF(AH19="YES","12 ACTIVATED",IF(Z19&lt;&gt;"","11 Listing live",IF(Y19&lt;&gt;"","10 Profile complete",IF(X19&lt;&gt;"","9 Approved",IF(W19&lt;&gt;"","8 KYC submitted",IF(V19&lt;&gt;"","7 Registered",IF(T19&lt;&gt;"","5 Interested",IF(R19&lt;&gt;"","4 Responded",IF(O19&lt;&gt;"","2 Contacted","1 Not yet contacted")))))))))))))</f>
        <v/>
      </c>
      <c r="AK19" s="10">
        <f>IF(AF19&lt;&gt;"",AF19,IF(OR(O19="",R19&lt;&gt;"",LEFT(AJ19,1)="X"),"",IF(Q19&lt;&gt;"","",IF(P19&lt;&gt;"",P19+SETTINGS!$B$4,O19+SETTINGS!$B$3))))</f>
        <v/>
      </c>
      <c r="AL19">
        <f>IF(AJ19="","",IF(LEFT(AJ19,1)="X","None — do not contact",IF(AJ19="1 Not yet contacted","Verify route today, then send M1",IF(AND(R19="",Q19&lt;&gt;""),"Sequence complete — no contact before "&amp;TEXT(Q19+SETTINGS!$B$5,"yyyy-mm-dd"),IF(AND(R19="",P19&lt;&gt;""),"Send final note (M4)",IF(R19="","Send follow-up (M2)",IF(AJ19="12 ACTIVATED","7-day check-in; consent &amp; referral soft ask",IF(AJ19="13 Transacting","Repeat-activity support","Onboarding: move to next stage (see playbook §6)"))))))))</f>
        <v/>
      </c>
      <c r="AM19">
        <f>IF(ISNUMBER(AK19),IF(AK19&lt;=TODAY(),"DUE",""),"")</f>
        <v/>
      </c>
      <c r="AN19">
        <f>IF(COUNT(O19,P19,Q19,R19,T19,V19,W19,X19,Y19,Z19,AA19,AC19)=0,"",TODAY()-MAX(O19,P19,Q19,R19,T19,V19,W19,X19,Y19,Z19,AA19,AC19))</f>
        <v/>
      </c>
      <c r="AO19">
        <f>IF(AJ19="","",IF(AND(T19&lt;&gt;"",U19&lt;&gt;"Active (verified)"),"GST: escalate (no tax advice)",IF(AND(IFERROR(VALUE(LEFT(AJ19,2)),0)&gt;=5,AH19&lt;&gt;"YES",ISNUMBER(AN19),AN19&gt;SETTINGS!$B$14),"STUCK in onboarding","")))</f>
        <v/>
      </c>
    </row>
    <row r="20">
      <c r="A20" t="n">
        <v>19</v>
      </c>
      <c r="B20" t="inlineStr">
        <is>
          <t>UPK2-BM-208</t>
        </is>
      </c>
      <c r="C20" t="inlineStr">
        <is>
          <t>Roopali Talwar Makeup Artist</t>
        </is>
      </c>
      <c r="D20" t="inlineStr">
        <is>
          <t>Beauty &amp; Makeup</t>
        </is>
      </c>
      <c r="E20" t="inlineStr">
        <is>
          <t>BM-INDEPENDENT-MUA</t>
        </is>
      </c>
      <c r="F20" t="inlineStr">
        <is>
          <t>Delhi NCR</t>
        </is>
      </c>
      <c r="G20" t="inlineStr">
        <is>
          <t>B</t>
        </is>
      </c>
      <c r="H20" t="inlineStr">
        <is>
          <t>P0</t>
        </is>
      </c>
      <c r="I20" t="inlineStr"/>
      <c r="J20" t="inlineStr">
        <is>
          <t>1:1 message via own-website contact form</t>
        </is>
      </c>
      <c r="K20" t="inlineStr">
        <is>
          <t>https://roopalitalwar.com/</t>
        </is>
      </c>
      <c r="L20" t="inlineStr">
        <is>
          <t>W0 Pilot</t>
        </is>
      </c>
      <c r="M20" t="inlineStr"/>
      <c r="N20" t="inlineStr"/>
      <c r="O20" s="10" t="inlineStr"/>
      <c r="P20" s="10" t="inlineStr"/>
      <c r="Q20" s="10" t="inlineStr"/>
      <c r="R20" s="10" t="inlineStr"/>
      <c r="S20" t="inlineStr"/>
      <c r="T20" s="10" t="inlineStr"/>
      <c r="U20" t="inlineStr"/>
      <c r="V20" s="10" t="inlineStr"/>
      <c r="W20" s="10" t="inlineStr"/>
      <c r="X20" s="10" t="inlineStr"/>
      <c r="Y20" s="10" t="inlineStr"/>
      <c r="Z20" s="10" t="inlineStr"/>
      <c r="AA20" s="10" t="inlineStr"/>
      <c r="AB20" t="inlineStr"/>
      <c r="AC20" s="10" t="inlineStr"/>
      <c r="AD20" t="inlineStr"/>
      <c r="AE20" t="inlineStr"/>
      <c r="AF20" s="10" t="inlineStr"/>
      <c r="AG20" t="inlineStr"/>
      <c r="AH20">
        <f>IF(AND(B20="",C20=""),"",IF(AND(X20&lt;&gt;"",Y20&lt;&gt;"",Z20&lt;&gt;"",AA20&lt;&gt;"",AB20="Y"),"YES","no"))</f>
        <v/>
      </c>
      <c r="AI20" s="10">
        <f>IF(AH20="YES",MAX(X20,Y20,Z20,AA20),"")</f>
        <v/>
      </c>
      <c r="AJ20">
        <f>IF(AND(B20="",C20=""),"",IF(OR(S20="Not interested",S20="Opt-out / do not contact"),"X Declined / suppressed",IF(S20="Bounced / undeliverable","X Bounced — research",IF(AC20&lt;&gt;"","13 Transacting",IF(AH20="YES","12 ACTIVATED",IF(Z20&lt;&gt;"","11 Listing live",IF(Y20&lt;&gt;"","10 Profile complete",IF(X20&lt;&gt;"","9 Approved",IF(W20&lt;&gt;"","8 KYC submitted",IF(V20&lt;&gt;"","7 Registered",IF(T20&lt;&gt;"","5 Interested",IF(R20&lt;&gt;"","4 Responded",IF(O20&lt;&gt;"","2 Contacted","1 Not yet contacted")))))))))))))</f>
        <v/>
      </c>
      <c r="AK20" s="10">
        <f>IF(AF20&lt;&gt;"",AF20,IF(OR(O20="",R20&lt;&gt;"",LEFT(AJ20,1)="X"),"",IF(Q20&lt;&gt;"","",IF(P20&lt;&gt;"",P20+SETTINGS!$B$4,O20+SETTINGS!$B$3))))</f>
        <v/>
      </c>
      <c r="AL20">
        <f>IF(AJ20="","",IF(LEFT(AJ20,1)="X","None — do not contact",IF(AJ20="1 Not yet contacted","Verify route today, then send M1",IF(AND(R20="",Q20&lt;&gt;""),"Sequence complete — no contact before "&amp;TEXT(Q20+SETTINGS!$B$5,"yyyy-mm-dd"),IF(AND(R20="",P20&lt;&gt;""),"Send final note (M4)",IF(R20="","Send follow-up (M2)",IF(AJ20="12 ACTIVATED","7-day check-in; consent &amp; referral soft ask",IF(AJ20="13 Transacting","Repeat-activity support","Onboarding: move to next stage (see playbook §6)"))))))))</f>
        <v/>
      </c>
      <c r="AM20">
        <f>IF(ISNUMBER(AK20),IF(AK20&lt;=TODAY(),"DUE",""),"")</f>
        <v/>
      </c>
      <c r="AN20">
        <f>IF(COUNT(O20,P20,Q20,R20,T20,V20,W20,X20,Y20,Z20,AA20,AC20)=0,"",TODAY()-MAX(O20,P20,Q20,R20,T20,V20,W20,X20,Y20,Z20,AA20,AC20))</f>
        <v/>
      </c>
      <c r="AO20">
        <f>IF(AJ20="","",IF(AND(T20&lt;&gt;"",U20&lt;&gt;"Active (verified)"),"GST: escalate (no tax advice)",IF(AND(IFERROR(VALUE(LEFT(AJ20,2)),0)&gt;=5,AH20&lt;&gt;"YES",ISNUMBER(AN20),AN20&gt;SETTINGS!$B$14),"STUCK in onboarding","")))</f>
        <v/>
      </c>
    </row>
    <row r="21">
      <c r="A21" t="n">
        <v>20</v>
      </c>
      <c r="B21" t="inlineStr">
        <is>
          <t>UPK2-LM-219</t>
        </is>
      </c>
      <c r="C21" t="inlineStr">
        <is>
          <t>7 Vows Stories</t>
        </is>
      </c>
      <c r="D21" t="inlineStr">
        <is>
          <t>Lens &amp; Motion</t>
        </is>
      </c>
      <c r="E21" t="inlineStr">
        <is>
          <t>LM-WEDDING</t>
        </is>
      </c>
      <c r="F21" t="inlineStr">
        <is>
          <t>Delhi NCR</t>
        </is>
      </c>
      <c r="G21" t="inlineStr">
        <is>
          <t>A</t>
        </is>
      </c>
      <c r="H21" t="inlineStr">
        <is>
          <t>P0</t>
        </is>
      </c>
      <c r="I21" t="inlineStr"/>
      <c r="J21" t="inlineStr">
        <is>
          <t>Personal 1:1 email from founder/team to published business email</t>
        </is>
      </c>
      <c r="K21" t="inlineStr">
        <is>
          <t>https://www.7vowsstories.com/</t>
        </is>
      </c>
      <c r="L21" t="inlineStr">
        <is>
          <t>W0 Pilot</t>
        </is>
      </c>
      <c r="M21" t="inlineStr"/>
      <c r="N21" t="inlineStr"/>
      <c r="O21" s="10" t="inlineStr"/>
      <c r="P21" s="10" t="inlineStr"/>
      <c r="Q21" s="10" t="inlineStr"/>
      <c r="R21" s="10" t="inlineStr"/>
      <c r="S21" t="inlineStr"/>
      <c r="T21" s="10" t="inlineStr"/>
      <c r="U21" t="inlineStr"/>
      <c r="V21" s="10" t="inlineStr"/>
      <c r="W21" s="10" t="inlineStr"/>
      <c r="X21" s="10" t="inlineStr"/>
      <c r="Y21" s="10" t="inlineStr"/>
      <c r="Z21" s="10" t="inlineStr"/>
      <c r="AA21" s="10" t="inlineStr"/>
      <c r="AB21" t="inlineStr"/>
      <c r="AC21" s="10" t="inlineStr"/>
      <c r="AD21" t="inlineStr"/>
      <c r="AE21" t="inlineStr"/>
      <c r="AF21" s="10" t="inlineStr"/>
      <c r="AG21" t="inlineStr"/>
      <c r="AH21">
        <f>IF(AND(B21="",C21=""),"",IF(AND(X21&lt;&gt;"",Y21&lt;&gt;"",Z21&lt;&gt;"",AA21&lt;&gt;"",AB21="Y"),"YES","no"))</f>
        <v/>
      </c>
      <c r="AI21" s="10">
        <f>IF(AH21="YES",MAX(X21,Y21,Z21,AA21),"")</f>
        <v/>
      </c>
      <c r="AJ21">
        <f>IF(AND(B21="",C21=""),"",IF(OR(S21="Not interested",S21="Opt-out / do not contact"),"X Declined / suppressed",IF(S21="Bounced / undeliverable","X Bounced — research",IF(AC21&lt;&gt;"","13 Transacting",IF(AH21="YES","12 ACTIVATED",IF(Z21&lt;&gt;"","11 Listing live",IF(Y21&lt;&gt;"","10 Profile complete",IF(X21&lt;&gt;"","9 Approved",IF(W21&lt;&gt;"","8 KYC submitted",IF(V21&lt;&gt;"","7 Registered",IF(T21&lt;&gt;"","5 Interested",IF(R21&lt;&gt;"","4 Responded",IF(O21&lt;&gt;"","2 Contacted","1 Not yet contacted")))))))))))))</f>
        <v/>
      </c>
      <c r="AK21" s="10">
        <f>IF(AF21&lt;&gt;"",AF21,IF(OR(O21="",R21&lt;&gt;"",LEFT(AJ21,1)="X"),"",IF(Q21&lt;&gt;"","",IF(P21&lt;&gt;"",P21+SETTINGS!$B$4,O21+SETTINGS!$B$3))))</f>
        <v/>
      </c>
      <c r="AL21">
        <f>IF(AJ21="","",IF(LEFT(AJ21,1)="X","None — do not contact",IF(AJ21="1 Not yet contacted","Verify route today, then send M1",IF(AND(R21="",Q21&lt;&gt;""),"Sequence complete — no contact before "&amp;TEXT(Q21+SETTINGS!$B$5,"yyyy-mm-dd"),IF(AND(R21="",P21&lt;&gt;""),"Send final note (M4)",IF(R21="","Send follow-up (M2)",IF(AJ21="12 ACTIVATED","7-day check-in; consent &amp; referral soft ask",IF(AJ21="13 Transacting","Repeat-activity support","Onboarding: move to next stage (see playbook §6)"))))))))</f>
        <v/>
      </c>
      <c r="AM21">
        <f>IF(ISNUMBER(AK21),IF(AK21&lt;=TODAY(),"DUE",""),"")</f>
        <v/>
      </c>
      <c r="AN21">
        <f>IF(COUNT(O21,P21,Q21,R21,T21,V21,W21,X21,Y21,Z21,AA21,AC21)=0,"",TODAY()-MAX(O21,P21,Q21,R21,T21,V21,W21,X21,Y21,Z21,AA21,AC21))</f>
        <v/>
      </c>
      <c r="AO21">
        <f>IF(AJ21="","",IF(AND(T21&lt;&gt;"",U21&lt;&gt;"Active (verified)"),"GST: escalate (no tax advice)",IF(AND(IFERROR(VALUE(LEFT(AJ21,2)),0)&gt;=5,AH21&lt;&gt;"YES",ISNUMBER(AN21),AN21&gt;SETTINGS!$B$14),"STUCK in onboarding","")))</f>
        <v/>
      </c>
    </row>
    <row r="22">
      <c r="A22" t="n">
        <v>21</v>
      </c>
      <c r="B22" t="inlineStr">
        <is>
          <t>UPK2-LM-208</t>
        </is>
      </c>
      <c r="C22" t="inlineStr">
        <is>
          <t>Photomist</t>
        </is>
      </c>
      <c r="D22" t="inlineStr">
        <is>
          <t>Lens &amp; Motion</t>
        </is>
      </c>
      <c r="E22" t="inlineStr">
        <is>
          <t>LM-WEDDING</t>
        </is>
      </c>
      <c r="F22" t="inlineStr">
        <is>
          <t>Mumbai</t>
        </is>
      </c>
      <c r="G22" t="inlineStr">
        <is>
          <t>B</t>
        </is>
      </c>
      <c r="H22" t="inlineStr">
        <is>
          <t>P0</t>
        </is>
      </c>
      <c r="I22" t="inlineStr"/>
      <c r="J22" t="inlineStr">
        <is>
          <t>Personal 1:1 email from founder/team to published business email</t>
        </is>
      </c>
      <c r="K22" t="inlineStr">
        <is>
          <t>https://www.photomist.in/</t>
        </is>
      </c>
      <c r="L22" t="inlineStr">
        <is>
          <t>W0 Pilot</t>
        </is>
      </c>
      <c r="M22" t="inlineStr"/>
      <c r="N22" t="inlineStr"/>
      <c r="O22" s="10" t="inlineStr"/>
      <c r="P22" s="10" t="inlineStr"/>
      <c r="Q22" s="10" t="inlineStr"/>
      <c r="R22" s="10" t="inlineStr"/>
      <c r="S22" t="inlineStr"/>
      <c r="T22" s="10" t="inlineStr"/>
      <c r="U22" t="inlineStr"/>
      <c r="V22" s="10" t="inlineStr"/>
      <c r="W22" s="10" t="inlineStr"/>
      <c r="X22" s="10" t="inlineStr"/>
      <c r="Y22" s="10" t="inlineStr"/>
      <c r="Z22" s="10" t="inlineStr"/>
      <c r="AA22" s="10" t="inlineStr"/>
      <c r="AB22" t="inlineStr"/>
      <c r="AC22" s="10" t="inlineStr"/>
      <c r="AD22" t="inlineStr"/>
      <c r="AE22" t="inlineStr"/>
      <c r="AF22" s="10" t="inlineStr"/>
      <c r="AG22" t="inlineStr"/>
      <c r="AH22">
        <f>IF(AND(B22="",C22=""),"",IF(AND(X22&lt;&gt;"",Y22&lt;&gt;"",Z22&lt;&gt;"",AA22&lt;&gt;"",AB22="Y"),"YES","no"))</f>
        <v/>
      </c>
      <c r="AI22" s="10">
        <f>IF(AH22="YES",MAX(X22,Y22,Z22,AA22),"")</f>
        <v/>
      </c>
      <c r="AJ22">
        <f>IF(AND(B22="",C22=""),"",IF(OR(S22="Not interested",S22="Opt-out / do not contact"),"X Declined / suppressed",IF(S22="Bounced / undeliverable","X Bounced — research",IF(AC22&lt;&gt;"","13 Transacting",IF(AH22="YES","12 ACTIVATED",IF(Z22&lt;&gt;"","11 Listing live",IF(Y22&lt;&gt;"","10 Profile complete",IF(X22&lt;&gt;"","9 Approved",IF(W22&lt;&gt;"","8 KYC submitted",IF(V22&lt;&gt;"","7 Registered",IF(T22&lt;&gt;"","5 Interested",IF(R22&lt;&gt;"","4 Responded",IF(O22&lt;&gt;"","2 Contacted","1 Not yet contacted")))))))))))))</f>
        <v/>
      </c>
      <c r="AK22" s="10">
        <f>IF(AF22&lt;&gt;"",AF22,IF(OR(O22="",R22&lt;&gt;"",LEFT(AJ22,1)="X"),"",IF(Q22&lt;&gt;"","",IF(P22&lt;&gt;"",P22+SETTINGS!$B$4,O22+SETTINGS!$B$3))))</f>
        <v/>
      </c>
      <c r="AL22">
        <f>IF(AJ22="","",IF(LEFT(AJ22,1)="X","None — do not contact",IF(AJ22="1 Not yet contacted","Verify route today, then send M1",IF(AND(R22="",Q22&lt;&gt;""),"Sequence complete — no contact before "&amp;TEXT(Q22+SETTINGS!$B$5,"yyyy-mm-dd"),IF(AND(R22="",P22&lt;&gt;""),"Send final note (M4)",IF(R22="","Send follow-up (M2)",IF(AJ22="12 ACTIVATED","7-day check-in; consent &amp; referral soft ask",IF(AJ22="13 Transacting","Repeat-activity support","Onboarding: move to next stage (see playbook §6)"))))))))</f>
        <v/>
      </c>
      <c r="AM22">
        <f>IF(ISNUMBER(AK22),IF(AK22&lt;=TODAY(),"DUE",""),"")</f>
        <v/>
      </c>
      <c r="AN22">
        <f>IF(COUNT(O22,P22,Q22,R22,T22,V22,W22,X22,Y22,Z22,AA22,AC22)=0,"",TODAY()-MAX(O22,P22,Q22,R22,T22,V22,W22,X22,Y22,Z22,AA22,AC22))</f>
        <v/>
      </c>
      <c r="AO22">
        <f>IF(AJ22="","",IF(AND(T22&lt;&gt;"",U22&lt;&gt;"Active (verified)"),"GST: escalate (no tax advice)",IF(AND(IFERROR(VALUE(LEFT(AJ22,2)),0)&gt;=5,AH22&lt;&gt;"YES",ISNUMBER(AN22),AN22&gt;SETTINGS!$B$14),"STUCK in onboarding","")))</f>
        <v/>
      </c>
    </row>
    <row r="23">
      <c r="A23" t="n">
        <v>22</v>
      </c>
      <c r="B23" t="inlineStr">
        <is>
          <t>UPK2-LM-225</t>
        </is>
      </c>
      <c r="C23" t="inlineStr">
        <is>
          <t>A.Rrajani Photography</t>
        </is>
      </c>
      <c r="D23" t="inlineStr">
        <is>
          <t>Lens &amp; Motion</t>
        </is>
      </c>
      <c r="E23" t="inlineStr">
        <is>
          <t>LM-COMMERCIAL-FASHION</t>
        </is>
      </c>
      <c r="F23" t="inlineStr">
        <is>
          <t>Mumbai</t>
        </is>
      </c>
      <c r="G23" t="inlineStr">
        <is>
          <t>C</t>
        </is>
      </c>
      <c r="H23" t="inlineStr">
        <is>
          <t>P0</t>
        </is>
      </c>
      <c r="I23" t="inlineStr">
        <is>
          <t>under-discovered</t>
        </is>
      </c>
      <c r="J23" t="inlineStr">
        <is>
          <t>Personal 1:1 email from founder/team to published business email</t>
        </is>
      </c>
      <c r="K23" t="inlineStr">
        <is>
          <t>https://www.a-rrajani.com/contact-andheri-mumbai/</t>
        </is>
      </c>
      <c r="L23" t="inlineStr">
        <is>
          <t>W0 Pilot</t>
        </is>
      </c>
      <c r="M23" t="inlineStr"/>
      <c r="N23" t="inlineStr"/>
      <c r="O23" s="10" t="inlineStr"/>
      <c r="P23" s="10" t="inlineStr"/>
      <c r="Q23" s="10" t="inlineStr"/>
      <c r="R23" s="10" t="inlineStr"/>
      <c r="S23" t="inlineStr"/>
      <c r="T23" s="10" t="inlineStr"/>
      <c r="U23" t="inlineStr"/>
      <c r="V23" s="10" t="inlineStr"/>
      <c r="W23" s="10" t="inlineStr"/>
      <c r="X23" s="10" t="inlineStr"/>
      <c r="Y23" s="10" t="inlineStr"/>
      <c r="Z23" s="10" t="inlineStr"/>
      <c r="AA23" s="10" t="inlineStr"/>
      <c r="AB23" t="inlineStr"/>
      <c r="AC23" s="10" t="inlineStr"/>
      <c r="AD23" t="inlineStr"/>
      <c r="AE23" t="inlineStr"/>
      <c r="AF23" s="10" t="inlineStr"/>
      <c r="AG23" t="inlineStr"/>
      <c r="AH23">
        <f>IF(AND(B23="",C23=""),"",IF(AND(X23&lt;&gt;"",Y23&lt;&gt;"",Z23&lt;&gt;"",AA23&lt;&gt;"",AB23="Y"),"YES","no"))</f>
        <v/>
      </c>
      <c r="AI23" s="10">
        <f>IF(AH23="YES",MAX(X23,Y23,Z23,AA23),"")</f>
        <v/>
      </c>
      <c r="AJ23">
        <f>IF(AND(B23="",C23=""),"",IF(OR(S23="Not interested",S23="Opt-out / do not contact"),"X Declined / suppressed",IF(S23="Bounced / undeliverable","X Bounced — research",IF(AC23&lt;&gt;"","13 Transacting",IF(AH23="YES","12 ACTIVATED",IF(Z23&lt;&gt;"","11 Listing live",IF(Y23&lt;&gt;"","10 Profile complete",IF(X23&lt;&gt;"","9 Approved",IF(W23&lt;&gt;"","8 KYC submitted",IF(V23&lt;&gt;"","7 Registered",IF(T23&lt;&gt;"","5 Interested",IF(R23&lt;&gt;"","4 Responded",IF(O23&lt;&gt;"","2 Contacted","1 Not yet contacted")))))))))))))</f>
        <v/>
      </c>
      <c r="AK23" s="10">
        <f>IF(AF23&lt;&gt;"",AF23,IF(OR(O23="",R23&lt;&gt;"",LEFT(AJ23,1)="X"),"",IF(Q23&lt;&gt;"","",IF(P23&lt;&gt;"",P23+SETTINGS!$B$4,O23+SETTINGS!$B$3))))</f>
        <v/>
      </c>
      <c r="AL23">
        <f>IF(AJ23="","",IF(LEFT(AJ23,1)="X","None — do not contact",IF(AJ23="1 Not yet contacted","Verify route today, then send M1",IF(AND(R23="",Q23&lt;&gt;""),"Sequence complete — no contact before "&amp;TEXT(Q23+SETTINGS!$B$5,"yyyy-mm-dd"),IF(AND(R23="",P23&lt;&gt;""),"Send final note (M4)",IF(R23="","Send follow-up (M2)",IF(AJ23="12 ACTIVATED","7-day check-in; consent &amp; referral soft ask",IF(AJ23="13 Transacting","Repeat-activity support","Onboarding: move to next stage (see playbook §6)"))))))))</f>
        <v/>
      </c>
      <c r="AM23">
        <f>IF(ISNUMBER(AK23),IF(AK23&lt;=TODAY(),"DUE",""),"")</f>
        <v/>
      </c>
      <c r="AN23">
        <f>IF(COUNT(O23,P23,Q23,R23,T23,V23,W23,X23,Y23,Z23,AA23,AC23)=0,"",TODAY()-MAX(O23,P23,Q23,R23,T23,V23,W23,X23,Y23,Z23,AA23,AC23))</f>
        <v/>
      </c>
      <c r="AO23">
        <f>IF(AJ23="","",IF(AND(T23&lt;&gt;"",U23&lt;&gt;"Active (verified)"),"GST: escalate (no tax advice)",IF(AND(IFERROR(VALUE(LEFT(AJ23,2)),0)&gt;=5,AH23&lt;&gt;"YES",ISNUMBER(AN23),AN23&gt;SETTINGS!$B$14),"STUCK in onboarding","")))</f>
        <v/>
      </c>
    </row>
    <row r="24">
      <c r="A24" t="n">
        <v>23</v>
      </c>
      <c r="B24" t="inlineStr">
        <is>
          <t>UPK2-LM-279</t>
        </is>
      </c>
      <c r="C24" t="inlineStr">
        <is>
          <t>Jignesh Jhaveri</t>
        </is>
      </c>
      <c r="D24" t="inlineStr">
        <is>
          <t>Lens &amp; Motion</t>
        </is>
      </c>
      <c r="E24" t="inlineStr">
        <is>
          <t>LM-COMMERCIAL-FASHION</t>
        </is>
      </c>
      <c r="F24" t="inlineStr">
        <is>
          <t>Mumbai</t>
        </is>
      </c>
      <c r="G24" t="inlineStr">
        <is>
          <t>C</t>
        </is>
      </c>
      <c r="H24" t="inlineStr">
        <is>
          <t>P0</t>
        </is>
      </c>
      <c r="I24" t="inlineStr">
        <is>
          <t>under-discovered</t>
        </is>
      </c>
      <c r="J24" t="inlineStr">
        <is>
          <t>Personal 1:1 email from founder/team to published business email</t>
        </is>
      </c>
      <c r="K24" t="inlineStr">
        <is>
          <t>https://www.jigneshjhaveri.com/contact</t>
        </is>
      </c>
      <c r="L24" t="inlineStr">
        <is>
          <t>W0 Pilot</t>
        </is>
      </c>
      <c r="M24" t="inlineStr"/>
      <c r="N24" t="inlineStr"/>
      <c r="O24" s="10" t="inlineStr"/>
      <c r="P24" s="10" t="inlineStr"/>
      <c r="Q24" s="10" t="inlineStr"/>
      <c r="R24" s="10" t="inlineStr"/>
      <c r="S24" t="inlineStr"/>
      <c r="T24" s="10" t="inlineStr"/>
      <c r="U24" t="inlineStr"/>
      <c r="V24" s="10" t="inlineStr"/>
      <c r="W24" s="10" t="inlineStr"/>
      <c r="X24" s="10" t="inlineStr"/>
      <c r="Y24" s="10" t="inlineStr"/>
      <c r="Z24" s="10" t="inlineStr"/>
      <c r="AA24" s="10" t="inlineStr"/>
      <c r="AB24" t="inlineStr"/>
      <c r="AC24" s="10" t="inlineStr"/>
      <c r="AD24" t="inlineStr"/>
      <c r="AE24" t="inlineStr"/>
      <c r="AF24" s="10" t="inlineStr"/>
      <c r="AG24" t="inlineStr"/>
      <c r="AH24">
        <f>IF(AND(B24="",C24=""),"",IF(AND(X24&lt;&gt;"",Y24&lt;&gt;"",Z24&lt;&gt;"",AA24&lt;&gt;"",AB24="Y"),"YES","no"))</f>
        <v/>
      </c>
      <c r="AI24" s="10">
        <f>IF(AH24="YES",MAX(X24,Y24,Z24,AA24),"")</f>
        <v/>
      </c>
      <c r="AJ24">
        <f>IF(AND(B24="",C24=""),"",IF(OR(S24="Not interested",S24="Opt-out / do not contact"),"X Declined / suppressed",IF(S24="Bounced / undeliverable","X Bounced — research",IF(AC24&lt;&gt;"","13 Transacting",IF(AH24="YES","12 ACTIVATED",IF(Z24&lt;&gt;"","11 Listing live",IF(Y24&lt;&gt;"","10 Profile complete",IF(X24&lt;&gt;"","9 Approved",IF(W24&lt;&gt;"","8 KYC submitted",IF(V24&lt;&gt;"","7 Registered",IF(T24&lt;&gt;"","5 Interested",IF(R24&lt;&gt;"","4 Responded",IF(O24&lt;&gt;"","2 Contacted","1 Not yet contacted")))))))))))))</f>
        <v/>
      </c>
      <c r="AK24" s="10">
        <f>IF(AF24&lt;&gt;"",AF24,IF(OR(O24="",R24&lt;&gt;"",LEFT(AJ24,1)="X"),"",IF(Q24&lt;&gt;"","",IF(P24&lt;&gt;"",P24+SETTINGS!$B$4,O24+SETTINGS!$B$3))))</f>
        <v/>
      </c>
      <c r="AL24">
        <f>IF(AJ24="","",IF(LEFT(AJ24,1)="X","None — do not contact",IF(AJ24="1 Not yet contacted","Verify route today, then send M1",IF(AND(R24="",Q24&lt;&gt;""),"Sequence complete — no contact before "&amp;TEXT(Q24+SETTINGS!$B$5,"yyyy-mm-dd"),IF(AND(R24="",P24&lt;&gt;""),"Send final note (M4)",IF(R24="","Send follow-up (M2)",IF(AJ24="12 ACTIVATED","7-day check-in; consent &amp; referral soft ask",IF(AJ24="13 Transacting","Repeat-activity support","Onboarding: move to next stage (see playbook §6)"))))))))</f>
        <v/>
      </c>
      <c r="AM24">
        <f>IF(ISNUMBER(AK24),IF(AK24&lt;=TODAY(),"DUE",""),"")</f>
        <v/>
      </c>
      <c r="AN24">
        <f>IF(COUNT(O24,P24,Q24,R24,T24,V24,W24,X24,Y24,Z24,AA24,AC24)=0,"",TODAY()-MAX(O24,P24,Q24,R24,T24,V24,W24,X24,Y24,Z24,AA24,AC24))</f>
        <v/>
      </c>
      <c r="AO24">
        <f>IF(AJ24="","",IF(AND(T24&lt;&gt;"",U24&lt;&gt;"Active (verified)"),"GST: escalate (no tax advice)",IF(AND(IFERROR(VALUE(LEFT(AJ24,2)),0)&gt;=5,AH24&lt;&gt;"YES",ISNUMBER(AN24),AN24&gt;SETTINGS!$B$14),"STUCK in onboarding","")))</f>
        <v/>
      </c>
    </row>
    <row r="25">
      <c r="A25" t="n">
        <v>24</v>
      </c>
      <c r="B25" t="inlineStr">
        <is>
          <t>UPK2-CM-046</t>
        </is>
      </c>
      <c r="C25" t="inlineStr">
        <is>
          <t>Amol Soni</t>
        </is>
      </c>
      <c r="D25" t="inlineStr">
        <is>
          <t>Content &amp; Media</t>
        </is>
      </c>
      <c r="E25" t="inlineStr">
        <is>
          <t>CM-EMCEE-HOST</t>
        </is>
      </c>
      <c r="F25" t="inlineStr">
        <is>
          <t>Mumbai</t>
        </is>
      </c>
      <c r="G25" t="inlineStr">
        <is>
          <t>A</t>
        </is>
      </c>
      <c r="H25" t="inlineStr">
        <is>
          <t>P0</t>
        </is>
      </c>
      <c r="I25" t="inlineStr"/>
      <c r="J25" t="inlineStr">
        <is>
          <t>Personal 1:1 email from founder/team to published business email</t>
        </is>
      </c>
      <c r="K25" t="inlineStr">
        <is>
          <t>https://www.entertaineramolsoni.com/</t>
        </is>
      </c>
      <c r="L25" t="inlineStr">
        <is>
          <t>W0 Pilot</t>
        </is>
      </c>
      <c r="M25" t="inlineStr"/>
      <c r="N25" t="inlineStr"/>
      <c r="O25" s="10" t="inlineStr"/>
      <c r="P25" s="10" t="inlineStr"/>
      <c r="Q25" s="10" t="inlineStr"/>
      <c r="R25" s="10" t="inlineStr"/>
      <c r="S25" t="inlineStr"/>
      <c r="T25" s="10" t="inlineStr"/>
      <c r="U25" t="inlineStr"/>
      <c r="V25" s="10" t="inlineStr"/>
      <c r="W25" s="10" t="inlineStr"/>
      <c r="X25" s="10" t="inlineStr"/>
      <c r="Y25" s="10" t="inlineStr"/>
      <c r="Z25" s="10" t="inlineStr"/>
      <c r="AA25" s="10" t="inlineStr"/>
      <c r="AB25" t="inlineStr"/>
      <c r="AC25" s="10" t="inlineStr"/>
      <c r="AD25" t="inlineStr"/>
      <c r="AE25" t="inlineStr"/>
      <c r="AF25" s="10" t="inlineStr"/>
      <c r="AG25" t="inlineStr"/>
      <c r="AH25">
        <f>IF(AND(B25="",C25=""),"",IF(AND(X25&lt;&gt;"",Y25&lt;&gt;"",Z25&lt;&gt;"",AA25&lt;&gt;"",AB25="Y"),"YES","no"))</f>
        <v/>
      </c>
      <c r="AI25" s="10">
        <f>IF(AH25="YES",MAX(X25,Y25,Z25,AA25),"")</f>
        <v/>
      </c>
      <c r="AJ25">
        <f>IF(AND(B25="",C25=""),"",IF(OR(S25="Not interested",S25="Opt-out / do not contact"),"X Declined / suppressed",IF(S25="Bounced / undeliverable","X Bounced — research",IF(AC25&lt;&gt;"","13 Transacting",IF(AH25="YES","12 ACTIVATED",IF(Z25&lt;&gt;"","11 Listing live",IF(Y25&lt;&gt;"","10 Profile complete",IF(X25&lt;&gt;"","9 Approved",IF(W25&lt;&gt;"","8 KYC submitted",IF(V25&lt;&gt;"","7 Registered",IF(T25&lt;&gt;"","5 Interested",IF(R25&lt;&gt;"","4 Responded",IF(O25&lt;&gt;"","2 Contacted","1 Not yet contacted")))))))))))))</f>
        <v/>
      </c>
      <c r="AK25" s="10">
        <f>IF(AF25&lt;&gt;"",AF25,IF(OR(O25="",R25&lt;&gt;"",LEFT(AJ25,1)="X"),"",IF(Q25&lt;&gt;"","",IF(P25&lt;&gt;"",P25+SETTINGS!$B$4,O25+SETTINGS!$B$3))))</f>
        <v/>
      </c>
      <c r="AL25">
        <f>IF(AJ25="","",IF(LEFT(AJ25,1)="X","None — do not contact",IF(AJ25="1 Not yet contacted","Verify route today, then send M1",IF(AND(R25="",Q25&lt;&gt;""),"Sequence complete — no contact before "&amp;TEXT(Q25+SETTINGS!$B$5,"yyyy-mm-dd"),IF(AND(R25="",P25&lt;&gt;""),"Send final note (M4)",IF(R25="","Send follow-up (M2)",IF(AJ25="12 ACTIVATED","7-day check-in; consent &amp; referral soft ask",IF(AJ25="13 Transacting","Repeat-activity support","Onboarding: move to next stage (see playbook §6)"))))))))</f>
        <v/>
      </c>
      <c r="AM25">
        <f>IF(ISNUMBER(AK25),IF(AK25&lt;=TODAY(),"DUE",""),"")</f>
        <v/>
      </c>
      <c r="AN25">
        <f>IF(COUNT(O25,P25,Q25,R25,T25,V25,W25,X25,Y25,Z25,AA25,AC25)=0,"",TODAY()-MAX(O25,P25,Q25,R25,T25,V25,W25,X25,Y25,Z25,AA25,AC25))</f>
        <v/>
      </c>
      <c r="AO25">
        <f>IF(AJ25="","",IF(AND(T25&lt;&gt;"",U25&lt;&gt;"Active (verified)"),"GST: escalate (no tax advice)",IF(AND(IFERROR(VALUE(LEFT(AJ25,2)),0)&gt;=5,AH25&lt;&gt;"YES",ISNUMBER(AN25),AN25&gt;SETTINGS!$B$14),"STUCK in onboarding","")))</f>
        <v/>
      </c>
    </row>
    <row r="26">
      <c r="A26" t="n">
        <v>25</v>
      </c>
      <c r="B26" t="inlineStr">
        <is>
          <t>UPK2-CM-044</t>
        </is>
      </c>
      <c r="C26" t="inlineStr">
        <is>
          <t>Sagar Duggal</t>
        </is>
      </c>
      <c r="D26" t="inlineStr">
        <is>
          <t>Content &amp; Media</t>
        </is>
      </c>
      <c r="E26" t="inlineStr">
        <is>
          <t>CM-EMCEE-HOST</t>
        </is>
      </c>
      <c r="F26" t="inlineStr">
        <is>
          <t>Delhi NCR</t>
        </is>
      </c>
      <c r="G26" t="inlineStr">
        <is>
          <t>C</t>
        </is>
      </c>
      <c r="H26" t="inlineStr">
        <is>
          <t>P0</t>
        </is>
      </c>
      <c r="I26" t="inlineStr"/>
      <c r="J26" t="inlineStr">
        <is>
          <t>Personal 1:1 email from founder/team to published business email</t>
        </is>
      </c>
      <c r="K26" t="inlineStr">
        <is>
          <t>https://talkativesagar.com/</t>
        </is>
      </c>
      <c r="L26" t="inlineStr">
        <is>
          <t>W0 Pilot</t>
        </is>
      </c>
      <c r="M26" t="inlineStr"/>
      <c r="N26" t="inlineStr"/>
      <c r="O26" s="10" t="inlineStr"/>
      <c r="P26" s="10" t="inlineStr"/>
      <c r="Q26" s="10" t="inlineStr"/>
      <c r="R26" s="10" t="inlineStr"/>
      <c r="S26" t="inlineStr"/>
      <c r="T26" s="10" t="inlineStr"/>
      <c r="U26" t="inlineStr"/>
      <c r="V26" s="10" t="inlineStr"/>
      <c r="W26" s="10" t="inlineStr"/>
      <c r="X26" s="10" t="inlineStr"/>
      <c r="Y26" s="10" t="inlineStr"/>
      <c r="Z26" s="10" t="inlineStr"/>
      <c r="AA26" s="10" t="inlineStr"/>
      <c r="AB26" t="inlineStr"/>
      <c r="AC26" s="10" t="inlineStr"/>
      <c r="AD26" t="inlineStr"/>
      <c r="AE26" t="inlineStr"/>
      <c r="AF26" s="10" t="inlineStr"/>
      <c r="AG26" t="inlineStr"/>
      <c r="AH26">
        <f>IF(AND(B26="",C26=""),"",IF(AND(X26&lt;&gt;"",Y26&lt;&gt;"",Z26&lt;&gt;"",AA26&lt;&gt;"",AB26="Y"),"YES","no"))</f>
        <v/>
      </c>
      <c r="AI26" s="10">
        <f>IF(AH26="YES",MAX(X26,Y26,Z26,AA26),"")</f>
        <v/>
      </c>
      <c r="AJ26">
        <f>IF(AND(B26="",C26=""),"",IF(OR(S26="Not interested",S26="Opt-out / do not contact"),"X Declined / suppressed",IF(S26="Bounced / undeliverable","X Bounced — research",IF(AC26&lt;&gt;"","13 Transacting",IF(AH26="YES","12 ACTIVATED",IF(Z26&lt;&gt;"","11 Listing live",IF(Y26&lt;&gt;"","10 Profile complete",IF(X26&lt;&gt;"","9 Approved",IF(W26&lt;&gt;"","8 KYC submitted",IF(V26&lt;&gt;"","7 Registered",IF(T26&lt;&gt;"","5 Interested",IF(R26&lt;&gt;"","4 Responded",IF(O26&lt;&gt;"","2 Contacted","1 Not yet contacted")))))))))))))</f>
        <v/>
      </c>
      <c r="AK26" s="10">
        <f>IF(AF26&lt;&gt;"",AF26,IF(OR(O26="",R26&lt;&gt;"",LEFT(AJ26,1)="X"),"",IF(Q26&lt;&gt;"","",IF(P26&lt;&gt;"",P26+SETTINGS!$B$4,O26+SETTINGS!$B$3))))</f>
        <v/>
      </c>
      <c r="AL26">
        <f>IF(AJ26="","",IF(LEFT(AJ26,1)="X","None — do not contact",IF(AJ26="1 Not yet contacted","Verify route today, then send M1",IF(AND(R26="",Q26&lt;&gt;""),"Sequence complete — no contact before "&amp;TEXT(Q26+SETTINGS!$B$5,"yyyy-mm-dd"),IF(AND(R26="",P26&lt;&gt;""),"Send final note (M4)",IF(R26="","Send follow-up (M2)",IF(AJ26="12 ACTIVATED","7-day check-in; consent &amp; referral soft ask",IF(AJ26="13 Transacting","Repeat-activity support","Onboarding: move to next stage (see playbook §6)"))))))))</f>
        <v/>
      </c>
      <c r="AM26">
        <f>IF(ISNUMBER(AK26),IF(AK26&lt;=TODAY(),"DUE",""),"")</f>
        <v/>
      </c>
      <c r="AN26">
        <f>IF(COUNT(O26,P26,Q26,R26,T26,V26,W26,X26,Y26,Z26,AA26,AC26)=0,"",TODAY()-MAX(O26,P26,Q26,R26,T26,V26,W26,X26,Y26,Z26,AA26,AC26))</f>
        <v/>
      </c>
      <c r="AO26">
        <f>IF(AJ26="","",IF(AND(T26&lt;&gt;"",U26&lt;&gt;"Active (verified)"),"GST: escalate (no tax advice)",IF(AND(IFERROR(VALUE(LEFT(AJ26,2)),0)&gt;=5,AH26&lt;&gt;"YES",ISNUMBER(AN26),AN26&gt;SETTINGS!$B$14),"STUCK in onboarding","")))</f>
        <v/>
      </c>
    </row>
    <row r="27">
      <c r="A27" t="n">
        <v>26</v>
      </c>
      <c r="B27" t="inlineStr">
        <is>
          <t>UPK2-FL-171</t>
        </is>
      </c>
      <c r="C27" t="inlineStr">
        <is>
          <t>Aseem Kapoor</t>
        </is>
      </c>
      <c r="D27" t="inlineStr">
        <is>
          <t>Fashion &amp; Lifestyle</t>
        </is>
      </c>
      <c r="E27" t="inlineStr">
        <is>
          <t>FL-OCCASION-BRIDAL</t>
        </is>
      </c>
      <c r="F27" t="inlineStr">
        <is>
          <t>Delhi NCR</t>
        </is>
      </c>
      <c r="G27" t="inlineStr">
        <is>
          <t>A</t>
        </is>
      </c>
      <c r="H27" t="inlineStr">
        <is>
          <t>P0</t>
        </is>
      </c>
      <c r="I27" t="inlineStr">
        <is>
          <t>stockist-listed|large catalogue</t>
        </is>
      </c>
      <c r="J27" t="inlineStr">
        <is>
          <t>Personal 1:1 email from founder/team to published business email</t>
        </is>
      </c>
      <c r="K27" t="inlineStr">
        <is>
          <t>https://aseemkapoor.com/pages/contact</t>
        </is>
      </c>
      <c r="L27" t="inlineStr">
        <is>
          <t>W1 Founding cohort</t>
        </is>
      </c>
      <c r="M27" t="inlineStr"/>
      <c r="N27" t="inlineStr"/>
      <c r="O27" s="10" t="inlineStr"/>
      <c r="P27" s="10" t="inlineStr"/>
      <c r="Q27" s="10" t="inlineStr"/>
      <c r="R27" s="10" t="inlineStr"/>
      <c r="S27" t="inlineStr"/>
      <c r="T27" s="10" t="inlineStr"/>
      <c r="U27" t="inlineStr"/>
      <c r="V27" s="10" t="inlineStr"/>
      <c r="W27" s="10" t="inlineStr"/>
      <c r="X27" s="10" t="inlineStr"/>
      <c r="Y27" s="10" t="inlineStr"/>
      <c r="Z27" s="10" t="inlineStr"/>
      <c r="AA27" s="10" t="inlineStr"/>
      <c r="AB27" t="inlineStr"/>
      <c r="AC27" s="10" t="inlineStr"/>
      <c r="AD27" t="inlineStr"/>
      <c r="AE27" t="inlineStr"/>
      <c r="AF27" s="10" t="inlineStr"/>
      <c r="AG27" t="inlineStr"/>
      <c r="AH27">
        <f>IF(AND(B27="",C27=""),"",IF(AND(X27&lt;&gt;"",Y27&lt;&gt;"",Z27&lt;&gt;"",AA27&lt;&gt;"",AB27="Y"),"YES","no"))</f>
        <v/>
      </c>
      <c r="AI27" s="10">
        <f>IF(AH27="YES",MAX(X27,Y27,Z27,AA27),"")</f>
        <v/>
      </c>
      <c r="AJ27">
        <f>IF(AND(B27="",C27=""),"",IF(OR(S27="Not interested",S27="Opt-out / do not contact"),"X Declined / suppressed",IF(S27="Bounced / undeliverable","X Bounced — research",IF(AC27&lt;&gt;"","13 Transacting",IF(AH27="YES","12 ACTIVATED",IF(Z27&lt;&gt;"","11 Listing live",IF(Y27&lt;&gt;"","10 Profile complete",IF(X27&lt;&gt;"","9 Approved",IF(W27&lt;&gt;"","8 KYC submitted",IF(V27&lt;&gt;"","7 Registered",IF(T27&lt;&gt;"","5 Interested",IF(R27&lt;&gt;"","4 Responded",IF(O27&lt;&gt;"","2 Contacted","1 Not yet contacted")))))))))))))</f>
        <v/>
      </c>
      <c r="AK27" s="10">
        <f>IF(AF27&lt;&gt;"",AF27,IF(OR(O27="",R27&lt;&gt;"",LEFT(AJ27,1)="X"),"",IF(Q27&lt;&gt;"","",IF(P27&lt;&gt;"",P27+SETTINGS!$B$4,O27+SETTINGS!$B$3))))</f>
        <v/>
      </c>
      <c r="AL27">
        <f>IF(AJ27="","",IF(LEFT(AJ27,1)="X","None — do not contact",IF(AJ27="1 Not yet contacted","Verify route today, then send M1",IF(AND(R27="",Q27&lt;&gt;""),"Sequence complete — no contact before "&amp;TEXT(Q27+SETTINGS!$B$5,"yyyy-mm-dd"),IF(AND(R27="",P27&lt;&gt;""),"Send final note (M4)",IF(R27="","Send follow-up (M2)",IF(AJ27="12 ACTIVATED","7-day check-in; consent &amp; referral soft ask",IF(AJ27="13 Transacting","Repeat-activity support","Onboarding: move to next stage (see playbook §6)"))))))))</f>
        <v/>
      </c>
      <c r="AM27">
        <f>IF(ISNUMBER(AK27),IF(AK27&lt;=TODAY(),"DUE",""),"")</f>
        <v/>
      </c>
      <c r="AN27">
        <f>IF(COUNT(O27,P27,Q27,R27,T27,V27,W27,X27,Y27,Z27,AA27,AC27)=0,"",TODAY()-MAX(O27,P27,Q27,R27,T27,V27,W27,X27,Y27,Z27,AA27,AC27))</f>
        <v/>
      </c>
      <c r="AO27">
        <f>IF(AJ27="","",IF(AND(T27&lt;&gt;"",U27&lt;&gt;"Active (verified)"),"GST: escalate (no tax advice)",IF(AND(IFERROR(VALUE(LEFT(AJ27,2)),0)&gt;=5,AH27&lt;&gt;"YES",ISNUMBER(AN27),AN27&gt;SETTINGS!$B$14),"STUCK in onboarding","")))</f>
        <v/>
      </c>
    </row>
    <row r="28">
      <c r="A28" t="n">
        <v>27</v>
      </c>
      <c r="B28" t="inlineStr">
        <is>
          <t>UPK2-FL-256</t>
        </is>
      </c>
      <c r="C28" t="inlineStr">
        <is>
          <t>Atbw</t>
        </is>
      </c>
      <c r="D28" t="inlineStr">
        <is>
          <t>Fashion &amp; Lifestyle</t>
        </is>
      </c>
      <c r="E28" t="inlineStr">
        <is>
          <t>FL-CONTEMPORARY</t>
        </is>
      </c>
      <c r="F28" t="inlineStr">
        <is>
          <t>Delhi NCR</t>
        </is>
      </c>
      <c r="G28" t="inlineStr">
        <is>
          <t>A</t>
        </is>
      </c>
      <c r="H28" t="inlineStr">
        <is>
          <t>P0</t>
        </is>
      </c>
      <c r="I28" t="inlineStr">
        <is>
          <t>stockist-listed</t>
        </is>
      </c>
      <c r="J28" t="inlineStr">
        <is>
          <t>Personal 1:1 email from founder/team to published business email</t>
        </is>
      </c>
      <c r="K28" t="inlineStr">
        <is>
          <t>https://atbw.shop/collections/the-artists-notebook</t>
        </is>
      </c>
      <c r="L28" t="inlineStr">
        <is>
          <t>W1 Founding cohort</t>
        </is>
      </c>
      <c r="M28" t="inlineStr"/>
      <c r="N28" t="inlineStr"/>
      <c r="O28" s="10" t="inlineStr"/>
      <c r="P28" s="10" t="inlineStr"/>
      <c r="Q28" s="10" t="inlineStr"/>
      <c r="R28" s="10" t="inlineStr"/>
      <c r="S28" t="inlineStr"/>
      <c r="T28" s="10" t="inlineStr"/>
      <c r="U28" t="inlineStr"/>
      <c r="V28" s="10" t="inlineStr"/>
      <c r="W28" s="10" t="inlineStr"/>
      <c r="X28" s="10" t="inlineStr"/>
      <c r="Y28" s="10" t="inlineStr"/>
      <c r="Z28" s="10" t="inlineStr"/>
      <c r="AA28" s="10" t="inlineStr"/>
      <c r="AB28" t="inlineStr"/>
      <c r="AC28" s="10" t="inlineStr"/>
      <c r="AD28" t="inlineStr"/>
      <c r="AE28" t="inlineStr"/>
      <c r="AF28" s="10" t="inlineStr"/>
      <c r="AG28" t="inlineStr"/>
      <c r="AH28">
        <f>IF(AND(B28="",C28=""),"",IF(AND(X28&lt;&gt;"",Y28&lt;&gt;"",Z28&lt;&gt;"",AA28&lt;&gt;"",AB28="Y"),"YES","no"))</f>
        <v/>
      </c>
      <c r="AI28" s="10">
        <f>IF(AH28="YES",MAX(X28,Y28,Z28,AA28),"")</f>
        <v/>
      </c>
      <c r="AJ28">
        <f>IF(AND(B28="",C28=""),"",IF(OR(S28="Not interested",S28="Opt-out / do not contact"),"X Declined / suppressed",IF(S28="Bounced / undeliverable","X Bounced — research",IF(AC28&lt;&gt;"","13 Transacting",IF(AH28="YES","12 ACTIVATED",IF(Z28&lt;&gt;"","11 Listing live",IF(Y28&lt;&gt;"","10 Profile complete",IF(X28&lt;&gt;"","9 Approved",IF(W28&lt;&gt;"","8 KYC submitted",IF(V28&lt;&gt;"","7 Registered",IF(T28&lt;&gt;"","5 Interested",IF(R28&lt;&gt;"","4 Responded",IF(O28&lt;&gt;"","2 Contacted","1 Not yet contacted")))))))))))))</f>
        <v/>
      </c>
      <c r="AK28" s="10">
        <f>IF(AF28&lt;&gt;"",AF28,IF(OR(O28="",R28&lt;&gt;"",LEFT(AJ28,1)="X"),"",IF(Q28&lt;&gt;"","",IF(P28&lt;&gt;"",P28+SETTINGS!$B$4,O28+SETTINGS!$B$3))))</f>
        <v/>
      </c>
      <c r="AL28">
        <f>IF(AJ28="","",IF(LEFT(AJ28,1)="X","None — do not contact",IF(AJ28="1 Not yet contacted","Verify route today, then send M1",IF(AND(R28="",Q28&lt;&gt;""),"Sequence complete — no contact before "&amp;TEXT(Q28+SETTINGS!$B$5,"yyyy-mm-dd"),IF(AND(R28="",P28&lt;&gt;""),"Send final note (M4)",IF(R28="","Send follow-up (M2)",IF(AJ28="12 ACTIVATED","7-day check-in; consent &amp; referral soft ask",IF(AJ28="13 Transacting","Repeat-activity support","Onboarding: move to next stage (see playbook §6)"))))))))</f>
        <v/>
      </c>
      <c r="AM28">
        <f>IF(ISNUMBER(AK28),IF(AK28&lt;=TODAY(),"DUE",""),"")</f>
        <v/>
      </c>
      <c r="AN28">
        <f>IF(COUNT(O28,P28,Q28,R28,T28,V28,W28,X28,Y28,Z28,AA28,AC28)=0,"",TODAY()-MAX(O28,P28,Q28,R28,T28,V28,W28,X28,Y28,Z28,AA28,AC28))</f>
        <v/>
      </c>
      <c r="AO28">
        <f>IF(AJ28="","",IF(AND(T28&lt;&gt;"",U28&lt;&gt;"Active (verified)"),"GST: escalate (no tax advice)",IF(AND(IFERROR(VALUE(LEFT(AJ28,2)),0)&gt;=5,AH28&lt;&gt;"YES",ISNUMBER(AN28),AN28&gt;SETTINGS!$B$14),"STUCK in onboarding","")))</f>
        <v/>
      </c>
    </row>
    <row r="29">
      <c r="A29" t="n">
        <v>28</v>
      </c>
      <c r="B29" t="inlineStr">
        <is>
          <t>UPK2-FL-261</t>
        </is>
      </c>
      <c r="C29" t="inlineStr">
        <is>
          <t>Jodi</t>
        </is>
      </c>
      <c r="D29" t="inlineStr">
        <is>
          <t>Fashion &amp; Lifestyle</t>
        </is>
      </c>
      <c r="E29" t="inlineStr">
        <is>
          <t>FL-OCCASION-BRIDAL</t>
        </is>
      </c>
      <c r="F29" t="inlineStr">
        <is>
          <t>Bengaluru</t>
        </is>
      </c>
      <c r="G29" t="inlineStr">
        <is>
          <t>B</t>
        </is>
      </c>
      <c r="H29" t="inlineStr">
        <is>
          <t>P0</t>
        </is>
      </c>
      <c r="I29" t="inlineStr">
        <is>
          <t>stockist-listed</t>
        </is>
      </c>
      <c r="J29" t="inlineStr">
        <is>
          <t>Personal 1:1 email from founder/team to published business email</t>
        </is>
      </c>
      <c r="K29" t="inlineStr">
        <is>
          <t>https://jodistudio.com/contact</t>
        </is>
      </c>
      <c r="L29" t="inlineStr">
        <is>
          <t>W1 Founding cohort</t>
        </is>
      </c>
      <c r="M29" t="inlineStr"/>
      <c r="N29" t="inlineStr"/>
      <c r="O29" s="10" t="inlineStr"/>
      <c r="P29" s="10" t="inlineStr"/>
      <c r="Q29" s="10" t="inlineStr"/>
      <c r="R29" s="10" t="inlineStr"/>
      <c r="S29" t="inlineStr"/>
      <c r="T29" s="10" t="inlineStr"/>
      <c r="U29" t="inlineStr"/>
      <c r="V29" s="10" t="inlineStr"/>
      <c r="W29" s="10" t="inlineStr"/>
      <c r="X29" s="10" t="inlineStr"/>
      <c r="Y29" s="10" t="inlineStr"/>
      <c r="Z29" s="10" t="inlineStr"/>
      <c r="AA29" s="10" t="inlineStr"/>
      <c r="AB29" t="inlineStr"/>
      <c r="AC29" s="10" t="inlineStr"/>
      <c r="AD29" t="inlineStr"/>
      <c r="AE29" t="inlineStr"/>
      <c r="AF29" s="10" t="inlineStr"/>
      <c r="AG29" t="inlineStr"/>
      <c r="AH29">
        <f>IF(AND(B29="",C29=""),"",IF(AND(X29&lt;&gt;"",Y29&lt;&gt;"",Z29&lt;&gt;"",AA29&lt;&gt;"",AB29="Y"),"YES","no"))</f>
        <v/>
      </c>
      <c r="AI29" s="10">
        <f>IF(AH29="YES",MAX(X29,Y29,Z29,AA29),"")</f>
        <v/>
      </c>
      <c r="AJ29">
        <f>IF(AND(B29="",C29=""),"",IF(OR(S29="Not interested",S29="Opt-out / do not contact"),"X Declined / suppressed",IF(S29="Bounced / undeliverable","X Bounced — research",IF(AC29&lt;&gt;"","13 Transacting",IF(AH29="YES","12 ACTIVATED",IF(Z29&lt;&gt;"","11 Listing live",IF(Y29&lt;&gt;"","10 Profile complete",IF(X29&lt;&gt;"","9 Approved",IF(W29&lt;&gt;"","8 KYC submitted",IF(V29&lt;&gt;"","7 Registered",IF(T29&lt;&gt;"","5 Interested",IF(R29&lt;&gt;"","4 Responded",IF(O29&lt;&gt;"","2 Contacted","1 Not yet contacted")))))))))))))</f>
        <v/>
      </c>
      <c r="AK29" s="10">
        <f>IF(AF29&lt;&gt;"",AF29,IF(OR(O29="",R29&lt;&gt;"",LEFT(AJ29,1)="X"),"",IF(Q29&lt;&gt;"","",IF(P29&lt;&gt;"",P29+SETTINGS!$B$4,O29+SETTINGS!$B$3))))</f>
        <v/>
      </c>
      <c r="AL29">
        <f>IF(AJ29="","",IF(LEFT(AJ29,1)="X","None — do not contact",IF(AJ29="1 Not yet contacted","Verify route today, then send M1",IF(AND(R29="",Q29&lt;&gt;""),"Sequence complete — no contact before "&amp;TEXT(Q29+SETTINGS!$B$5,"yyyy-mm-dd"),IF(AND(R29="",P29&lt;&gt;""),"Send final note (M4)",IF(R29="","Send follow-up (M2)",IF(AJ29="12 ACTIVATED","7-day check-in; consent &amp; referral soft ask",IF(AJ29="13 Transacting","Repeat-activity support","Onboarding: move to next stage (see playbook §6)"))))))))</f>
        <v/>
      </c>
      <c r="AM29">
        <f>IF(ISNUMBER(AK29),IF(AK29&lt;=TODAY(),"DUE",""),"")</f>
        <v/>
      </c>
      <c r="AN29">
        <f>IF(COUNT(O29,P29,Q29,R29,T29,V29,W29,X29,Y29,Z29,AA29,AC29)=0,"",TODAY()-MAX(O29,P29,Q29,R29,T29,V29,W29,X29,Y29,Z29,AA29,AC29))</f>
        <v/>
      </c>
      <c r="AO29">
        <f>IF(AJ29="","",IF(AND(T29&lt;&gt;"",U29&lt;&gt;"Active (verified)"),"GST: escalate (no tax advice)",IF(AND(IFERROR(VALUE(LEFT(AJ29,2)),0)&gt;=5,AH29&lt;&gt;"YES",ISNUMBER(AN29),AN29&gt;SETTINGS!$B$14),"STUCK in onboarding","")))</f>
        <v/>
      </c>
    </row>
    <row r="30">
      <c r="A30" t="n">
        <v>29</v>
      </c>
      <c r="B30" t="inlineStr">
        <is>
          <t>UPK2-FL-267</t>
        </is>
      </c>
      <c r="C30" t="inlineStr">
        <is>
          <t>Amisha Kothari</t>
        </is>
      </c>
      <c r="D30" t="inlineStr">
        <is>
          <t>Fashion &amp; Lifestyle</t>
        </is>
      </c>
      <c r="E30" t="inlineStr">
        <is>
          <t>FL-CONTEMPORARY</t>
        </is>
      </c>
      <c r="F30" t="inlineStr">
        <is>
          <t>Mumbai</t>
        </is>
      </c>
      <c r="G30" t="inlineStr">
        <is>
          <t>B</t>
        </is>
      </c>
      <c r="H30" t="inlineStr">
        <is>
          <t>P0</t>
        </is>
      </c>
      <c r="I30" t="inlineStr">
        <is>
          <t>stockist-listed</t>
        </is>
      </c>
      <c r="J30" t="inlineStr">
        <is>
          <t>Personal 1:1 email from founder/team to published business email</t>
        </is>
      </c>
      <c r="K30" t="inlineStr">
        <is>
          <t>https://amishakotharilabel.com/contact/</t>
        </is>
      </c>
      <c r="L30" t="inlineStr">
        <is>
          <t>W1 Founding cohort</t>
        </is>
      </c>
      <c r="M30" t="inlineStr"/>
      <c r="N30" t="inlineStr"/>
      <c r="O30" s="10" t="inlineStr"/>
      <c r="P30" s="10" t="inlineStr"/>
      <c r="Q30" s="10" t="inlineStr"/>
      <c r="R30" s="10" t="inlineStr"/>
      <c r="S30" t="inlineStr"/>
      <c r="T30" s="10" t="inlineStr"/>
      <c r="U30" t="inlineStr"/>
      <c r="V30" s="10" t="inlineStr"/>
      <c r="W30" s="10" t="inlineStr"/>
      <c r="X30" s="10" t="inlineStr"/>
      <c r="Y30" s="10" t="inlineStr"/>
      <c r="Z30" s="10" t="inlineStr"/>
      <c r="AA30" s="10" t="inlineStr"/>
      <c r="AB30" t="inlineStr"/>
      <c r="AC30" s="10" t="inlineStr"/>
      <c r="AD30" t="inlineStr"/>
      <c r="AE30" t="inlineStr"/>
      <c r="AF30" s="10" t="inlineStr"/>
      <c r="AG30" t="inlineStr"/>
      <c r="AH30">
        <f>IF(AND(B30="",C30=""),"",IF(AND(X30&lt;&gt;"",Y30&lt;&gt;"",Z30&lt;&gt;"",AA30&lt;&gt;"",AB30="Y"),"YES","no"))</f>
        <v/>
      </c>
      <c r="AI30" s="10">
        <f>IF(AH30="YES",MAX(X30,Y30,Z30,AA30),"")</f>
        <v/>
      </c>
      <c r="AJ30">
        <f>IF(AND(B30="",C30=""),"",IF(OR(S30="Not interested",S30="Opt-out / do not contact"),"X Declined / suppressed",IF(S30="Bounced / undeliverable","X Bounced — research",IF(AC30&lt;&gt;"","13 Transacting",IF(AH30="YES","12 ACTIVATED",IF(Z30&lt;&gt;"","11 Listing live",IF(Y30&lt;&gt;"","10 Profile complete",IF(X30&lt;&gt;"","9 Approved",IF(W30&lt;&gt;"","8 KYC submitted",IF(V30&lt;&gt;"","7 Registered",IF(T30&lt;&gt;"","5 Interested",IF(R30&lt;&gt;"","4 Responded",IF(O30&lt;&gt;"","2 Contacted","1 Not yet contacted")))))))))))))</f>
        <v/>
      </c>
      <c r="AK30" s="10">
        <f>IF(AF30&lt;&gt;"",AF30,IF(OR(O30="",R30&lt;&gt;"",LEFT(AJ30,1)="X"),"",IF(Q30&lt;&gt;"","",IF(P30&lt;&gt;"",P30+SETTINGS!$B$4,O30+SETTINGS!$B$3))))</f>
        <v/>
      </c>
      <c r="AL30">
        <f>IF(AJ30="","",IF(LEFT(AJ30,1)="X","None — do not contact",IF(AJ30="1 Not yet contacted","Verify route today, then send M1",IF(AND(R30="",Q30&lt;&gt;""),"Sequence complete — no contact before "&amp;TEXT(Q30+SETTINGS!$B$5,"yyyy-mm-dd"),IF(AND(R30="",P30&lt;&gt;""),"Send final note (M4)",IF(R30="","Send follow-up (M2)",IF(AJ30="12 ACTIVATED","7-day check-in; consent &amp; referral soft ask",IF(AJ30="13 Transacting","Repeat-activity support","Onboarding: move to next stage (see playbook §6)"))))))))</f>
        <v/>
      </c>
      <c r="AM30">
        <f>IF(ISNUMBER(AK30),IF(AK30&lt;=TODAY(),"DUE",""),"")</f>
        <v/>
      </c>
      <c r="AN30">
        <f>IF(COUNT(O30,P30,Q30,R30,T30,V30,W30,X30,Y30,Z30,AA30,AC30)=0,"",TODAY()-MAX(O30,P30,Q30,R30,T30,V30,W30,X30,Y30,Z30,AA30,AC30))</f>
        <v/>
      </c>
      <c r="AO30">
        <f>IF(AJ30="","",IF(AND(T30&lt;&gt;"",U30&lt;&gt;"Active (verified)"),"GST: escalate (no tax advice)",IF(AND(IFERROR(VALUE(LEFT(AJ30,2)),0)&gt;=5,AH30&lt;&gt;"YES",ISNUMBER(AN30),AN30&gt;SETTINGS!$B$14),"STUCK in onboarding","")))</f>
        <v/>
      </c>
    </row>
    <row r="31">
      <c r="A31" t="n">
        <v>30</v>
      </c>
      <c r="B31" t="inlineStr">
        <is>
          <t>UPK2-FL-164</t>
        </is>
      </c>
      <c r="C31" t="inlineStr">
        <is>
          <t>Devnaagri</t>
        </is>
      </c>
      <c r="D31" t="inlineStr">
        <is>
          <t>Fashion &amp; Lifestyle</t>
        </is>
      </c>
      <c r="E31" t="inlineStr">
        <is>
          <t>FL-OCCASION-BRIDAL</t>
        </is>
      </c>
      <c r="F31" t="inlineStr">
        <is>
          <t>Delhi NCR</t>
        </is>
      </c>
      <c r="G31" t="inlineStr">
        <is>
          <t>B</t>
        </is>
      </c>
      <c r="H31" t="inlineStr">
        <is>
          <t>P0</t>
        </is>
      </c>
      <c r="I31" t="inlineStr">
        <is>
          <t>stockist-listed|large catalogue</t>
        </is>
      </c>
      <c r="J31" t="inlineStr">
        <is>
          <t>Personal 1:1 email from founder/team to published business email</t>
        </is>
      </c>
      <c r="K31" t="inlineStr">
        <is>
          <t>https://www.devnaagri.com/pages/contact-us</t>
        </is>
      </c>
      <c r="L31" t="inlineStr">
        <is>
          <t>W1 Founding cohort</t>
        </is>
      </c>
      <c r="M31" t="inlineStr"/>
      <c r="N31" t="inlineStr"/>
      <c r="O31" s="10" t="inlineStr"/>
      <c r="P31" s="10" t="inlineStr"/>
      <c r="Q31" s="10" t="inlineStr"/>
      <c r="R31" s="10" t="inlineStr"/>
      <c r="S31" t="inlineStr"/>
      <c r="T31" s="10" t="inlineStr"/>
      <c r="U31" t="inlineStr"/>
      <c r="V31" s="10" t="inlineStr"/>
      <c r="W31" s="10" t="inlineStr"/>
      <c r="X31" s="10" t="inlineStr"/>
      <c r="Y31" s="10" t="inlineStr"/>
      <c r="Z31" s="10" t="inlineStr"/>
      <c r="AA31" s="10" t="inlineStr"/>
      <c r="AB31" t="inlineStr"/>
      <c r="AC31" s="10" t="inlineStr"/>
      <c r="AD31" t="inlineStr"/>
      <c r="AE31" t="inlineStr"/>
      <c r="AF31" s="10" t="inlineStr"/>
      <c r="AG31" t="inlineStr"/>
      <c r="AH31">
        <f>IF(AND(B31="",C31=""),"",IF(AND(X31&lt;&gt;"",Y31&lt;&gt;"",Z31&lt;&gt;"",AA31&lt;&gt;"",AB31="Y"),"YES","no"))</f>
        <v/>
      </c>
      <c r="AI31" s="10">
        <f>IF(AH31="YES",MAX(X31,Y31,Z31,AA31),"")</f>
        <v/>
      </c>
      <c r="AJ31">
        <f>IF(AND(B31="",C31=""),"",IF(OR(S31="Not interested",S31="Opt-out / do not contact"),"X Declined / suppressed",IF(S31="Bounced / undeliverable","X Bounced — research",IF(AC31&lt;&gt;"","13 Transacting",IF(AH31="YES","12 ACTIVATED",IF(Z31&lt;&gt;"","11 Listing live",IF(Y31&lt;&gt;"","10 Profile complete",IF(X31&lt;&gt;"","9 Approved",IF(W31&lt;&gt;"","8 KYC submitted",IF(V31&lt;&gt;"","7 Registered",IF(T31&lt;&gt;"","5 Interested",IF(R31&lt;&gt;"","4 Responded",IF(O31&lt;&gt;"","2 Contacted","1 Not yet contacted")))))))))))))</f>
        <v/>
      </c>
      <c r="AK31" s="10">
        <f>IF(AF31&lt;&gt;"",AF31,IF(OR(O31="",R31&lt;&gt;"",LEFT(AJ31,1)="X"),"",IF(Q31&lt;&gt;"","",IF(P31&lt;&gt;"",P31+SETTINGS!$B$4,O31+SETTINGS!$B$3))))</f>
        <v/>
      </c>
      <c r="AL31">
        <f>IF(AJ31="","",IF(LEFT(AJ31,1)="X","None — do not contact",IF(AJ31="1 Not yet contacted","Verify route today, then send M1",IF(AND(R31="",Q31&lt;&gt;""),"Sequence complete — no contact before "&amp;TEXT(Q31+SETTINGS!$B$5,"yyyy-mm-dd"),IF(AND(R31="",P31&lt;&gt;""),"Send final note (M4)",IF(R31="","Send follow-up (M2)",IF(AJ31="12 ACTIVATED","7-day check-in; consent &amp; referral soft ask",IF(AJ31="13 Transacting","Repeat-activity support","Onboarding: move to next stage (see playbook §6)"))))))))</f>
        <v/>
      </c>
      <c r="AM31">
        <f>IF(ISNUMBER(AK31),IF(AK31&lt;=TODAY(),"DUE",""),"")</f>
        <v/>
      </c>
      <c r="AN31">
        <f>IF(COUNT(O31,P31,Q31,R31,T31,V31,W31,X31,Y31,Z31,AA31,AC31)=0,"",TODAY()-MAX(O31,P31,Q31,R31,T31,V31,W31,X31,Y31,Z31,AA31,AC31))</f>
        <v/>
      </c>
      <c r="AO31">
        <f>IF(AJ31="","",IF(AND(T31&lt;&gt;"",U31&lt;&gt;"Active (verified)"),"GST: escalate (no tax advice)",IF(AND(IFERROR(VALUE(LEFT(AJ31,2)),0)&gt;=5,AH31&lt;&gt;"YES",ISNUMBER(AN31),AN31&gt;SETTINGS!$B$14),"STUCK in onboarding","")))</f>
        <v/>
      </c>
    </row>
    <row r="32">
      <c r="A32" t="n">
        <v>31</v>
      </c>
      <c r="B32" t="inlineStr">
        <is>
          <t>UPK2-FL-165</t>
        </is>
      </c>
      <c r="C32" t="inlineStr">
        <is>
          <t>Miss Jo</t>
        </is>
      </c>
      <c r="D32" t="inlineStr">
        <is>
          <t>Fashion &amp; Lifestyle</t>
        </is>
      </c>
      <c r="E32" t="inlineStr">
        <is>
          <t>FL-JEWELLERY</t>
        </is>
      </c>
      <c r="F32" t="inlineStr">
        <is>
          <t>Delhi NCR</t>
        </is>
      </c>
      <c r="G32" t="inlineStr">
        <is>
          <t>B</t>
        </is>
      </c>
      <c r="H32" t="inlineStr">
        <is>
          <t>P0</t>
        </is>
      </c>
      <c r="I32" t="inlineStr">
        <is>
          <t>stockist-listed|large catalogue</t>
        </is>
      </c>
      <c r="J32" t="inlineStr">
        <is>
          <t>Personal 1:1 email from founder/team to published business email</t>
        </is>
      </c>
      <c r="K32" t="inlineStr">
        <is>
          <t>https://missjo.com/pages/contact</t>
        </is>
      </c>
      <c r="L32" t="inlineStr">
        <is>
          <t>W1 Founding cohort</t>
        </is>
      </c>
      <c r="M32" t="inlineStr"/>
      <c r="N32" t="inlineStr"/>
      <c r="O32" s="10" t="inlineStr"/>
      <c r="P32" s="10" t="inlineStr"/>
      <c r="Q32" s="10" t="inlineStr"/>
      <c r="R32" s="10" t="inlineStr"/>
      <c r="S32" t="inlineStr"/>
      <c r="T32" s="10" t="inlineStr"/>
      <c r="U32" t="inlineStr"/>
      <c r="V32" s="10" t="inlineStr"/>
      <c r="W32" s="10" t="inlineStr"/>
      <c r="X32" s="10" t="inlineStr"/>
      <c r="Y32" s="10" t="inlineStr"/>
      <c r="Z32" s="10" t="inlineStr"/>
      <c r="AA32" s="10" t="inlineStr"/>
      <c r="AB32" t="inlineStr"/>
      <c r="AC32" s="10" t="inlineStr"/>
      <c r="AD32" t="inlineStr"/>
      <c r="AE32" t="inlineStr"/>
      <c r="AF32" s="10" t="inlineStr"/>
      <c r="AG32" t="inlineStr"/>
      <c r="AH32">
        <f>IF(AND(B32="",C32=""),"",IF(AND(X32&lt;&gt;"",Y32&lt;&gt;"",Z32&lt;&gt;"",AA32&lt;&gt;"",AB32="Y"),"YES","no"))</f>
        <v/>
      </c>
      <c r="AI32" s="10">
        <f>IF(AH32="YES",MAX(X32,Y32,Z32,AA32),"")</f>
        <v/>
      </c>
      <c r="AJ32">
        <f>IF(AND(B32="",C32=""),"",IF(OR(S32="Not interested",S32="Opt-out / do not contact"),"X Declined / suppressed",IF(S32="Bounced / undeliverable","X Bounced — research",IF(AC32&lt;&gt;"","13 Transacting",IF(AH32="YES","12 ACTIVATED",IF(Z32&lt;&gt;"","11 Listing live",IF(Y32&lt;&gt;"","10 Profile complete",IF(X32&lt;&gt;"","9 Approved",IF(W32&lt;&gt;"","8 KYC submitted",IF(V32&lt;&gt;"","7 Registered",IF(T32&lt;&gt;"","5 Interested",IF(R32&lt;&gt;"","4 Responded",IF(O32&lt;&gt;"","2 Contacted","1 Not yet contacted")))))))))))))</f>
        <v/>
      </c>
      <c r="AK32" s="10">
        <f>IF(AF32&lt;&gt;"",AF32,IF(OR(O32="",R32&lt;&gt;"",LEFT(AJ32,1)="X"),"",IF(Q32&lt;&gt;"","",IF(P32&lt;&gt;"",P32+SETTINGS!$B$4,O32+SETTINGS!$B$3))))</f>
        <v/>
      </c>
      <c r="AL32">
        <f>IF(AJ32="","",IF(LEFT(AJ32,1)="X","None — do not contact",IF(AJ32="1 Not yet contacted","Verify route today, then send M1",IF(AND(R32="",Q32&lt;&gt;""),"Sequence complete — no contact before "&amp;TEXT(Q32+SETTINGS!$B$5,"yyyy-mm-dd"),IF(AND(R32="",P32&lt;&gt;""),"Send final note (M4)",IF(R32="","Send follow-up (M2)",IF(AJ32="12 ACTIVATED","7-day check-in; consent &amp; referral soft ask",IF(AJ32="13 Transacting","Repeat-activity support","Onboarding: move to next stage (see playbook §6)"))))))))</f>
        <v/>
      </c>
      <c r="AM32">
        <f>IF(ISNUMBER(AK32),IF(AK32&lt;=TODAY(),"DUE",""),"")</f>
        <v/>
      </c>
      <c r="AN32">
        <f>IF(COUNT(O32,P32,Q32,R32,T32,V32,W32,X32,Y32,Z32,AA32,AC32)=0,"",TODAY()-MAX(O32,P32,Q32,R32,T32,V32,W32,X32,Y32,Z32,AA32,AC32))</f>
        <v/>
      </c>
      <c r="AO32">
        <f>IF(AJ32="","",IF(AND(T32&lt;&gt;"",U32&lt;&gt;"Active (verified)"),"GST: escalate (no tax advice)",IF(AND(IFERROR(VALUE(LEFT(AJ32,2)),0)&gt;=5,AH32&lt;&gt;"YES",ISNUMBER(AN32),AN32&gt;SETTINGS!$B$14),"STUCK in onboarding","")))</f>
        <v/>
      </c>
    </row>
    <row r="33">
      <c r="A33" t="n">
        <v>32</v>
      </c>
      <c r="B33" t="inlineStr">
        <is>
          <t>UPK2-FL-166</t>
        </is>
      </c>
      <c r="C33" t="inlineStr">
        <is>
          <t>Preeti Mohan</t>
        </is>
      </c>
      <c r="D33" t="inlineStr">
        <is>
          <t>Fashion &amp; Lifestyle</t>
        </is>
      </c>
      <c r="E33" t="inlineStr">
        <is>
          <t>FL-JEWELLERY</t>
        </is>
      </c>
      <c r="F33" t="inlineStr">
        <is>
          <t>Delhi NCR</t>
        </is>
      </c>
      <c r="G33" t="inlineStr">
        <is>
          <t>B</t>
        </is>
      </c>
      <c r="H33" t="inlineStr">
        <is>
          <t>P0</t>
        </is>
      </c>
      <c r="I33" t="inlineStr">
        <is>
          <t>stockist-listed|large catalogue</t>
        </is>
      </c>
      <c r="J33" t="inlineStr">
        <is>
          <t>Personal 1:1 email from founder/team to published business email</t>
        </is>
      </c>
      <c r="K33" t="inlineStr">
        <is>
          <t>https://preetimohan.com/pages/contact</t>
        </is>
      </c>
      <c r="L33" t="inlineStr">
        <is>
          <t>W1 Founding cohort</t>
        </is>
      </c>
      <c r="M33" t="inlineStr"/>
      <c r="N33" t="inlineStr"/>
      <c r="O33" s="10" t="inlineStr"/>
      <c r="P33" s="10" t="inlineStr"/>
      <c r="Q33" s="10" t="inlineStr"/>
      <c r="R33" s="10" t="inlineStr"/>
      <c r="S33" t="inlineStr"/>
      <c r="T33" s="10" t="inlineStr"/>
      <c r="U33" t="inlineStr"/>
      <c r="V33" s="10" t="inlineStr"/>
      <c r="W33" s="10" t="inlineStr"/>
      <c r="X33" s="10" t="inlineStr"/>
      <c r="Y33" s="10" t="inlineStr"/>
      <c r="Z33" s="10" t="inlineStr"/>
      <c r="AA33" s="10" t="inlineStr"/>
      <c r="AB33" t="inlineStr"/>
      <c r="AC33" s="10" t="inlineStr"/>
      <c r="AD33" t="inlineStr"/>
      <c r="AE33" t="inlineStr"/>
      <c r="AF33" s="10" t="inlineStr"/>
      <c r="AG33" t="inlineStr"/>
      <c r="AH33">
        <f>IF(AND(B33="",C33=""),"",IF(AND(X33&lt;&gt;"",Y33&lt;&gt;"",Z33&lt;&gt;"",AA33&lt;&gt;"",AB33="Y"),"YES","no"))</f>
        <v/>
      </c>
      <c r="AI33" s="10">
        <f>IF(AH33="YES",MAX(X33,Y33,Z33,AA33),"")</f>
        <v/>
      </c>
      <c r="AJ33">
        <f>IF(AND(B33="",C33=""),"",IF(OR(S33="Not interested",S33="Opt-out / do not contact"),"X Declined / suppressed",IF(S33="Bounced / undeliverable","X Bounced — research",IF(AC33&lt;&gt;"","13 Transacting",IF(AH33="YES","12 ACTIVATED",IF(Z33&lt;&gt;"","11 Listing live",IF(Y33&lt;&gt;"","10 Profile complete",IF(X33&lt;&gt;"","9 Approved",IF(W33&lt;&gt;"","8 KYC submitted",IF(V33&lt;&gt;"","7 Registered",IF(T33&lt;&gt;"","5 Interested",IF(R33&lt;&gt;"","4 Responded",IF(O33&lt;&gt;"","2 Contacted","1 Not yet contacted")))))))))))))</f>
        <v/>
      </c>
      <c r="AK33" s="10">
        <f>IF(AF33&lt;&gt;"",AF33,IF(OR(O33="",R33&lt;&gt;"",LEFT(AJ33,1)="X"),"",IF(Q33&lt;&gt;"","",IF(P33&lt;&gt;"",P33+SETTINGS!$B$4,O33+SETTINGS!$B$3))))</f>
        <v/>
      </c>
      <c r="AL33">
        <f>IF(AJ33="","",IF(LEFT(AJ33,1)="X","None — do not contact",IF(AJ33="1 Not yet contacted","Verify route today, then send M1",IF(AND(R33="",Q33&lt;&gt;""),"Sequence complete — no contact before "&amp;TEXT(Q33+SETTINGS!$B$5,"yyyy-mm-dd"),IF(AND(R33="",P33&lt;&gt;""),"Send final note (M4)",IF(R33="","Send follow-up (M2)",IF(AJ33="12 ACTIVATED","7-day check-in; consent &amp; referral soft ask",IF(AJ33="13 Transacting","Repeat-activity support","Onboarding: move to next stage (see playbook §6)"))))))))</f>
        <v/>
      </c>
      <c r="AM33">
        <f>IF(ISNUMBER(AK33),IF(AK33&lt;=TODAY(),"DUE",""),"")</f>
        <v/>
      </c>
      <c r="AN33">
        <f>IF(COUNT(O33,P33,Q33,R33,T33,V33,W33,X33,Y33,Z33,AA33,AC33)=0,"",TODAY()-MAX(O33,P33,Q33,R33,T33,V33,W33,X33,Y33,Z33,AA33,AC33))</f>
        <v/>
      </c>
      <c r="AO33">
        <f>IF(AJ33="","",IF(AND(T33&lt;&gt;"",U33&lt;&gt;"Active (verified)"),"GST: escalate (no tax advice)",IF(AND(IFERROR(VALUE(LEFT(AJ33,2)),0)&gt;=5,AH33&lt;&gt;"YES",ISNUMBER(AN33),AN33&gt;SETTINGS!$B$14),"STUCK in onboarding","")))</f>
        <v/>
      </c>
    </row>
    <row r="34">
      <c r="A34" t="n">
        <v>33</v>
      </c>
      <c r="B34" t="inlineStr">
        <is>
          <t>UPK2-FL-162</t>
        </is>
      </c>
      <c r="C34" t="inlineStr">
        <is>
          <t>Azga</t>
        </is>
      </c>
      <c r="D34" t="inlineStr">
        <is>
          <t>Fashion &amp; Lifestyle</t>
        </is>
      </c>
      <c r="E34" t="inlineStr">
        <is>
          <t>FL-CONTEMPORARY</t>
        </is>
      </c>
      <c r="F34" t="inlineStr">
        <is>
          <t>Jaipur</t>
        </is>
      </c>
      <c r="G34" t="inlineStr">
        <is>
          <t>B</t>
        </is>
      </c>
      <c r="H34" t="inlineStr">
        <is>
          <t>P0</t>
        </is>
      </c>
      <c r="I34" t="inlineStr">
        <is>
          <t>stockist-listed|large catalogue</t>
        </is>
      </c>
      <c r="J34" t="inlineStr">
        <is>
          <t>Personal 1:1 email from founder/team to published business email</t>
        </is>
      </c>
      <c r="K34" t="inlineStr">
        <is>
          <t>https://www.azga.in/pages/reach-us</t>
        </is>
      </c>
      <c r="L34" t="inlineStr">
        <is>
          <t>W1 Founding cohort</t>
        </is>
      </c>
      <c r="M34" t="inlineStr"/>
      <c r="N34" t="inlineStr"/>
      <c r="O34" s="10" t="inlineStr"/>
      <c r="P34" s="10" t="inlineStr"/>
      <c r="Q34" s="10" t="inlineStr"/>
      <c r="R34" s="10" t="inlineStr"/>
      <c r="S34" t="inlineStr"/>
      <c r="T34" s="10" t="inlineStr"/>
      <c r="U34" t="inlineStr"/>
      <c r="V34" s="10" t="inlineStr"/>
      <c r="W34" s="10" t="inlineStr"/>
      <c r="X34" s="10" t="inlineStr"/>
      <c r="Y34" s="10" t="inlineStr"/>
      <c r="Z34" s="10" t="inlineStr"/>
      <c r="AA34" s="10" t="inlineStr"/>
      <c r="AB34" t="inlineStr"/>
      <c r="AC34" s="10" t="inlineStr"/>
      <c r="AD34" t="inlineStr"/>
      <c r="AE34" t="inlineStr"/>
      <c r="AF34" s="10" t="inlineStr"/>
      <c r="AG34" t="inlineStr"/>
      <c r="AH34">
        <f>IF(AND(B34="",C34=""),"",IF(AND(X34&lt;&gt;"",Y34&lt;&gt;"",Z34&lt;&gt;"",AA34&lt;&gt;"",AB34="Y"),"YES","no"))</f>
        <v/>
      </c>
      <c r="AI34" s="10">
        <f>IF(AH34="YES",MAX(X34,Y34,Z34,AA34),"")</f>
        <v/>
      </c>
      <c r="AJ34">
        <f>IF(AND(B34="",C34=""),"",IF(OR(S34="Not interested",S34="Opt-out / do not contact"),"X Declined / suppressed",IF(S34="Bounced / undeliverable","X Bounced — research",IF(AC34&lt;&gt;"","13 Transacting",IF(AH34="YES","12 ACTIVATED",IF(Z34&lt;&gt;"","11 Listing live",IF(Y34&lt;&gt;"","10 Profile complete",IF(X34&lt;&gt;"","9 Approved",IF(W34&lt;&gt;"","8 KYC submitted",IF(V34&lt;&gt;"","7 Registered",IF(T34&lt;&gt;"","5 Interested",IF(R34&lt;&gt;"","4 Responded",IF(O34&lt;&gt;"","2 Contacted","1 Not yet contacted")))))))))))))</f>
        <v/>
      </c>
      <c r="AK34" s="10">
        <f>IF(AF34&lt;&gt;"",AF34,IF(OR(O34="",R34&lt;&gt;"",LEFT(AJ34,1)="X"),"",IF(Q34&lt;&gt;"","",IF(P34&lt;&gt;"",P34+SETTINGS!$B$4,O34+SETTINGS!$B$3))))</f>
        <v/>
      </c>
      <c r="AL34">
        <f>IF(AJ34="","",IF(LEFT(AJ34,1)="X","None — do not contact",IF(AJ34="1 Not yet contacted","Verify route today, then send M1",IF(AND(R34="",Q34&lt;&gt;""),"Sequence complete — no contact before "&amp;TEXT(Q34+SETTINGS!$B$5,"yyyy-mm-dd"),IF(AND(R34="",P34&lt;&gt;""),"Send final note (M4)",IF(R34="","Send follow-up (M2)",IF(AJ34="12 ACTIVATED","7-day check-in; consent &amp; referral soft ask",IF(AJ34="13 Transacting","Repeat-activity support","Onboarding: move to next stage (see playbook §6)"))))))))</f>
        <v/>
      </c>
      <c r="AM34">
        <f>IF(ISNUMBER(AK34),IF(AK34&lt;=TODAY(),"DUE",""),"")</f>
        <v/>
      </c>
      <c r="AN34">
        <f>IF(COUNT(O34,P34,Q34,R34,T34,V34,W34,X34,Y34,Z34,AA34,AC34)=0,"",TODAY()-MAX(O34,P34,Q34,R34,T34,V34,W34,X34,Y34,Z34,AA34,AC34))</f>
        <v/>
      </c>
      <c r="AO34">
        <f>IF(AJ34="","",IF(AND(T34&lt;&gt;"",U34&lt;&gt;"Active (verified)"),"GST: escalate (no tax advice)",IF(AND(IFERROR(VALUE(LEFT(AJ34,2)),0)&gt;=5,AH34&lt;&gt;"YES",ISNUMBER(AN34),AN34&gt;SETTINGS!$B$14),"STUCK in onboarding","")))</f>
        <v/>
      </c>
    </row>
    <row r="35">
      <c r="A35" t="n">
        <v>34</v>
      </c>
      <c r="B35" t="inlineStr">
        <is>
          <t>UPK2-FL-163</t>
        </is>
      </c>
      <c r="C35" t="inlineStr">
        <is>
          <t>Bhumika Sharma</t>
        </is>
      </c>
      <c r="D35" t="inlineStr">
        <is>
          <t>Fashion &amp; Lifestyle</t>
        </is>
      </c>
      <c r="E35" t="inlineStr">
        <is>
          <t>FL-OCCASION-BRIDAL</t>
        </is>
      </c>
      <c r="F35" t="inlineStr">
        <is>
          <t>Delhi NCR</t>
        </is>
      </c>
      <c r="G35" t="inlineStr">
        <is>
          <t>B</t>
        </is>
      </c>
      <c r="H35" t="inlineStr">
        <is>
          <t>P0</t>
        </is>
      </c>
      <c r="I35" t="inlineStr">
        <is>
          <t>stockist-listed|large catalogue</t>
        </is>
      </c>
      <c r="J35" t="inlineStr">
        <is>
          <t>Personal 1:1 email from founder/team to published business email</t>
        </is>
      </c>
      <c r="K35" t="inlineStr">
        <is>
          <t>https://www.bhumikasharma.in/pages/contact</t>
        </is>
      </c>
      <c r="L35" t="inlineStr">
        <is>
          <t>W1 Founding cohort</t>
        </is>
      </c>
      <c r="M35" t="inlineStr"/>
      <c r="N35" t="inlineStr"/>
      <c r="O35" s="10" t="inlineStr"/>
      <c r="P35" s="10" t="inlineStr"/>
      <c r="Q35" s="10" t="inlineStr"/>
      <c r="R35" s="10" t="inlineStr"/>
      <c r="S35" t="inlineStr"/>
      <c r="T35" s="10" t="inlineStr"/>
      <c r="U35" t="inlineStr"/>
      <c r="V35" s="10" t="inlineStr"/>
      <c r="W35" s="10" t="inlineStr"/>
      <c r="X35" s="10" t="inlineStr"/>
      <c r="Y35" s="10" t="inlineStr"/>
      <c r="Z35" s="10" t="inlineStr"/>
      <c r="AA35" s="10" t="inlineStr"/>
      <c r="AB35" t="inlineStr"/>
      <c r="AC35" s="10" t="inlineStr"/>
      <c r="AD35" t="inlineStr"/>
      <c r="AE35" t="inlineStr"/>
      <c r="AF35" s="10" t="inlineStr"/>
      <c r="AG35" t="inlineStr"/>
      <c r="AH35">
        <f>IF(AND(B35="",C35=""),"",IF(AND(X35&lt;&gt;"",Y35&lt;&gt;"",Z35&lt;&gt;"",AA35&lt;&gt;"",AB35="Y"),"YES","no"))</f>
        <v/>
      </c>
      <c r="AI35" s="10">
        <f>IF(AH35="YES",MAX(X35,Y35,Z35,AA35),"")</f>
        <v/>
      </c>
      <c r="AJ35">
        <f>IF(AND(B35="",C35=""),"",IF(OR(S35="Not interested",S35="Opt-out / do not contact"),"X Declined / suppressed",IF(S35="Bounced / undeliverable","X Bounced — research",IF(AC35&lt;&gt;"","13 Transacting",IF(AH35="YES","12 ACTIVATED",IF(Z35&lt;&gt;"","11 Listing live",IF(Y35&lt;&gt;"","10 Profile complete",IF(X35&lt;&gt;"","9 Approved",IF(W35&lt;&gt;"","8 KYC submitted",IF(V35&lt;&gt;"","7 Registered",IF(T35&lt;&gt;"","5 Interested",IF(R35&lt;&gt;"","4 Responded",IF(O35&lt;&gt;"","2 Contacted","1 Not yet contacted")))))))))))))</f>
        <v/>
      </c>
      <c r="AK35" s="10">
        <f>IF(AF35&lt;&gt;"",AF35,IF(OR(O35="",R35&lt;&gt;"",LEFT(AJ35,1)="X"),"",IF(Q35&lt;&gt;"","",IF(P35&lt;&gt;"",P35+SETTINGS!$B$4,O35+SETTINGS!$B$3))))</f>
        <v/>
      </c>
      <c r="AL35">
        <f>IF(AJ35="","",IF(LEFT(AJ35,1)="X","None — do not contact",IF(AJ35="1 Not yet contacted","Verify route today, then send M1",IF(AND(R35="",Q35&lt;&gt;""),"Sequence complete — no contact before "&amp;TEXT(Q35+SETTINGS!$B$5,"yyyy-mm-dd"),IF(AND(R35="",P35&lt;&gt;""),"Send final note (M4)",IF(R35="","Send follow-up (M2)",IF(AJ35="12 ACTIVATED","7-day check-in; consent &amp; referral soft ask",IF(AJ35="13 Transacting","Repeat-activity support","Onboarding: move to next stage (see playbook §6)"))))))))</f>
        <v/>
      </c>
      <c r="AM35">
        <f>IF(ISNUMBER(AK35),IF(AK35&lt;=TODAY(),"DUE",""),"")</f>
        <v/>
      </c>
      <c r="AN35">
        <f>IF(COUNT(O35,P35,Q35,R35,T35,V35,W35,X35,Y35,Z35,AA35,AC35)=0,"",TODAY()-MAX(O35,P35,Q35,R35,T35,V35,W35,X35,Y35,Z35,AA35,AC35))</f>
        <v/>
      </c>
      <c r="AO35">
        <f>IF(AJ35="","",IF(AND(T35&lt;&gt;"",U35&lt;&gt;"Active (verified)"),"GST: escalate (no tax advice)",IF(AND(IFERROR(VALUE(LEFT(AJ35,2)),0)&gt;=5,AH35&lt;&gt;"YES",ISNUMBER(AN35),AN35&gt;SETTINGS!$B$14),"STUCK in onboarding","")))</f>
        <v/>
      </c>
    </row>
    <row r="36">
      <c r="A36" t="n">
        <v>35</v>
      </c>
      <c r="B36" t="inlineStr">
        <is>
          <t>UPK2-FL-167</t>
        </is>
      </c>
      <c r="C36" t="inlineStr">
        <is>
          <t>The Leather Garden</t>
        </is>
      </c>
      <c r="D36" t="inlineStr">
        <is>
          <t>Fashion &amp; Lifestyle</t>
        </is>
      </c>
      <c r="E36" t="inlineStr">
        <is>
          <t>FL-ACCESSORIES</t>
        </is>
      </c>
      <c r="F36" t="inlineStr">
        <is>
          <t>Delhi NCR</t>
        </is>
      </c>
      <c r="G36" t="inlineStr">
        <is>
          <t>B</t>
        </is>
      </c>
      <c r="H36" t="inlineStr">
        <is>
          <t>P0</t>
        </is>
      </c>
      <c r="I36" t="inlineStr">
        <is>
          <t>stockist-listed|large catalogue</t>
        </is>
      </c>
      <c r="J36" t="inlineStr">
        <is>
          <t>Personal 1:1 email from founder/team to published business email</t>
        </is>
      </c>
      <c r="K36" t="inlineStr">
        <is>
          <t>https://theleathergarden.com/collections/notebook</t>
        </is>
      </c>
      <c r="L36" t="inlineStr">
        <is>
          <t>W1 Founding cohort</t>
        </is>
      </c>
      <c r="M36" t="inlineStr"/>
      <c r="N36" t="inlineStr"/>
      <c r="O36" s="10" t="inlineStr"/>
      <c r="P36" s="10" t="inlineStr"/>
      <c r="Q36" s="10" t="inlineStr"/>
      <c r="R36" s="10" t="inlineStr"/>
      <c r="S36" t="inlineStr"/>
      <c r="T36" s="10" t="inlineStr"/>
      <c r="U36" t="inlineStr"/>
      <c r="V36" s="10" t="inlineStr"/>
      <c r="W36" s="10" t="inlineStr"/>
      <c r="X36" s="10" t="inlineStr"/>
      <c r="Y36" s="10" t="inlineStr"/>
      <c r="Z36" s="10" t="inlineStr"/>
      <c r="AA36" s="10" t="inlineStr"/>
      <c r="AB36" t="inlineStr"/>
      <c r="AC36" s="10" t="inlineStr"/>
      <c r="AD36" t="inlineStr"/>
      <c r="AE36" t="inlineStr"/>
      <c r="AF36" s="10" t="inlineStr"/>
      <c r="AG36" t="inlineStr"/>
      <c r="AH36">
        <f>IF(AND(B36="",C36=""),"",IF(AND(X36&lt;&gt;"",Y36&lt;&gt;"",Z36&lt;&gt;"",AA36&lt;&gt;"",AB36="Y"),"YES","no"))</f>
        <v/>
      </c>
      <c r="AI36" s="10">
        <f>IF(AH36="YES",MAX(X36,Y36,Z36,AA36),"")</f>
        <v/>
      </c>
      <c r="AJ36">
        <f>IF(AND(B36="",C36=""),"",IF(OR(S36="Not interested",S36="Opt-out / do not contact"),"X Declined / suppressed",IF(S36="Bounced / undeliverable","X Bounced — research",IF(AC36&lt;&gt;"","13 Transacting",IF(AH36="YES","12 ACTIVATED",IF(Z36&lt;&gt;"","11 Listing live",IF(Y36&lt;&gt;"","10 Profile complete",IF(X36&lt;&gt;"","9 Approved",IF(W36&lt;&gt;"","8 KYC submitted",IF(V36&lt;&gt;"","7 Registered",IF(T36&lt;&gt;"","5 Interested",IF(R36&lt;&gt;"","4 Responded",IF(O36&lt;&gt;"","2 Contacted","1 Not yet contacted")))))))))))))</f>
        <v/>
      </c>
      <c r="AK36" s="10">
        <f>IF(AF36&lt;&gt;"",AF36,IF(OR(O36="",R36&lt;&gt;"",LEFT(AJ36,1)="X"),"",IF(Q36&lt;&gt;"","",IF(P36&lt;&gt;"",P36+SETTINGS!$B$4,O36+SETTINGS!$B$3))))</f>
        <v/>
      </c>
      <c r="AL36">
        <f>IF(AJ36="","",IF(LEFT(AJ36,1)="X","None — do not contact",IF(AJ36="1 Not yet contacted","Verify route today, then send M1",IF(AND(R36="",Q36&lt;&gt;""),"Sequence complete — no contact before "&amp;TEXT(Q36+SETTINGS!$B$5,"yyyy-mm-dd"),IF(AND(R36="",P36&lt;&gt;""),"Send final note (M4)",IF(R36="","Send follow-up (M2)",IF(AJ36="12 ACTIVATED","7-day check-in; consent &amp; referral soft ask",IF(AJ36="13 Transacting","Repeat-activity support","Onboarding: move to next stage (see playbook §6)"))))))))</f>
        <v/>
      </c>
      <c r="AM36">
        <f>IF(ISNUMBER(AK36),IF(AK36&lt;=TODAY(),"DUE",""),"")</f>
        <v/>
      </c>
      <c r="AN36">
        <f>IF(COUNT(O36,P36,Q36,R36,T36,V36,W36,X36,Y36,Z36,AA36,AC36)=0,"",TODAY()-MAX(O36,P36,Q36,R36,T36,V36,W36,X36,Y36,Z36,AA36,AC36))</f>
        <v/>
      </c>
      <c r="AO36">
        <f>IF(AJ36="","",IF(AND(T36&lt;&gt;"",U36&lt;&gt;"Active (verified)"),"GST: escalate (no tax advice)",IF(AND(IFERROR(VALUE(LEFT(AJ36,2)),0)&gt;=5,AH36&lt;&gt;"YES",ISNUMBER(AN36),AN36&gt;SETTINGS!$B$14),"STUCK in onboarding","")))</f>
        <v/>
      </c>
    </row>
    <row r="37">
      <c r="A37" t="n">
        <v>36</v>
      </c>
      <c r="B37" t="inlineStr">
        <is>
          <t>UPK2-FL-264</t>
        </is>
      </c>
      <c r="C37" t="inlineStr">
        <is>
          <t>Partykles</t>
        </is>
      </c>
      <c r="D37" t="inlineStr">
        <is>
          <t>Fashion &amp; Lifestyle</t>
        </is>
      </c>
      <c r="E37" t="inlineStr">
        <is>
          <t>FL-OCCASION-BRIDAL</t>
        </is>
      </c>
      <c r="F37" t="inlineStr">
        <is>
          <t>Delhi NCR</t>
        </is>
      </c>
      <c r="G37" t="inlineStr">
        <is>
          <t>A</t>
        </is>
      </c>
      <c r="H37" t="inlineStr">
        <is>
          <t>P0</t>
        </is>
      </c>
      <c r="I37" t="inlineStr">
        <is>
          <t>stockist-listed</t>
        </is>
      </c>
      <c r="J37" t="inlineStr">
        <is>
          <t>Personal 1:1 email from founder/team to published business email</t>
        </is>
      </c>
      <c r="K37" t="inlineStr">
        <is>
          <t>https://partykles.in/pages/contact</t>
        </is>
      </c>
      <c r="L37" t="inlineStr">
        <is>
          <t>W1 Founding cohort</t>
        </is>
      </c>
      <c r="M37" t="inlineStr"/>
      <c r="N37" t="inlineStr"/>
      <c r="O37" s="10" t="inlineStr"/>
      <c r="P37" s="10" t="inlineStr"/>
      <c r="Q37" s="10" t="inlineStr"/>
      <c r="R37" s="10" t="inlineStr"/>
      <c r="S37" t="inlineStr"/>
      <c r="T37" s="10" t="inlineStr"/>
      <c r="U37" t="inlineStr"/>
      <c r="V37" s="10" t="inlineStr"/>
      <c r="W37" s="10" t="inlineStr"/>
      <c r="X37" s="10" t="inlineStr"/>
      <c r="Y37" s="10" t="inlineStr"/>
      <c r="Z37" s="10" t="inlineStr"/>
      <c r="AA37" s="10" t="inlineStr"/>
      <c r="AB37" t="inlineStr"/>
      <c r="AC37" s="10" t="inlineStr"/>
      <c r="AD37" t="inlineStr"/>
      <c r="AE37" t="inlineStr"/>
      <c r="AF37" s="10" t="inlineStr"/>
      <c r="AG37" t="inlineStr"/>
      <c r="AH37">
        <f>IF(AND(B37="",C37=""),"",IF(AND(X37&lt;&gt;"",Y37&lt;&gt;"",Z37&lt;&gt;"",AA37&lt;&gt;"",AB37="Y"),"YES","no"))</f>
        <v/>
      </c>
      <c r="AI37" s="10">
        <f>IF(AH37="YES",MAX(X37,Y37,Z37,AA37),"")</f>
        <v/>
      </c>
      <c r="AJ37">
        <f>IF(AND(B37="",C37=""),"",IF(OR(S37="Not interested",S37="Opt-out / do not contact"),"X Declined / suppressed",IF(S37="Bounced / undeliverable","X Bounced — research",IF(AC37&lt;&gt;"","13 Transacting",IF(AH37="YES","12 ACTIVATED",IF(Z37&lt;&gt;"","11 Listing live",IF(Y37&lt;&gt;"","10 Profile complete",IF(X37&lt;&gt;"","9 Approved",IF(W37&lt;&gt;"","8 KYC submitted",IF(V37&lt;&gt;"","7 Registered",IF(T37&lt;&gt;"","5 Interested",IF(R37&lt;&gt;"","4 Responded",IF(O37&lt;&gt;"","2 Contacted","1 Not yet contacted")))))))))))))</f>
        <v/>
      </c>
      <c r="AK37" s="10">
        <f>IF(AF37&lt;&gt;"",AF37,IF(OR(O37="",R37&lt;&gt;"",LEFT(AJ37,1)="X"),"",IF(Q37&lt;&gt;"","",IF(P37&lt;&gt;"",P37+SETTINGS!$B$4,O37+SETTINGS!$B$3))))</f>
        <v/>
      </c>
      <c r="AL37">
        <f>IF(AJ37="","",IF(LEFT(AJ37,1)="X","None — do not contact",IF(AJ37="1 Not yet contacted","Verify route today, then send M1",IF(AND(R37="",Q37&lt;&gt;""),"Sequence complete — no contact before "&amp;TEXT(Q37+SETTINGS!$B$5,"yyyy-mm-dd"),IF(AND(R37="",P37&lt;&gt;""),"Send final note (M4)",IF(R37="","Send follow-up (M2)",IF(AJ37="12 ACTIVATED","7-day check-in; consent &amp; referral soft ask",IF(AJ37="13 Transacting","Repeat-activity support","Onboarding: move to next stage (see playbook §6)"))))))))</f>
        <v/>
      </c>
      <c r="AM37">
        <f>IF(ISNUMBER(AK37),IF(AK37&lt;=TODAY(),"DUE",""),"")</f>
        <v/>
      </c>
      <c r="AN37">
        <f>IF(COUNT(O37,P37,Q37,R37,T37,V37,W37,X37,Y37,Z37,AA37,AC37)=0,"",TODAY()-MAX(O37,P37,Q37,R37,T37,V37,W37,X37,Y37,Z37,AA37,AC37))</f>
        <v/>
      </c>
      <c r="AO37">
        <f>IF(AJ37="","",IF(AND(T37&lt;&gt;"",U37&lt;&gt;"Active (verified)"),"GST: escalate (no tax advice)",IF(AND(IFERROR(VALUE(LEFT(AJ37,2)),0)&gt;=5,AH37&lt;&gt;"YES",ISNUMBER(AN37),AN37&gt;SETTINGS!$B$14),"STUCK in onboarding","")))</f>
        <v/>
      </c>
    </row>
    <row r="38">
      <c r="A38" t="n">
        <v>37</v>
      </c>
      <c r="B38" t="inlineStr">
        <is>
          <t>UPK2-FL-169</t>
        </is>
      </c>
      <c r="C38" t="inlineStr">
        <is>
          <t>Lajjoo C</t>
        </is>
      </c>
      <c r="D38" t="inlineStr">
        <is>
          <t>Fashion &amp; Lifestyle</t>
        </is>
      </c>
      <c r="E38" t="inlineStr">
        <is>
          <t>FL-OCCASION-BRIDAL</t>
        </is>
      </c>
      <c r="F38" t="inlineStr">
        <is>
          <t>Mumbai</t>
        </is>
      </c>
      <c r="G38" t="inlineStr">
        <is>
          <t>B</t>
        </is>
      </c>
      <c r="H38" t="inlineStr">
        <is>
          <t>P0</t>
        </is>
      </c>
      <c r="I38" t="inlineStr">
        <is>
          <t>stockist-listed|large catalogue</t>
        </is>
      </c>
      <c r="J38" t="inlineStr">
        <is>
          <t>Personal 1:1 email from founder/team to published business email</t>
        </is>
      </c>
      <c r="K38" t="inlineStr">
        <is>
          <t>https://lajjooc.com/</t>
        </is>
      </c>
      <c r="L38" t="inlineStr">
        <is>
          <t>W1 Founding cohort</t>
        </is>
      </c>
      <c r="M38" t="inlineStr"/>
      <c r="N38" t="inlineStr"/>
      <c r="O38" s="10" t="inlineStr"/>
      <c r="P38" s="10" t="inlineStr"/>
      <c r="Q38" s="10" t="inlineStr"/>
      <c r="R38" s="10" t="inlineStr"/>
      <c r="S38" t="inlineStr"/>
      <c r="T38" s="10" t="inlineStr"/>
      <c r="U38" t="inlineStr"/>
      <c r="V38" s="10" t="inlineStr"/>
      <c r="W38" s="10" t="inlineStr"/>
      <c r="X38" s="10" t="inlineStr"/>
      <c r="Y38" s="10" t="inlineStr"/>
      <c r="Z38" s="10" t="inlineStr"/>
      <c r="AA38" s="10" t="inlineStr"/>
      <c r="AB38" t="inlineStr"/>
      <c r="AC38" s="10" t="inlineStr"/>
      <c r="AD38" t="inlineStr"/>
      <c r="AE38" t="inlineStr"/>
      <c r="AF38" s="10" t="inlineStr"/>
      <c r="AG38" t="inlineStr"/>
      <c r="AH38">
        <f>IF(AND(B38="",C38=""),"",IF(AND(X38&lt;&gt;"",Y38&lt;&gt;"",Z38&lt;&gt;"",AA38&lt;&gt;"",AB38="Y"),"YES","no"))</f>
        <v/>
      </c>
      <c r="AI38" s="10">
        <f>IF(AH38="YES",MAX(X38,Y38,Z38,AA38),"")</f>
        <v/>
      </c>
      <c r="AJ38">
        <f>IF(AND(B38="",C38=""),"",IF(OR(S38="Not interested",S38="Opt-out / do not contact"),"X Declined / suppressed",IF(S38="Bounced / undeliverable","X Bounced — research",IF(AC38&lt;&gt;"","13 Transacting",IF(AH38="YES","12 ACTIVATED",IF(Z38&lt;&gt;"","11 Listing live",IF(Y38&lt;&gt;"","10 Profile complete",IF(X38&lt;&gt;"","9 Approved",IF(W38&lt;&gt;"","8 KYC submitted",IF(V38&lt;&gt;"","7 Registered",IF(T38&lt;&gt;"","5 Interested",IF(R38&lt;&gt;"","4 Responded",IF(O38&lt;&gt;"","2 Contacted","1 Not yet contacted")))))))))))))</f>
        <v/>
      </c>
      <c r="AK38" s="10">
        <f>IF(AF38&lt;&gt;"",AF38,IF(OR(O38="",R38&lt;&gt;"",LEFT(AJ38,1)="X"),"",IF(Q38&lt;&gt;"","",IF(P38&lt;&gt;"",P38+SETTINGS!$B$4,O38+SETTINGS!$B$3))))</f>
        <v/>
      </c>
      <c r="AL38">
        <f>IF(AJ38="","",IF(LEFT(AJ38,1)="X","None — do not contact",IF(AJ38="1 Not yet contacted","Verify route today, then send M1",IF(AND(R38="",Q38&lt;&gt;""),"Sequence complete — no contact before "&amp;TEXT(Q38+SETTINGS!$B$5,"yyyy-mm-dd"),IF(AND(R38="",P38&lt;&gt;""),"Send final note (M4)",IF(R38="","Send follow-up (M2)",IF(AJ38="12 ACTIVATED","7-day check-in; consent &amp; referral soft ask",IF(AJ38="13 Transacting","Repeat-activity support","Onboarding: move to next stage (see playbook §6)"))))))))</f>
        <v/>
      </c>
      <c r="AM38">
        <f>IF(ISNUMBER(AK38),IF(AK38&lt;=TODAY(),"DUE",""),"")</f>
        <v/>
      </c>
      <c r="AN38">
        <f>IF(COUNT(O38,P38,Q38,R38,T38,V38,W38,X38,Y38,Z38,AA38,AC38)=0,"",TODAY()-MAX(O38,P38,Q38,R38,T38,V38,W38,X38,Y38,Z38,AA38,AC38))</f>
        <v/>
      </c>
      <c r="AO38">
        <f>IF(AJ38="","",IF(AND(T38&lt;&gt;"",U38&lt;&gt;"Active (verified)"),"GST: escalate (no tax advice)",IF(AND(IFERROR(VALUE(LEFT(AJ38,2)),0)&gt;=5,AH38&lt;&gt;"YES",ISNUMBER(AN38),AN38&gt;SETTINGS!$B$14),"STUCK in onboarding","")))</f>
        <v/>
      </c>
    </row>
    <row r="39">
      <c r="A39" t="n">
        <v>38</v>
      </c>
      <c r="B39" t="inlineStr">
        <is>
          <t>UPK2-FL-175</t>
        </is>
      </c>
      <c r="C39" t="inlineStr">
        <is>
          <t>Madzin</t>
        </is>
      </c>
      <c r="D39" t="inlineStr">
        <is>
          <t>Fashion &amp; Lifestyle</t>
        </is>
      </c>
      <c r="E39" t="inlineStr">
        <is>
          <t>FL-OCCASION-BRIDAL</t>
        </is>
      </c>
      <c r="F39" t="inlineStr">
        <is>
          <t>Delhi NCR</t>
        </is>
      </c>
      <c r="G39" t="inlineStr">
        <is>
          <t>B</t>
        </is>
      </c>
      <c r="H39" t="inlineStr">
        <is>
          <t>P0</t>
        </is>
      </c>
      <c r="I39" t="inlineStr">
        <is>
          <t>stockist-listed|large catalogue</t>
        </is>
      </c>
      <c r="J39" t="inlineStr">
        <is>
          <t>Personal 1:1 email from founder/team to published business email</t>
        </is>
      </c>
      <c r="K39" t="inlineStr">
        <is>
          <t>https://www.madzinlabel.com/pages/contact</t>
        </is>
      </c>
      <c r="L39" t="inlineStr">
        <is>
          <t>W1 Founding cohort</t>
        </is>
      </c>
      <c r="M39" t="inlineStr"/>
      <c r="N39" t="inlineStr"/>
      <c r="O39" s="10" t="inlineStr"/>
      <c r="P39" s="10" t="inlineStr"/>
      <c r="Q39" s="10" t="inlineStr"/>
      <c r="R39" s="10" t="inlineStr"/>
      <c r="S39" t="inlineStr"/>
      <c r="T39" s="10" t="inlineStr"/>
      <c r="U39" t="inlineStr"/>
      <c r="V39" s="10" t="inlineStr"/>
      <c r="W39" s="10" t="inlineStr"/>
      <c r="X39" s="10" t="inlineStr"/>
      <c r="Y39" s="10" t="inlineStr"/>
      <c r="Z39" s="10" t="inlineStr"/>
      <c r="AA39" s="10" t="inlineStr"/>
      <c r="AB39" t="inlineStr"/>
      <c r="AC39" s="10" t="inlineStr"/>
      <c r="AD39" t="inlineStr"/>
      <c r="AE39" t="inlineStr"/>
      <c r="AF39" s="10" t="inlineStr"/>
      <c r="AG39" t="inlineStr"/>
      <c r="AH39">
        <f>IF(AND(B39="",C39=""),"",IF(AND(X39&lt;&gt;"",Y39&lt;&gt;"",Z39&lt;&gt;"",AA39&lt;&gt;"",AB39="Y"),"YES","no"))</f>
        <v/>
      </c>
      <c r="AI39" s="10">
        <f>IF(AH39="YES",MAX(X39,Y39,Z39,AA39),"")</f>
        <v/>
      </c>
      <c r="AJ39">
        <f>IF(AND(B39="",C39=""),"",IF(OR(S39="Not interested",S39="Opt-out / do not contact"),"X Declined / suppressed",IF(S39="Bounced / undeliverable","X Bounced — research",IF(AC39&lt;&gt;"","13 Transacting",IF(AH39="YES","12 ACTIVATED",IF(Z39&lt;&gt;"","11 Listing live",IF(Y39&lt;&gt;"","10 Profile complete",IF(X39&lt;&gt;"","9 Approved",IF(W39&lt;&gt;"","8 KYC submitted",IF(V39&lt;&gt;"","7 Registered",IF(T39&lt;&gt;"","5 Interested",IF(R39&lt;&gt;"","4 Responded",IF(O39&lt;&gt;"","2 Contacted","1 Not yet contacted")))))))))))))</f>
        <v/>
      </c>
      <c r="AK39" s="10">
        <f>IF(AF39&lt;&gt;"",AF39,IF(OR(O39="",R39&lt;&gt;"",LEFT(AJ39,1)="X"),"",IF(Q39&lt;&gt;"","",IF(P39&lt;&gt;"",P39+SETTINGS!$B$4,O39+SETTINGS!$B$3))))</f>
        <v/>
      </c>
      <c r="AL39">
        <f>IF(AJ39="","",IF(LEFT(AJ39,1)="X","None — do not contact",IF(AJ39="1 Not yet contacted","Verify route today, then send M1",IF(AND(R39="",Q39&lt;&gt;""),"Sequence complete — no contact before "&amp;TEXT(Q39+SETTINGS!$B$5,"yyyy-mm-dd"),IF(AND(R39="",P39&lt;&gt;""),"Send final note (M4)",IF(R39="","Send follow-up (M2)",IF(AJ39="12 ACTIVATED","7-day check-in; consent &amp; referral soft ask",IF(AJ39="13 Transacting","Repeat-activity support","Onboarding: move to next stage (see playbook §6)"))))))))</f>
        <v/>
      </c>
      <c r="AM39">
        <f>IF(ISNUMBER(AK39),IF(AK39&lt;=TODAY(),"DUE",""),"")</f>
        <v/>
      </c>
      <c r="AN39">
        <f>IF(COUNT(O39,P39,Q39,R39,T39,V39,W39,X39,Y39,Z39,AA39,AC39)=0,"",TODAY()-MAX(O39,P39,Q39,R39,T39,V39,W39,X39,Y39,Z39,AA39,AC39))</f>
        <v/>
      </c>
      <c r="AO39">
        <f>IF(AJ39="","",IF(AND(T39&lt;&gt;"",U39&lt;&gt;"Active (verified)"),"GST: escalate (no tax advice)",IF(AND(IFERROR(VALUE(LEFT(AJ39,2)),0)&gt;=5,AH39&lt;&gt;"YES",ISNUMBER(AN39),AN39&gt;SETTINGS!$B$14),"STUCK in onboarding","")))</f>
        <v/>
      </c>
    </row>
    <row r="40">
      <c r="A40" t="n">
        <v>39</v>
      </c>
      <c r="B40" t="inlineStr">
        <is>
          <t>UPK2-FL-176</t>
        </is>
      </c>
      <c r="C40" t="inlineStr">
        <is>
          <t>Pita Nila</t>
        </is>
      </c>
      <c r="D40" t="inlineStr">
        <is>
          <t>Fashion &amp; Lifestyle</t>
        </is>
      </c>
      <c r="E40" t="inlineStr">
        <is>
          <t>FL-OCCASION-BRIDAL</t>
        </is>
      </c>
      <c r="F40" t="inlineStr">
        <is>
          <t>Delhi NCR</t>
        </is>
      </c>
      <c r="G40" t="inlineStr">
        <is>
          <t>B</t>
        </is>
      </c>
      <c r="H40" t="inlineStr">
        <is>
          <t>P0</t>
        </is>
      </c>
      <c r="I40" t="inlineStr">
        <is>
          <t>stockist-listed|large catalogue</t>
        </is>
      </c>
      <c r="J40" t="inlineStr">
        <is>
          <t>Personal 1:1 email from founder/team to published business email</t>
        </is>
      </c>
      <c r="K40" t="inlineStr">
        <is>
          <t>https://www.pitanila.com/pages/contact-us</t>
        </is>
      </c>
      <c r="L40" t="inlineStr">
        <is>
          <t>W1 Founding cohort</t>
        </is>
      </c>
      <c r="M40" t="inlineStr"/>
      <c r="N40" t="inlineStr"/>
      <c r="O40" s="10" t="inlineStr"/>
      <c r="P40" s="10" t="inlineStr"/>
      <c r="Q40" s="10" t="inlineStr"/>
      <c r="R40" s="10" t="inlineStr"/>
      <c r="S40" t="inlineStr"/>
      <c r="T40" s="10" t="inlineStr"/>
      <c r="U40" t="inlineStr"/>
      <c r="V40" s="10" t="inlineStr"/>
      <c r="W40" s="10" t="inlineStr"/>
      <c r="X40" s="10" t="inlineStr"/>
      <c r="Y40" s="10" t="inlineStr"/>
      <c r="Z40" s="10" t="inlineStr"/>
      <c r="AA40" s="10" t="inlineStr"/>
      <c r="AB40" t="inlineStr"/>
      <c r="AC40" s="10" t="inlineStr"/>
      <c r="AD40" t="inlineStr"/>
      <c r="AE40" t="inlineStr"/>
      <c r="AF40" s="10" t="inlineStr"/>
      <c r="AG40" t="inlineStr"/>
      <c r="AH40">
        <f>IF(AND(B40="",C40=""),"",IF(AND(X40&lt;&gt;"",Y40&lt;&gt;"",Z40&lt;&gt;"",AA40&lt;&gt;"",AB40="Y"),"YES","no"))</f>
        <v/>
      </c>
      <c r="AI40" s="10">
        <f>IF(AH40="YES",MAX(X40,Y40,Z40,AA40),"")</f>
        <v/>
      </c>
      <c r="AJ40">
        <f>IF(AND(B40="",C40=""),"",IF(OR(S40="Not interested",S40="Opt-out / do not contact"),"X Declined / suppressed",IF(S40="Bounced / undeliverable","X Bounced — research",IF(AC40&lt;&gt;"","13 Transacting",IF(AH40="YES","12 ACTIVATED",IF(Z40&lt;&gt;"","11 Listing live",IF(Y40&lt;&gt;"","10 Profile complete",IF(X40&lt;&gt;"","9 Approved",IF(W40&lt;&gt;"","8 KYC submitted",IF(V40&lt;&gt;"","7 Registered",IF(T40&lt;&gt;"","5 Interested",IF(R40&lt;&gt;"","4 Responded",IF(O40&lt;&gt;"","2 Contacted","1 Not yet contacted")))))))))))))</f>
        <v/>
      </c>
      <c r="AK40" s="10">
        <f>IF(AF40&lt;&gt;"",AF40,IF(OR(O40="",R40&lt;&gt;"",LEFT(AJ40,1)="X"),"",IF(Q40&lt;&gt;"","",IF(P40&lt;&gt;"",P40+SETTINGS!$B$4,O40+SETTINGS!$B$3))))</f>
        <v/>
      </c>
      <c r="AL40">
        <f>IF(AJ40="","",IF(LEFT(AJ40,1)="X","None — do not contact",IF(AJ40="1 Not yet contacted","Verify route today, then send M1",IF(AND(R40="",Q40&lt;&gt;""),"Sequence complete — no contact before "&amp;TEXT(Q40+SETTINGS!$B$5,"yyyy-mm-dd"),IF(AND(R40="",P40&lt;&gt;""),"Send final note (M4)",IF(R40="","Send follow-up (M2)",IF(AJ40="12 ACTIVATED","7-day check-in; consent &amp; referral soft ask",IF(AJ40="13 Transacting","Repeat-activity support","Onboarding: move to next stage (see playbook §6)"))))))))</f>
        <v/>
      </c>
      <c r="AM40">
        <f>IF(ISNUMBER(AK40),IF(AK40&lt;=TODAY(),"DUE",""),"")</f>
        <v/>
      </c>
      <c r="AN40">
        <f>IF(COUNT(O40,P40,Q40,R40,T40,V40,W40,X40,Y40,Z40,AA40,AC40)=0,"",TODAY()-MAX(O40,P40,Q40,R40,T40,V40,W40,X40,Y40,Z40,AA40,AC40))</f>
        <v/>
      </c>
      <c r="AO40">
        <f>IF(AJ40="","",IF(AND(T40&lt;&gt;"",U40&lt;&gt;"Active (verified)"),"GST: escalate (no tax advice)",IF(AND(IFERROR(VALUE(LEFT(AJ40,2)),0)&gt;=5,AH40&lt;&gt;"YES",ISNUMBER(AN40),AN40&gt;SETTINGS!$B$14),"STUCK in onboarding","")))</f>
        <v/>
      </c>
    </row>
    <row r="41">
      <c r="A41" t="n">
        <v>40</v>
      </c>
      <c r="B41" t="inlineStr">
        <is>
          <t>UPK2-FL-179</t>
        </is>
      </c>
      <c r="C41" t="inlineStr">
        <is>
          <t>Itrh</t>
        </is>
      </c>
      <c r="D41" t="inlineStr">
        <is>
          <t>Fashion &amp; Lifestyle</t>
        </is>
      </c>
      <c r="E41" t="inlineStr">
        <is>
          <t>FL-OCCASION-BRIDAL</t>
        </is>
      </c>
      <c r="F41" t="inlineStr">
        <is>
          <t>Delhi NCR</t>
        </is>
      </c>
      <c r="G41" t="inlineStr">
        <is>
          <t>B</t>
        </is>
      </c>
      <c r="H41" t="inlineStr">
        <is>
          <t>P0</t>
        </is>
      </c>
      <c r="I41" t="inlineStr">
        <is>
          <t>stockist-listed|large catalogue</t>
        </is>
      </c>
      <c r="J41" t="inlineStr">
        <is>
          <t>1:1 message via own-website contact form</t>
        </is>
      </c>
      <c r="K41" t="inlineStr">
        <is>
          <t>https://itrh.co/pages/contact</t>
        </is>
      </c>
      <c r="L41" t="inlineStr">
        <is>
          <t>W1 Founding cohort</t>
        </is>
      </c>
      <c r="M41" t="inlineStr"/>
      <c r="N41" t="inlineStr"/>
      <c r="O41" s="10" t="inlineStr"/>
      <c r="P41" s="10" t="inlineStr"/>
      <c r="Q41" s="10" t="inlineStr"/>
      <c r="R41" s="10" t="inlineStr"/>
      <c r="S41" t="inlineStr"/>
      <c r="T41" s="10" t="inlineStr"/>
      <c r="U41" t="inlineStr"/>
      <c r="V41" s="10" t="inlineStr"/>
      <c r="W41" s="10" t="inlineStr"/>
      <c r="X41" s="10" t="inlineStr"/>
      <c r="Y41" s="10" t="inlineStr"/>
      <c r="Z41" s="10" t="inlineStr"/>
      <c r="AA41" s="10" t="inlineStr"/>
      <c r="AB41" t="inlineStr"/>
      <c r="AC41" s="10" t="inlineStr"/>
      <c r="AD41" t="inlineStr"/>
      <c r="AE41" t="inlineStr"/>
      <c r="AF41" s="10" t="inlineStr"/>
      <c r="AG41" t="inlineStr"/>
      <c r="AH41">
        <f>IF(AND(B41="",C41=""),"",IF(AND(X41&lt;&gt;"",Y41&lt;&gt;"",Z41&lt;&gt;"",AA41&lt;&gt;"",AB41="Y"),"YES","no"))</f>
        <v/>
      </c>
      <c r="AI41" s="10">
        <f>IF(AH41="YES",MAX(X41,Y41,Z41,AA41),"")</f>
        <v/>
      </c>
      <c r="AJ41">
        <f>IF(AND(B41="",C41=""),"",IF(OR(S41="Not interested",S41="Opt-out / do not contact"),"X Declined / suppressed",IF(S41="Bounced / undeliverable","X Bounced — research",IF(AC41&lt;&gt;"","13 Transacting",IF(AH41="YES","12 ACTIVATED",IF(Z41&lt;&gt;"","11 Listing live",IF(Y41&lt;&gt;"","10 Profile complete",IF(X41&lt;&gt;"","9 Approved",IF(W41&lt;&gt;"","8 KYC submitted",IF(V41&lt;&gt;"","7 Registered",IF(T41&lt;&gt;"","5 Interested",IF(R41&lt;&gt;"","4 Responded",IF(O41&lt;&gt;"","2 Contacted","1 Not yet contacted")))))))))))))</f>
        <v/>
      </c>
      <c r="AK41" s="10">
        <f>IF(AF41&lt;&gt;"",AF41,IF(OR(O41="",R41&lt;&gt;"",LEFT(AJ41,1)="X"),"",IF(Q41&lt;&gt;"","",IF(P41&lt;&gt;"",P41+SETTINGS!$B$4,O41+SETTINGS!$B$3))))</f>
        <v/>
      </c>
      <c r="AL41">
        <f>IF(AJ41="","",IF(LEFT(AJ41,1)="X","None — do not contact",IF(AJ41="1 Not yet contacted","Verify route today, then send M1",IF(AND(R41="",Q41&lt;&gt;""),"Sequence complete — no contact before "&amp;TEXT(Q41+SETTINGS!$B$5,"yyyy-mm-dd"),IF(AND(R41="",P41&lt;&gt;""),"Send final note (M4)",IF(R41="","Send follow-up (M2)",IF(AJ41="12 ACTIVATED","7-day check-in; consent &amp; referral soft ask",IF(AJ41="13 Transacting","Repeat-activity support","Onboarding: move to next stage (see playbook §6)"))))))))</f>
        <v/>
      </c>
      <c r="AM41">
        <f>IF(ISNUMBER(AK41),IF(AK41&lt;=TODAY(),"DUE",""),"")</f>
        <v/>
      </c>
      <c r="AN41">
        <f>IF(COUNT(O41,P41,Q41,R41,T41,V41,W41,X41,Y41,Z41,AA41,AC41)=0,"",TODAY()-MAX(O41,P41,Q41,R41,T41,V41,W41,X41,Y41,Z41,AA41,AC41))</f>
        <v/>
      </c>
      <c r="AO41">
        <f>IF(AJ41="","",IF(AND(T41&lt;&gt;"",U41&lt;&gt;"Active (verified)"),"GST: escalate (no tax advice)",IF(AND(IFERROR(VALUE(LEFT(AJ41,2)),0)&gt;=5,AH41&lt;&gt;"YES",ISNUMBER(AN41),AN41&gt;SETTINGS!$B$14),"STUCK in onboarding","")))</f>
        <v/>
      </c>
    </row>
    <row r="42">
      <c r="A42" t="n">
        <v>41</v>
      </c>
      <c r="B42" t="inlineStr">
        <is>
          <t>UPK2-FL-178</t>
        </is>
      </c>
      <c r="C42" t="inlineStr">
        <is>
          <t>House Of Tuhina</t>
        </is>
      </c>
      <c r="D42" t="inlineStr">
        <is>
          <t>Fashion &amp; Lifestyle</t>
        </is>
      </c>
      <c r="E42" t="inlineStr">
        <is>
          <t>FL-JEWELLERY</t>
        </is>
      </c>
      <c r="F42" t="inlineStr">
        <is>
          <t>Delhi NCR</t>
        </is>
      </c>
      <c r="G42" t="inlineStr">
        <is>
          <t>B</t>
        </is>
      </c>
      <c r="H42" t="inlineStr">
        <is>
          <t>P0</t>
        </is>
      </c>
      <c r="I42" t="inlineStr">
        <is>
          <t>stockist-listed|large catalogue</t>
        </is>
      </c>
      <c r="J42" t="inlineStr">
        <is>
          <t>Personal 1:1 email from founder/team to published business email</t>
        </is>
      </c>
      <c r="K42" t="inlineStr">
        <is>
          <t>https://houseoftuhina.com/pages/contact</t>
        </is>
      </c>
      <c r="L42" t="inlineStr">
        <is>
          <t>W1 Founding cohort</t>
        </is>
      </c>
      <c r="M42" t="inlineStr"/>
      <c r="N42" t="inlineStr"/>
      <c r="O42" s="10" t="inlineStr"/>
      <c r="P42" s="10" t="inlineStr"/>
      <c r="Q42" s="10" t="inlineStr"/>
      <c r="R42" s="10" t="inlineStr"/>
      <c r="S42" t="inlineStr"/>
      <c r="T42" s="10" t="inlineStr"/>
      <c r="U42" t="inlineStr"/>
      <c r="V42" s="10" t="inlineStr"/>
      <c r="W42" s="10" t="inlineStr"/>
      <c r="X42" s="10" t="inlineStr"/>
      <c r="Y42" s="10" t="inlineStr"/>
      <c r="Z42" s="10" t="inlineStr"/>
      <c r="AA42" s="10" t="inlineStr"/>
      <c r="AB42" t="inlineStr"/>
      <c r="AC42" s="10" t="inlineStr"/>
      <c r="AD42" t="inlineStr"/>
      <c r="AE42" t="inlineStr"/>
      <c r="AF42" s="10" t="inlineStr"/>
      <c r="AG42" t="inlineStr"/>
      <c r="AH42">
        <f>IF(AND(B42="",C42=""),"",IF(AND(X42&lt;&gt;"",Y42&lt;&gt;"",Z42&lt;&gt;"",AA42&lt;&gt;"",AB42="Y"),"YES","no"))</f>
        <v/>
      </c>
      <c r="AI42" s="10">
        <f>IF(AH42="YES",MAX(X42,Y42,Z42,AA42),"")</f>
        <v/>
      </c>
      <c r="AJ42">
        <f>IF(AND(B42="",C42=""),"",IF(OR(S42="Not interested",S42="Opt-out / do not contact"),"X Declined / suppressed",IF(S42="Bounced / undeliverable","X Bounced — research",IF(AC42&lt;&gt;"","13 Transacting",IF(AH42="YES","12 ACTIVATED",IF(Z42&lt;&gt;"","11 Listing live",IF(Y42&lt;&gt;"","10 Profile complete",IF(X42&lt;&gt;"","9 Approved",IF(W42&lt;&gt;"","8 KYC submitted",IF(V42&lt;&gt;"","7 Registered",IF(T42&lt;&gt;"","5 Interested",IF(R42&lt;&gt;"","4 Responded",IF(O42&lt;&gt;"","2 Contacted","1 Not yet contacted")))))))))))))</f>
        <v/>
      </c>
      <c r="AK42" s="10">
        <f>IF(AF42&lt;&gt;"",AF42,IF(OR(O42="",R42&lt;&gt;"",LEFT(AJ42,1)="X"),"",IF(Q42&lt;&gt;"","",IF(P42&lt;&gt;"",P42+SETTINGS!$B$4,O42+SETTINGS!$B$3))))</f>
        <v/>
      </c>
      <c r="AL42">
        <f>IF(AJ42="","",IF(LEFT(AJ42,1)="X","None — do not contact",IF(AJ42="1 Not yet contacted","Verify route today, then send M1",IF(AND(R42="",Q42&lt;&gt;""),"Sequence complete — no contact before "&amp;TEXT(Q42+SETTINGS!$B$5,"yyyy-mm-dd"),IF(AND(R42="",P42&lt;&gt;""),"Send final note (M4)",IF(R42="","Send follow-up (M2)",IF(AJ42="12 ACTIVATED","7-day check-in; consent &amp; referral soft ask",IF(AJ42="13 Transacting","Repeat-activity support","Onboarding: move to next stage (see playbook §6)"))))))))</f>
        <v/>
      </c>
      <c r="AM42">
        <f>IF(ISNUMBER(AK42),IF(AK42&lt;=TODAY(),"DUE",""),"")</f>
        <v/>
      </c>
      <c r="AN42">
        <f>IF(COUNT(O42,P42,Q42,R42,T42,V42,W42,X42,Y42,Z42,AA42,AC42)=0,"",TODAY()-MAX(O42,P42,Q42,R42,T42,V42,W42,X42,Y42,Z42,AA42,AC42))</f>
        <v/>
      </c>
      <c r="AO42">
        <f>IF(AJ42="","",IF(AND(T42&lt;&gt;"",U42&lt;&gt;"Active (verified)"),"GST: escalate (no tax advice)",IF(AND(IFERROR(VALUE(LEFT(AJ42,2)),0)&gt;=5,AH42&lt;&gt;"YES",ISNUMBER(AN42),AN42&gt;SETTINGS!$B$14),"STUCK in onboarding","")))</f>
        <v/>
      </c>
    </row>
    <row r="43">
      <c r="A43" t="n">
        <v>42</v>
      </c>
      <c r="B43" t="inlineStr">
        <is>
          <t>UPK2-FL-188</t>
        </is>
      </c>
      <c r="C43" t="inlineStr">
        <is>
          <t>Varnika Arora</t>
        </is>
      </c>
      <c r="D43" t="inlineStr">
        <is>
          <t>Fashion &amp; Lifestyle</t>
        </is>
      </c>
      <c r="E43" t="inlineStr">
        <is>
          <t>FL-JEWELLERY</t>
        </is>
      </c>
      <c r="F43" t="inlineStr">
        <is>
          <t>Mumbai</t>
        </is>
      </c>
      <c r="G43" t="inlineStr">
        <is>
          <t>B</t>
        </is>
      </c>
      <c r="H43" t="inlineStr">
        <is>
          <t>P0</t>
        </is>
      </c>
      <c r="I43" t="inlineStr">
        <is>
          <t>stockist-listed|large catalogue</t>
        </is>
      </c>
      <c r="J43" t="inlineStr">
        <is>
          <t>Personal 1:1 email from founder/team to published business email</t>
        </is>
      </c>
      <c r="K43" t="inlineStr">
        <is>
          <t>https://varnikaarora.com/pages/contact-us-new</t>
        </is>
      </c>
      <c r="L43" t="inlineStr">
        <is>
          <t>W1 Founding cohort</t>
        </is>
      </c>
      <c r="M43" t="inlineStr"/>
      <c r="N43" t="inlineStr"/>
      <c r="O43" s="10" t="inlineStr"/>
      <c r="P43" s="10" t="inlineStr"/>
      <c r="Q43" s="10" t="inlineStr"/>
      <c r="R43" s="10" t="inlineStr"/>
      <c r="S43" t="inlineStr"/>
      <c r="T43" s="10" t="inlineStr"/>
      <c r="U43" t="inlineStr"/>
      <c r="V43" s="10" t="inlineStr"/>
      <c r="W43" s="10" t="inlineStr"/>
      <c r="X43" s="10" t="inlineStr"/>
      <c r="Y43" s="10" t="inlineStr"/>
      <c r="Z43" s="10" t="inlineStr"/>
      <c r="AA43" s="10" t="inlineStr"/>
      <c r="AB43" t="inlineStr"/>
      <c r="AC43" s="10" t="inlineStr"/>
      <c r="AD43" t="inlineStr"/>
      <c r="AE43" t="inlineStr"/>
      <c r="AF43" s="10" t="inlineStr"/>
      <c r="AG43" t="inlineStr"/>
      <c r="AH43">
        <f>IF(AND(B43="",C43=""),"",IF(AND(X43&lt;&gt;"",Y43&lt;&gt;"",Z43&lt;&gt;"",AA43&lt;&gt;"",AB43="Y"),"YES","no"))</f>
        <v/>
      </c>
      <c r="AI43" s="10">
        <f>IF(AH43="YES",MAX(X43,Y43,Z43,AA43),"")</f>
        <v/>
      </c>
      <c r="AJ43">
        <f>IF(AND(B43="",C43=""),"",IF(OR(S43="Not interested",S43="Opt-out / do not contact"),"X Declined / suppressed",IF(S43="Bounced / undeliverable","X Bounced — research",IF(AC43&lt;&gt;"","13 Transacting",IF(AH43="YES","12 ACTIVATED",IF(Z43&lt;&gt;"","11 Listing live",IF(Y43&lt;&gt;"","10 Profile complete",IF(X43&lt;&gt;"","9 Approved",IF(W43&lt;&gt;"","8 KYC submitted",IF(V43&lt;&gt;"","7 Registered",IF(T43&lt;&gt;"","5 Interested",IF(R43&lt;&gt;"","4 Responded",IF(O43&lt;&gt;"","2 Contacted","1 Not yet contacted")))))))))))))</f>
        <v/>
      </c>
      <c r="AK43" s="10">
        <f>IF(AF43&lt;&gt;"",AF43,IF(OR(O43="",R43&lt;&gt;"",LEFT(AJ43,1)="X"),"",IF(Q43&lt;&gt;"","",IF(P43&lt;&gt;"",P43+SETTINGS!$B$4,O43+SETTINGS!$B$3))))</f>
        <v/>
      </c>
      <c r="AL43">
        <f>IF(AJ43="","",IF(LEFT(AJ43,1)="X","None — do not contact",IF(AJ43="1 Not yet contacted","Verify route today, then send M1",IF(AND(R43="",Q43&lt;&gt;""),"Sequence complete — no contact before "&amp;TEXT(Q43+SETTINGS!$B$5,"yyyy-mm-dd"),IF(AND(R43="",P43&lt;&gt;""),"Send final note (M4)",IF(R43="","Send follow-up (M2)",IF(AJ43="12 ACTIVATED","7-day check-in; consent &amp; referral soft ask",IF(AJ43="13 Transacting","Repeat-activity support","Onboarding: move to next stage (see playbook §6)"))))))))</f>
        <v/>
      </c>
      <c r="AM43">
        <f>IF(ISNUMBER(AK43),IF(AK43&lt;=TODAY(),"DUE",""),"")</f>
        <v/>
      </c>
      <c r="AN43">
        <f>IF(COUNT(O43,P43,Q43,R43,T43,V43,W43,X43,Y43,Z43,AA43,AC43)=0,"",TODAY()-MAX(O43,P43,Q43,R43,T43,V43,W43,X43,Y43,Z43,AA43,AC43))</f>
        <v/>
      </c>
      <c r="AO43">
        <f>IF(AJ43="","",IF(AND(T43&lt;&gt;"",U43&lt;&gt;"Active (verified)"),"GST: escalate (no tax advice)",IF(AND(IFERROR(VALUE(LEFT(AJ43,2)),0)&gt;=5,AH43&lt;&gt;"YES",ISNUMBER(AN43),AN43&gt;SETTINGS!$B$14),"STUCK in onboarding","")))</f>
        <v/>
      </c>
    </row>
    <row r="44">
      <c r="A44" t="n">
        <v>43</v>
      </c>
      <c r="B44" t="inlineStr">
        <is>
          <t>UPK2-FL-185</t>
        </is>
      </c>
      <c r="C44" t="inlineStr">
        <is>
          <t>One Not Two</t>
        </is>
      </c>
      <c r="D44" t="inlineStr">
        <is>
          <t>Fashion &amp; Lifestyle</t>
        </is>
      </c>
      <c r="E44" t="inlineStr">
        <is>
          <t>FL-CONTEMPORARY</t>
        </is>
      </c>
      <c r="F44" t="inlineStr">
        <is>
          <t>Delhi NCR</t>
        </is>
      </c>
      <c r="G44" t="inlineStr">
        <is>
          <t>B</t>
        </is>
      </c>
      <c r="H44" t="inlineStr">
        <is>
          <t>P0</t>
        </is>
      </c>
      <c r="I44" t="inlineStr">
        <is>
          <t>stockist-listed|large catalogue</t>
        </is>
      </c>
      <c r="J44" t="inlineStr">
        <is>
          <t>Personal 1:1 email from founder/team to published business email</t>
        </is>
      </c>
      <c r="K44" t="inlineStr">
        <is>
          <t>https://onenottwo.com/pages/contact</t>
        </is>
      </c>
      <c r="L44" t="inlineStr">
        <is>
          <t>W1 Founding cohort</t>
        </is>
      </c>
      <c r="M44" t="inlineStr"/>
      <c r="N44" t="inlineStr"/>
      <c r="O44" s="10" t="inlineStr"/>
      <c r="P44" s="10" t="inlineStr"/>
      <c r="Q44" s="10" t="inlineStr"/>
      <c r="R44" s="10" t="inlineStr"/>
      <c r="S44" t="inlineStr"/>
      <c r="T44" s="10" t="inlineStr"/>
      <c r="U44" t="inlineStr"/>
      <c r="V44" s="10" t="inlineStr"/>
      <c r="W44" s="10" t="inlineStr"/>
      <c r="X44" s="10" t="inlineStr"/>
      <c r="Y44" s="10" t="inlineStr"/>
      <c r="Z44" s="10" t="inlineStr"/>
      <c r="AA44" s="10" t="inlineStr"/>
      <c r="AB44" t="inlineStr"/>
      <c r="AC44" s="10" t="inlineStr"/>
      <c r="AD44" t="inlineStr"/>
      <c r="AE44" t="inlineStr"/>
      <c r="AF44" s="10" t="inlineStr"/>
      <c r="AG44" t="inlineStr"/>
      <c r="AH44">
        <f>IF(AND(B44="",C44=""),"",IF(AND(X44&lt;&gt;"",Y44&lt;&gt;"",Z44&lt;&gt;"",AA44&lt;&gt;"",AB44="Y"),"YES","no"))</f>
        <v/>
      </c>
      <c r="AI44" s="10">
        <f>IF(AH44="YES",MAX(X44,Y44,Z44,AA44),"")</f>
        <v/>
      </c>
      <c r="AJ44">
        <f>IF(AND(B44="",C44=""),"",IF(OR(S44="Not interested",S44="Opt-out / do not contact"),"X Declined / suppressed",IF(S44="Bounced / undeliverable","X Bounced — research",IF(AC44&lt;&gt;"","13 Transacting",IF(AH44="YES","12 ACTIVATED",IF(Z44&lt;&gt;"","11 Listing live",IF(Y44&lt;&gt;"","10 Profile complete",IF(X44&lt;&gt;"","9 Approved",IF(W44&lt;&gt;"","8 KYC submitted",IF(V44&lt;&gt;"","7 Registered",IF(T44&lt;&gt;"","5 Interested",IF(R44&lt;&gt;"","4 Responded",IF(O44&lt;&gt;"","2 Contacted","1 Not yet contacted")))))))))))))</f>
        <v/>
      </c>
      <c r="AK44" s="10">
        <f>IF(AF44&lt;&gt;"",AF44,IF(OR(O44="",R44&lt;&gt;"",LEFT(AJ44,1)="X"),"",IF(Q44&lt;&gt;"","",IF(P44&lt;&gt;"",P44+SETTINGS!$B$4,O44+SETTINGS!$B$3))))</f>
        <v/>
      </c>
      <c r="AL44">
        <f>IF(AJ44="","",IF(LEFT(AJ44,1)="X","None — do not contact",IF(AJ44="1 Not yet contacted","Verify route today, then send M1",IF(AND(R44="",Q44&lt;&gt;""),"Sequence complete — no contact before "&amp;TEXT(Q44+SETTINGS!$B$5,"yyyy-mm-dd"),IF(AND(R44="",P44&lt;&gt;""),"Send final note (M4)",IF(R44="","Send follow-up (M2)",IF(AJ44="12 ACTIVATED","7-day check-in; consent &amp; referral soft ask",IF(AJ44="13 Transacting","Repeat-activity support","Onboarding: move to next stage (see playbook §6)"))))))))</f>
        <v/>
      </c>
      <c r="AM44">
        <f>IF(ISNUMBER(AK44),IF(AK44&lt;=TODAY(),"DUE",""),"")</f>
        <v/>
      </c>
      <c r="AN44">
        <f>IF(COUNT(O44,P44,Q44,R44,T44,V44,W44,X44,Y44,Z44,AA44,AC44)=0,"",TODAY()-MAX(O44,P44,Q44,R44,T44,V44,W44,X44,Y44,Z44,AA44,AC44))</f>
        <v/>
      </c>
      <c r="AO44">
        <f>IF(AJ44="","",IF(AND(T44&lt;&gt;"",U44&lt;&gt;"Active (verified)"),"GST: escalate (no tax advice)",IF(AND(IFERROR(VALUE(LEFT(AJ44,2)),0)&gt;=5,AH44&lt;&gt;"YES",ISNUMBER(AN44),AN44&gt;SETTINGS!$B$14),"STUCK in onboarding","")))</f>
        <v/>
      </c>
    </row>
    <row r="45">
      <c r="A45" t="n">
        <v>44</v>
      </c>
      <c r="B45" t="inlineStr">
        <is>
          <t>UPK2-FL-186</t>
        </is>
      </c>
      <c r="C45" t="inlineStr">
        <is>
          <t>Parul And Preyanka</t>
        </is>
      </c>
      <c r="D45" t="inlineStr">
        <is>
          <t>Fashion &amp; Lifestyle</t>
        </is>
      </c>
      <c r="E45" t="inlineStr">
        <is>
          <t>FL-OCCASION-BRIDAL</t>
        </is>
      </c>
      <c r="F45" t="inlineStr">
        <is>
          <t>Delhi NCR</t>
        </is>
      </c>
      <c r="G45" t="inlineStr">
        <is>
          <t>B</t>
        </is>
      </c>
      <c r="H45" t="inlineStr">
        <is>
          <t>P0</t>
        </is>
      </c>
      <c r="I45" t="inlineStr">
        <is>
          <t>stockist-listed|large catalogue</t>
        </is>
      </c>
      <c r="J45" t="inlineStr">
        <is>
          <t>Personal 1:1 email from founder/team to published business email</t>
        </is>
      </c>
      <c r="K45" t="inlineStr">
        <is>
          <t>https://parulandpreyanka.com/pages/contact</t>
        </is>
      </c>
      <c r="L45" t="inlineStr">
        <is>
          <t>W1 Founding cohort</t>
        </is>
      </c>
      <c r="M45" t="inlineStr"/>
      <c r="N45" t="inlineStr"/>
      <c r="O45" s="10" t="inlineStr"/>
      <c r="P45" s="10" t="inlineStr"/>
      <c r="Q45" s="10" t="inlineStr"/>
      <c r="R45" s="10" t="inlineStr"/>
      <c r="S45" t="inlineStr"/>
      <c r="T45" s="10" t="inlineStr"/>
      <c r="U45" t="inlineStr"/>
      <c r="V45" s="10" t="inlineStr"/>
      <c r="W45" s="10" t="inlineStr"/>
      <c r="X45" s="10" t="inlineStr"/>
      <c r="Y45" s="10" t="inlineStr"/>
      <c r="Z45" s="10" t="inlineStr"/>
      <c r="AA45" s="10" t="inlineStr"/>
      <c r="AB45" t="inlineStr"/>
      <c r="AC45" s="10" t="inlineStr"/>
      <c r="AD45" t="inlineStr"/>
      <c r="AE45" t="inlineStr"/>
      <c r="AF45" s="10" t="inlineStr"/>
      <c r="AG45" t="inlineStr"/>
      <c r="AH45">
        <f>IF(AND(B45="",C45=""),"",IF(AND(X45&lt;&gt;"",Y45&lt;&gt;"",Z45&lt;&gt;"",AA45&lt;&gt;"",AB45="Y"),"YES","no"))</f>
        <v/>
      </c>
      <c r="AI45" s="10">
        <f>IF(AH45="YES",MAX(X45,Y45,Z45,AA45),"")</f>
        <v/>
      </c>
      <c r="AJ45">
        <f>IF(AND(B45="",C45=""),"",IF(OR(S45="Not interested",S45="Opt-out / do not contact"),"X Declined / suppressed",IF(S45="Bounced / undeliverable","X Bounced — research",IF(AC45&lt;&gt;"","13 Transacting",IF(AH45="YES","12 ACTIVATED",IF(Z45&lt;&gt;"","11 Listing live",IF(Y45&lt;&gt;"","10 Profile complete",IF(X45&lt;&gt;"","9 Approved",IF(W45&lt;&gt;"","8 KYC submitted",IF(V45&lt;&gt;"","7 Registered",IF(T45&lt;&gt;"","5 Interested",IF(R45&lt;&gt;"","4 Responded",IF(O45&lt;&gt;"","2 Contacted","1 Not yet contacted")))))))))))))</f>
        <v/>
      </c>
      <c r="AK45" s="10">
        <f>IF(AF45&lt;&gt;"",AF45,IF(OR(O45="",R45&lt;&gt;"",LEFT(AJ45,1)="X"),"",IF(Q45&lt;&gt;"","",IF(P45&lt;&gt;"",P45+SETTINGS!$B$4,O45+SETTINGS!$B$3))))</f>
        <v/>
      </c>
      <c r="AL45">
        <f>IF(AJ45="","",IF(LEFT(AJ45,1)="X","None — do not contact",IF(AJ45="1 Not yet contacted","Verify route today, then send M1",IF(AND(R45="",Q45&lt;&gt;""),"Sequence complete — no contact before "&amp;TEXT(Q45+SETTINGS!$B$5,"yyyy-mm-dd"),IF(AND(R45="",P45&lt;&gt;""),"Send final note (M4)",IF(R45="","Send follow-up (M2)",IF(AJ45="12 ACTIVATED","7-day check-in; consent &amp; referral soft ask",IF(AJ45="13 Transacting","Repeat-activity support","Onboarding: move to next stage (see playbook §6)"))))))))</f>
        <v/>
      </c>
      <c r="AM45">
        <f>IF(ISNUMBER(AK45),IF(AK45&lt;=TODAY(),"DUE",""),"")</f>
        <v/>
      </c>
      <c r="AN45">
        <f>IF(COUNT(O45,P45,Q45,R45,T45,V45,W45,X45,Y45,Z45,AA45,AC45)=0,"",TODAY()-MAX(O45,P45,Q45,R45,T45,V45,W45,X45,Y45,Z45,AA45,AC45))</f>
        <v/>
      </c>
      <c r="AO45">
        <f>IF(AJ45="","",IF(AND(T45&lt;&gt;"",U45&lt;&gt;"Active (verified)"),"GST: escalate (no tax advice)",IF(AND(IFERROR(VALUE(LEFT(AJ45,2)),0)&gt;=5,AH45&lt;&gt;"YES",ISNUMBER(AN45),AN45&gt;SETTINGS!$B$14),"STUCK in onboarding","")))</f>
        <v/>
      </c>
    </row>
    <row r="46">
      <c r="A46" t="n">
        <v>45</v>
      </c>
      <c r="B46" t="inlineStr">
        <is>
          <t>UPK2-FL-183</t>
        </is>
      </c>
      <c r="C46" t="inlineStr">
        <is>
          <t>Kavita Bhartia</t>
        </is>
      </c>
      <c r="D46" t="inlineStr">
        <is>
          <t>Fashion &amp; Lifestyle</t>
        </is>
      </c>
      <c r="E46" t="inlineStr">
        <is>
          <t>FL-OCCASION-BRIDAL</t>
        </is>
      </c>
      <c r="F46" t="inlineStr">
        <is>
          <t>Delhi NCR</t>
        </is>
      </c>
      <c r="G46" t="inlineStr">
        <is>
          <t>B</t>
        </is>
      </c>
      <c r="H46" t="inlineStr">
        <is>
          <t>P0</t>
        </is>
      </c>
      <c r="I46" t="inlineStr">
        <is>
          <t>stockist-listed|large catalogue</t>
        </is>
      </c>
      <c r="J46" t="inlineStr">
        <is>
          <t>Personal 1:1 email from founder/team to published business email</t>
        </is>
      </c>
      <c r="K46" t="inlineStr">
        <is>
          <t>https://kavitabhartia.com/pages/contact</t>
        </is>
      </c>
      <c r="L46" t="inlineStr">
        <is>
          <t>W1 Founding cohort</t>
        </is>
      </c>
      <c r="M46" t="inlineStr"/>
      <c r="N46" t="inlineStr"/>
      <c r="O46" s="10" t="inlineStr"/>
      <c r="P46" s="10" t="inlineStr"/>
      <c r="Q46" s="10" t="inlineStr"/>
      <c r="R46" s="10" t="inlineStr"/>
      <c r="S46" t="inlineStr"/>
      <c r="T46" s="10" t="inlineStr"/>
      <c r="U46" t="inlineStr"/>
      <c r="V46" s="10" t="inlineStr"/>
      <c r="W46" s="10" t="inlineStr"/>
      <c r="X46" s="10" t="inlineStr"/>
      <c r="Y46" s="10" t="inlineStr"/>
      <c r="Z46" s="10" t="inlineStr"/>
      <c r="AA46" s="10" t="inlineStr"/>
      <c r="AB46" t="inlineStr"/>
      <c r="AC46" s="10" t="inlineStr"/>
      <c r="AD46" t="inlineStr"/>
      <c r="AE46" t="inlineStr"/>
      <c r="AF46" s="10" t="inlineStr"/>
      <c r="AG46" t="inlineStr"/>
      <c r="AH46">
        <f>IF(AND(B46="",C46=""),"",IF(AND(X46&lt;&gt;"",Y46&lt;&gt;"",Z46&lt;&gt;"",AA46&lt;&gt;"",AB46="Y"),"YES","no"))</f>
        <v/>
      </c>
      <c r="AI46" s="10">
        <f>IF(AH46="YES",MAX(X46,Y46,Z46,AA46),"")</f>
        <v/>
      </c>
      <c r="AJ46">
        <f>IF(AND(B46="",C46=""),"",IF(OR(S46="Not interested",S46="Opt-out / do not contact"),"X Declined / suppressed",IF(S46="Bounced / undeliverable","X Bounced — research",IF(AC46&lt;&gt;"","13 Transacting",IF(AH46="YES","12 ACTIVATED",IF(Z46&lt;&gt;"","11 Listing live",IF(Y46&lt;&gt;"","10 Profile complete",IF(X46&lt;&gt;"","9 Approved",IF(W46&lt;&gt;"","8 KYC submitted",IF(V46&lt;&gt;"","7 Registered",IF(T46&lt;&gt;"","5 Interested",IF(R46&lt;&gt;"","4 Responded",IF(O46&lt;&gt;"","2 Contacted","1 Not yet contacted")))))))))))))</f>
        <v/>
      </c>
      <c r="AK46" s="10">
        <f>IF(AF46&lt;&gt;"",AF46,IF(OR(O46="",R46&lt;&gt;"",LEFT(AJ46,1)="X"),"",IF(Q46&lt;&gt;"","",IF(P46&lt;&gt;"",P46+SETTINGS!$B$4,O46+SETTINGS!$B$3))))</f>
        <v/>
      </c>
      <c r="AL46">
        <f>IF(AJ46="","",IF(LEFT(AJ46,1)="X","None — do not contact",IF(AJ46="1 Not yet contacted","Verify route today, then send M1",IF(AND(R46="",Q46&lt;&gt;""),"Sequence complete — no contact before "&amp;TEXT(Q46+SETTINGS!$B$5,"yyyy-mm-dd"),IF(AND(R46="",P46&lt;&gt;""),"Send final note (M4)",IF(R46="","Send follow-up (M2)",IF(AJ46="12 ACTIVATED","7-day check-in; consent &amp; referral soft ask",IF(AJ46="13 Transacting","Repeat-activity support","Onboarding: move to next stage (see playbook §6)"))))))))</f>
        <v/>
      </c>
      <c r="AM46">
        <f>IF(ISNUMBER(AK46),IF(AK46&lt;=TODAY(),"DUE",""),"")</f>
        <v/>
      </c>
      <c r="AN46">
        <f>IF(COUNT(O46,P46,Q46,R46,T46,V46,W46,X46,Y46,Z46,AA46,AC46)=0,"",TODAY()-MAX(O46,P46,Q46,R46,T46,V46,W46,X46,Y46,Z46,AA46,AC46))</f>
        <v/>
      </c>
      <c r="AO46">
        <f>IF(AJ46="","",IF(AND(T46&lt;&gt;"",U46&lt;&gt;"Active (verified)"),"GST: escalate (no tax advice)",IF(AND(IFERROR(VALUE(LEFT(AJ46,2)),0)&gt;=5,AH46&lt;&gt;"YES",ISNUMBER(AN46),AN46&gt;SETTINGS!$B$14),"STUCK in onboarding","")))</f>
        <v/>
      </c>
    </row>
    <row r="47">
      <c r="A47" t="n">
        <v>46</v>
      </c>
      <c r="B47" t="inlineStr">
        <is>
          <t>UPK2-FL-181</t>
        </is>
      </c>
      <c r="C47" t="inlineStr">
        <is>
          <t>Jajaabor</t>
        </is>
      </c>
      <c r="D47" t="inlineStr">
        <is>
          <t>Fashion &amp; Lifestyle</t>
        </is>
      </c>
      <c r="E47" t="inlineStr">
        <is>
          <t>FL-CONTEMPORARY</t>
        </is>
      </c>
      <c r="F47" t="inlineStr">
        <is>
          <t>Delhi NCR</t>
        </is>
      </c>
      <c r="G47" t="inlineStr">
        <is>
          <t>B</t>
        </is>
      </c>
      <c r="H47" t="inlineStr">
        <is>
          <t>P0</t>
        </is>
      </c>
      <c r="I47" t="inlineStr">
        <is>
          <t>stockist-listed|large catalogue</t>
        </is>
      </c>
      <c r="J47" t="inlineStr">
        <is>
          <t>Personal 1:1 email from founder/team to published business email</t>
        </is>
      </c>
      <c r="K47" t="inlineStr">
        <is>
          <t>https://jajaabor.com/pages/contact-us</t>
        </is>
      </c>
      <c r="L47" t="inlineStr">
        <is>
          <t>W1 Founding cohort</t>
        </is>
      </c>
      <c r="M47" t="inlineStr"/>
      <c r="N47" t="inlineStr"/>
      <c r="O47" s="10" t="inlineStr"/>
      <c r="P47" s="10" t="inlineStr"/>
      <c r="Q47" s="10" t="inlineStr"/>
      <c r="R47" s="10" t="inlineStr"/>
      <c r="S47" t="inlineStr"/>
      <c r="T47" s="10" t="inlineStr"/>
      <c r="U47" t="inlineStr"/>
      <c r="V47" s="10" t="inlineStr"/>
      <c r="W47" s="10" t="inlineStr"/>
      <c r="X47" s="10" t="inlineStr"/>
      <c r="Y47" s="10" t="inlineStr"/>
      <c r="Z47" s="10" t="inlineStr"/>
      <c r="AA47" s="10" t="inlineStr"/>
      <c r="AB47" t="inlineStr"/>
      <c r="AC47" s="10" t="inlineStr"/>
      <c r="AD47" t="inlineStr"/>
      <c r="AE47" t="inlineStr"/>
      <c r="AF47" s="10" t="inlineStr"/>
      <c r="AG47" t="inlineStr"/>
      <c r="AH47">
        <f>IF(AND(B47="",C47=""),"",IF(AND(X47&lt;&gt;"",Y47&lt;&gt;"",Z47&lt;&gt;"",AA47&lt;&gt;"",AB47="Y"),"YES","no"))</f>
        <v/>
      </c>
      <c r="AI47" s="10">
        <f>IF(AH47="YES",MAX(X47,Y47,Z47,AA47),"")</f>
        <v/>
      </c>
      <c r="AJ47">
        <f>IF(AND(B47="",C47=""),"",IF(OR(S47="Not interested",S47="Opt-out / do not contact"),"X Declined / suppressed",IF(S47="Bounced / undeliverable","X Bounced — research",IF(AC47&lt;&gt;"","13 Transacting",IF(AH47="YES","12 ACTIVATED",IF(Z47&lt;&gt;"","11 Listing live",IF(Y47&lt;&gt;"","10 Profile complete",IF(X47&lt;&gt;"","9 Approved",IF(W47&lt;&gt;"","8 KYC submitted",IF(V47&lt;&gt;"","7 Registered",IF(T47&lt;&gt;"","5 Interested",IF(R47&lt;&gt;"","4 Responded",IF(O47&lt;&gt;"","2 Contacted","1 Not yet contacted")))))))))))))</f>
        <v/>
      </c>
      <c r="AK47" s="10">
        <f>IF(AF47&lt;&gt;"",AF47,IF(OR(O47="",R47&lt;&gt;"",LEFT(AJ47,1)="X"),"",IF(Q47&lt;&gt;"","",IF(P47&lt;&gt;"",P47+SETTINGS!$B$4,O47+SETTINGS!$B$3))))</f>
        <v/>
      </c>
      <c r="AL47">
        <f>IF(AJ47="","",IF(LEFT(AJ47,1)="X","None — do not contact",IF(AJ47="1 Not yet contacted","Verify route today, then send M1",IF(AND(R47="",Q47&lt;&gt;""),"Sequence complete — no contact before "&amp;TEXT(Q47+SETTINGS!$B$5,"yyyy-mm-dd"),IF(AND(R47="",P47&lt;&gt;""),"Send final note (M4)",IF(R47="","Send follow-up (M2)",IF(AJ47="12 ACTIVATED","7-day check-in; consent &amp; referral soft ask",IF(AJ47="13 Transacting","Repeat-activity support","Onboarding: move to next stage (see playbook §6)"))))))))</f>
        <v/>
      </c>
      <c r="AM47">
        <f>IF(ISNUMBER(AK47),IF(AK47&lt;=TODAY(),"DUE",""),"")</f>
        <v/>
      </c>
      <c r="AN47">
        <f>IF(COUNT(O47,P47,Q47,R47,T47,V47,W47,X47,Y47,Z47,AA47,AC47)=0,"",TODAY()-MAX(O47,P47,Q47,R47,T47,V47,W47,X47,Y47,Z47,AA47,AC47))</f>
        <v/>
      </c>
      <c r="AO47">
        <f>IF(AJ47="","",IF(AND(T47&lt;&gt;"",U47&lt;&gt;"Active (verified)"),"GST: escalate (no tax advice)",IF(AND(IFERROR(VALUE(LEFT(AJ47,2)),0)&gt;=5,AH47&lt;&gt;"YES",ISNUMBER(AN47),AN47&gt;SETTINGS!$B$14),"STUCK in onboarding","")))</f>
        <v/>
      </c>
    </row>
    <row r="48">
      <c r="A48" t="n">
        <v>47</v>
      </c>
      <c r="B48" t="inlineStr">
        <is>
          <t>UPK2-FL-193</t>
        </is>
      </c>
      <c r="C48" t="inlineStr">
        <is>
          <t>Kharakapas</t>
        </is>
      </c>
      <c r="D48" t="inlineStr">
        <is>
          <t>Fashion &amp; Lifestyle</t>
        </is>
      </c>
      <c r="E48" t="inlineStr">
        <is>
          <t>FL-CONTEMPORARY</t>
        </is>
      </c>
      <c r="F48" t="inlineStr">
        <is>
          <t>Delhi NCR</t>
        </is>
      </c>
      <c r="G48" t="inlineStr">
        <is>
          <t>B</t>
        </is>
      </c>
      <c r="H48" t="inlineStr">
        <is>
          <t>P0</t>
        </is>
      </c>
      <c r="I48" t="inlineStr">
        <is>
          <t>stockist-listed|large catalogue</t>
        </is>
      </c>
      <c r="J48" t="inlineStr">
        <is>
          <t>Personal 1:1 email from founder/team to published business email</t>
        </is>
      </c>
      <c r="K48" t="inlineStr">
        <is>
          <t>https://kharakapas.com/</t>
        </is>
      </c>
      <c r="L48" t="inlineStr">
        <is>
          <t>W1 Founding cohort</t>
        </is>
      </c>
      <c r="M48" t="inlineStr"/>
      <c r="N48" t="inlineStr"/>
      <c r="O48" s="10" t="inlineStr"/>
      <c r="P48" s="10" t="inlineStr"/>
      <c r="Q48" s="10" t="inlineStr"/>
      <c r="R48" s="10" t="inlineStr"/>
      <c r="S48" t="inlineStr"/>
      <c r="T48" s="10" t="inlineStr"/>
      <c r="U48" t="inlineStr"/>
      <c r="V48" s="10" t="inlineStr"/>
      <c r="W48" s="10" t="inlineStr"/>
      <c r="X48" s="10" t="inlineStr"/>
      <c r="Y48" s="10" t="inlineStr"/>
      <c r="Z48" s="10" t="inlineStr"/>
      <c r="AA48" s="10" t="inlineStr"/>
      <c r="AB48" t="inlineStr"/>
      <c r="AC48" s="10" t="inlineStr"/>
      <c r="AD48" t="inlineStr"/>
      <c r="AE48" t="inlineStr"/>
      <c r="AF48" s="10" t="inlineStr"/>
      <c r="AG48" t="inlineStr"/>
      <c r="AH48">
        <f>IF(AND(B48="",C48=""),"",IF(AND(X48&lt;&gt;"",Y48&lt;&gt;"",Z48&lt;&gt;"",AA48&lt;&gt;"",AB48="Y"),"YES","no"))</f>
        <v/>
      </c>
      <c r="AI48" s="10">
        <f>IF(AH48="YES",MAX(X48,Y48,Z48,AA48),"")</f>
        <v/>
      </c>
      <c r="AJ48">
        <f>IF(AND(B48="",C48=""),"",IF(OR(S48="Not interested",S48="Opt-out / do not contact"),"X Declined / suppressed",IF(S48="Bounced / undeliverable","X Bounced — research",IF(AC48&lt;&gt;"","13 Transacting",IF(AH48="YES","12 ACTIVATED",IF(Z48&lt;&gt;"","11 Listing live",IF(Y48&lt;&gt;"","10 Profile complete",IF(X48&lt;&gt;"","9 Approved",IF(W48&lt;&gt;"","8 KYC submitted",IF(V48&lt;&gt;"","7 Registered",IF(T48&lt;&gt;"","5 Interested",IF(R48&lt;&gt;"","4 Responded",IF(O48&lt;&gt;"","2 Contacted","1 Not yet contacted")))))))))))))</f>
        <v/>
      </c>
      <c r="AK48" s="10">
        <f>IF(AF48&lt;&gt;"",AF48,IF(OR(O48="",R48&lt;&gt;"",LEFT(AJ48,1)="X"),"",IF(Q48&lt;&gt;"","",IF(P48&lt;&gt;"",P48+SETTINGS!$B$4,O48+SETTINGS!$B$3))))</f>
        <v/>
      </c>
      <c r="AL48">
        <f>IF(AJ48="","",IF(LEFT(AJ48,1)="X","None — do not contact",IF(AJ48="1 Not yet contacted","Verify route today, then send M1",IF(AND(R48="",Q48&lt;&gt;""),"Sequence complete — no contact before "&amp;TEXT(Q48+SETTINGS!$B$5,"yyyy-mm-dd"),IF(AND(R48="",P48&lt;&gt;""),"Send final note (M4)",IF(R48="","Send follow-up (M2)",IF(AJ48="12 ACTIVATED","7-day check-in; consent &amp; referral soft ask",IF(AJ48="13 Transacting","Repeat-activity support","Onboarding: move to next stage (see playbook §6)"))))))))</f>
        <v/>
      </c>
      <c r="AM48">
        <f>IF(ISNUMBER(AK48),IF(AK48&lt;=TODAY(),"DUE",""),"")</f>
        <v/>
      </c>
      <c r="AN48">
        <f>IF(COUNT(O48,P48,Q48,R48,T48,V48,W48,X48,Y48,Z48,AA48,AC48)=0,"",TODAY()-MAX(O48,P48,Q48,R48,T48,V48,W48,X48,Y48,Z48,AA48,AC48))</f>
        <v/>
      </c>
      <c r="AO48">
        <f>IF(AJ48="","",IF(AND(T48&lt;&gt;"",U48&lt;&gt;"Active (verified)"),"GST: escalate (no tax advice)",IF(AND(IFERROR(VALUE(LEFT(AJ48,2)),0)&gt;=5,AH48&lt;&gt;"YES",ISNUMBER(AN48),AN48&gt;SETTINGS!$B$14),"STUCK in onboarding","")))</f>
        <v/>
      </c>
    </row>
    <row r="49">
      <c r="A49" t="n">
        <v>48</v>
      </c>
      <c r="B49" t="inlineStr">
        <is>
          <t>UPK2-SD-300</t>
        </is>
      </c>
      <c r="C49" t="inlineStr">
        <is>
          <t>EITRI</t>
        </is>
      </c>
      <c r="D49" t="inlineStr">
        <is>
          <t>Space &amp; Design</t>
        </is>
      </c>
      <c r="E49" t="inlineStr">
        <is>
          <t>SD-PRODUCT-MAKER</t>
        </is>
      </c>
      <c r="F49" t="inlineStr">
        <is>
          <t>Delhi NCR</t>
        </is>
      </c>
      <c r="G49" t="inlineStr">
        <is>
          <t>A</t>
        </is>
      </c>
      <c r="H49" t="inlineStr">
        <is>
          <t>P0</t>
        </is>
      </c>
      <c r="I49" t="inlineStr">
        <is>
          <t>under-discovered</t>
        </is>
      </c>
      <c r="J49" t="inlineStr">
        <is>
          <t>Personal 1:1 email from founder/team to published business email</t>
        </is>
      </c>
      <c r="K49" t="inlineStr">
        <is>
          <t>https://www.eitri.co/</t>
        </is>
      </c>
      <c r="L49" t="inlineStr">
        <is>
          <t>W1 Founding cohort</t>
        </is>
      </c>
      <c r="M49" t="inlineStr"/>
      <c r="N49" t="inlineStr"/>
      <c r="O49" s="10" t="inlineStr"/>
      <c r="P49" s="10" t="inlineStr"/>
      <c r="Q49" s="10" t="inlineStr"/>
      <c r="R49" s="10" t="inlineStr"/>
      <c r="S49" t="inlineStr"/>
      <c r="T49" s="10" t="inlineStr"/>
      <c r="U49" t="inlineStr"/>
      <c r="V49" s="10" t="inlineStr"/>
      <c r="W49" s="10" t="inlineStr"/>
      <c r="X49" s="10" t="inlineStr"/>
      <c r="Y49" s="10" t="inlineStr"/>
      <c r="Z49" s="10" t="inlineStr"/>
      <c r="AA49" s="10" t="inlineStr"/>
      <c r="AB49" t="inlineStr"/>
      <c r="AC49" s="10" t="inlineStr"/>
      <c r="AD49" t="inlineStr"/>
      <c r="AE49" t="inlineStr"/>
      <c r="AF49" s="10" t="inlineStr"/>
      <c r="AG49" t="inlineStr"/>
      <c r="AH49">
        <f>IF(AND(B49="",C49=""),"",IF(AND(X49&lt;&gt;"",Y49&lt;&gt;"",Z49&lt;&gt;"",AA49&lt;&gt;"",AB49="Y"),"YES","no"))</f>
        <v/>
      </c>
      <c r="AI49" s="10">
        <f>IF(AH49="YES",MAX(X49,Y49,Z49,AA49),"")</f>
        <v/>
      </c>
      <c r="AJ49">
        <f>IF(AND(B49="",C49=""),"",IF(OR(S49="Not interested",S49="Opt-out / do not contact"),"X Declined / suppressed",IF(S49="Bounced / undeliverable","X Bounced — research",IF(AC49&lt;&gt;"","13 Transacting",IF(AH49="YES","12 ACTIVATED",IF(Z49&lt;&gt;"","11 Listing live",IF(Y49&lt;&gt;"","10 Profile complete",IF(X49&lt;&gt;"","9 Approved",IF(W49&lt;&gt;"","8 KYC submitted",IF(V49&lt;&gt;"","7 Registered",IF(T49&lt;&gt;"","5 Interested",IF(R49&lt;&gt;"","4 Responded",IF(O49&lt;&gt;"","2 Contacted","1 Not yet contacted")))))))))))))</f>
        <v/>
      </c>
      <c r="AK49" s="10">
        <f>IF(AF49&lt;&gt;"",AF49,IF(OR(O49="",R49&lt;&gt;"",LEFT(AJ49,1)="X"),"",IF(Q49&lt;&gt;"","",IF(P49&lt;&gt;"",P49+SETTINGS!$B$4,O49+SETTINGS!$B$3))))</f>
        <v/>
      </c>
      <c r="AL49">
        <f>IF(AJ49="","",IF(LEFT(AJ49,1)="X","None — do not contact",IF(AJ49="1 Not yet contacted","Verify route today, then send M1",IF(AND(R49="",Q49&lt;&gt;""),"Sequence complete — no contact before "&amp;TEXT(Q49+SETTINGS!$B$5,"yyyy-mm-dd"),IF(AND(R49="",P49&lt;&gt;""),"Send final note (M4)",IF(R49="","Send follow-up (M2)",IF(AJ49="12 ACTIVATED","7-day check-in; consent &amp; referral soft ask",IF(AJ49="13 Transacting","Repeat-activity support","Onboarding: move to next stage (see playbook §6)"))))))))</f>
        <v/>
      </c>
      <c r="AM49">
        <f>IF(ISNUMBER(AK49),IF(AK49&lt;=TODAY(),"DUE",""),"")</f>
        <v/>
      </c>
      <c r="AN49">
        <f>IF(COUNT(O49,P49,Q49,R49,T49,V49,W49,X49,Y49,Z49,AA49,AC49)=0,"",TODAY()-MAX(O49,P49,Q49,R49,T49,V49,W49,X49,Y49,Z49,AA49,AC49))</f>
        <v/>
      </c>
      <c r="AO49">
        <f>IF(AJ49="","",IF(AND(T49&lt;&gt;"",U49&lt;&gt;"Active (verified)"),"GST: escalate (no tax advice)",IF(AND(IFERROR(VALUE(LEFT(AJ49,2)),0)&gt;=5,AH49&lt;&gt;"YES",ISNUMBER(AN49),AN49&gt;SETTINGS!$B$14),"STUCK in onboarding","")))</f>
        <v/>
      </c>
    </row>
    <row r="50">
      <c r="A50" t="n">
        <v>49</v>
      </c>
      <c r="B50" t="inlineStr">
        <is>
          <t>UPK2-SD-298</t>
        </is>
      </c>
      <c r="C50" t="inlineStr">
        <is>
          <t>ORIKRIT</t>
        </is>
      </c>
      <c r="D50" t="inlineStr">
        <is>
          <t>Space &amp; Design</t>
        </is>
      </c>
      <c r="E50" t="inlineStr">
        <is>
          <t>SD-PRODUCT-MAKER</t>
        </is>
      </c>
      <c r="F50" t="inlineStr">
        <is>
          <t>Delhi NCR</t>
        </is>
      </c>
      <c r="G50" t="inlineStr">
        <is>
          <t>A</t>
        </is>
      </c>
      <c r="H50" t="inlineStr">
        <is>
          <t>P0</t>
        </is>
      </c>
      <c r="I50" t="inlineStr">
        <is>
          <t>under-discovered</t>
        </is>
      </c>
      <c r="J50" t="inlineStr">
        <is>
          <t>Personal 1:1 email from founder/team to published business email</t>
        </is>
      </c>
      <c r="K50" t="inlineStr">
        <is>
          <t>https://www.orikrit.com/contact-8</t>
        </is>
      </c>
      <c r="L50" t="inlineStr">
        <is>
          <t>W1 Founding cohort</t>
        </is>
      </c>
      <c r="M50" t="inlineStr"/>
      <c r="N50" t="inlineStr"/>
      <c r="O50" s="10" t="inlineStr"/>
      <c r="P50" s="10" t="inlineStr"/>
      <c r="Q50" s="10" t="inlineStr"/>
      <c r="R50" s="10" t="inlineStr"/>
      <c r="S50" t="inlineStr"/>
      <c r="T50" s="10" t="inlineStr"/>
      <c r="U50" t="inlineStr"/>
      <c r="V50" s="10" t="inlineStr"/>
      <c r="W50" s="10" t="inlineStr"/>
      <c r="X50" s="10" t="inlineStr"/>
      <c r="Y50" s="10" t="inlineStr"/>
      <c r="Z50" s="10" t="inlineStr"/>
      <c r="AA50" s="10" t="inlineStr"/>
      <c r="AB50" t="inlineStr"/>
      <c r="AC50" s="10" t="inlineStr"/>
      <c r="AD50" t="inlineStr"/>
      <c r="AE50" t="inlineStr"/>
      <c r="AF50" s="10" t="inlineStr"/>
      <c r="AG50" t="inlineStr"/>
      <c r="AH50">
        <f>IF(AND(B50="",C50=""),"",IF(AND(X50&lt;&gt;"",Y50&lt;&gt;"",Z50&lt;&gt;"",AA50&lt;&gt;"",AB50="Y"),"YES","no"))</f>
        <v/>
      </c>
      <c r="AI50" s="10">
        <f>IF(AH50="YES",MAX(X50,Y50,Z50,AA50),"")</f>
        <v/>
      </c>
      <c r="AJ50">
        <f>IF(AND(B50="",C50=""),"",IF(OR(S50="Not interested",S50="Opt-out / do not contact"),"X Declined / suppressed",IF(S50="Bounced / undeliverable","X Bounced — research",IF(AC50&lt;&gt;"","13 Transacting",IF(AH50="YES","12 ACTIVATED",IF(Z50&lt;&gt;"","11 Listing live",IF(Y50&lt;&gt;"","10 Profile complete",IF(X50&lt;&gt;"","9 Approved",IF(W50&lt;&gt;"","8 KYC submitted",IF(V50&lt;&gt;"","7 Registered",IF(T50&lt;&gt;"","5 Interested",IF(R50&lt;&gt;"","4 Responded",IF(O50&lt;&gt;"","2 Contacted","1 Not yet contacted")))))))))))))</f>
        <v/>
      </c>
      <c r="AK50" s="10">
        <f>IF(AF50&lt;&gt;"",AF50,IF(OR(O50="",R50&lt;&gt;"",LEFT(AJ50,1)="X"),"",IF(Q50&lt;&gt;"","",IF(P50&lt;&gt;"",P50+SETTINGS!$B$4,O50+SETTINGS!$B$3))))</f>
        <v/>
      </c>
      <c r="AL50">
        <f>IF(AJ50="","",IF(LEFT(AJ50,1)="X","None — do not contact",IF(AJ50="1 Not yet contacted","Verify route today, then send M1",IF(AND(R50="",Q50&lt;&gt;""),"Sequence complete — no contact before "&amp;TEXT(Q50+SETTINGS!$B$5,"yyyy-mm-dd"),IF(AND(R50="",P50&lt;&gt;""),"Send final note (M4)",IF(R50="","Send follow-up (M2)",IF(AJ50="12 ACTIVATED","7-day check-in; consent &amp; referral soft ask",IF(AJ50="13 Transacting","Repeat-activity support","Onboarding: move to next stage (see playbook §6)"))))))))</f>
        <v/>
      </c>
      <c r="AM50">
        <f>IF(ISNUMBER(AK50),IF(AK50&lt;=TODAY(),"DUE",""),"")</f>
        <v/>
      </c>
      <c r="AN50">
        <f>IF(COUNT(O50,P50,Q50,R50,T50,V50,W50,X50,Y50,Z50,AA50,AC50)=0,"",TODAY()-MAX(O50,P50,Q50,R50,T50,V50,W50,X50,Y50,Z50,AA50,AC50))</f>
        <v/>
      </c>
      <c r="AO50">
        <f>IF(AJ50="","",IF(AND(T50&lt;&gt;"",U50&lt;&gt;"Active (verified)"),"GST: escalate (no tax advice)",IF(AND(IFERROR(VALUE(LEFT(AJ50,2)),0)&gt;=5,AH50&lt;&gt;"YES",ISNUMBER(AN50),AN50&gt;SETTINGS!$B$14),"STUCK in onboarding","")))</f>
        <v/>
      </c>
    </row>
    <row r="51">
      <c r="A51" t="n">
        <v>50</v>
      </c>
      <c r="B51" t="inlineStr">
        <is>
          <t>UPK2-SD-317</t>
        </is>
      </c>
      <c r="C51" t="inlineStr">
        <is>
          <t>The Vernacular Modern (formerly Woodlabs)</t>
        </is>
      </c>
      <c r="D51" t="inlineStr">
        <is>
          <t>Space &amp; Design</t>
        </is>
      </c>
      <c r="E51" t="inlineStr">
        <is>
          <t>SD-PRODUCT-MAKER</t>
        </is>
      </c>
      <c r="F51" t="inlineStr">
        <is>
          <t>Bengaluru</t>
        </is>
      </c>
      <c r="G51" t="inlineStr">
        <is>
          <t>A</t>
        </is>
      </c>
      <c r="H51" t="inlineStr">
        <is>
          <t>P0</t>
        </is>
      </c>
      <c r="I51" t="inlineStr">
        <is>
          <t>under-discovered</t>
        </is>
      </c>
      <c r="J51" t="inlineStr">
        <is>
          <t>Personal 1:1 email from founder/team to published business email</t>
        </is>
      </c>
      <c r="K51" t="inlineStr">
        <is>
          <t>https://www.thevernacularmodern.com/</t>
        </is>
      </c>
      <c r="L51" t="inlineStr">
        <is>
          <t>W1 Founding cohort</t>
        </is>
      </c>
      <c r="M51" t="inlineStr"/>
      <c r="N51" t="inlineStr"/>
      <c r="O51" s="10" t="inlineStr"/>
      <c r="P51" s="10" t="inlineStr"/>
      <c r="Q51" s="10" t="inlineStr"/>
      <c r="R51" s="10" t="inlineStr"/>
      <c r="S51" t="inlineStr"/>
      <c r="T51" s="10" t="inlineStr"/>
      <c r="U51" t="inlineStr"/>
      <c r="V51" s="10" t="inlineStr"/>
      <c r="W51" s="10" t="inlineStr"/>
      <c r="X51" s="10" t="inlineStr"/>
      <c r="Y51" s="10" t="inlineStr"/>
      <c r="Z51" s="10" t="inlineStr"/>
      <c r="AA51" s="10" t="inlineStr"/>
      <c r="AB51" t="inlineStr"/>
      <c r="AC51" s="10" t="inlineStr"/>
      <c r="AD51" t="inlineStr"/>
      <c r="AE51" t="inlineStr"/>
      <c r="AF51" s="10" t="inlineStr"/>
      <c r="AG51" t="inlineStr"/>
      <c r="AH51">
        <f>IF(AND(B51="",C51=""),"",IF(AND(X51&lt;&gt;"",Y51&lt;&gt;"",Z51&lt;&gt;"",AA51&lt;&gt;"",AB51="Y"),"YES","no"))</f>
        <v/>
      </c>
      <c r="AI51" s="10">
        <f>IF(AH51="YES",MAX(X51,Y51,Z51,AA51),"")</f>
        <v/>
      </c>
      <c r="AJ51">
        <f>IF(AND(B51="",C51=""),"",IF(OR(S51="Not interested",S51="Opt-out / do not contact"),"X Declined / suppressed",IF(S51="Bounced / undeliverable","X Bounced — research",IF(AC51&lt;&gt;"","13 Transacting",IF(AH51="YES","12 ACTIVATED",IF(Z51&lt;&gt;"","11 Listing live",IF(Y51&lt;&gt;"","10 Profile complete",IF(X51&lt;&gt;"","9 Approved",IF(W51&lt;&gt;"","8 KYC submitted",IF(V51&lt;&gt;"","7 Registered",IF(T51&lt;&gt;"","5 Interested",IF(R51&lt;&gt;"","4 Responded",IF(O51&lt;&gt;"","2 Contacted","1 Not yet contacted")))))))))))))</f>
        <v/>
      </c>
      <c r="AK51" s="10">
        <f>IF(AF51&lt;&gt;"",AF51,IF(OR(O51="",R51&lt;&gt;"",LEFT(AJ51,1)="X"),"",IF(Q51&lt;&gt;"","",IF(P51&lt;&gt;"",P51+SETTINGS!$B$4,O51+SETTINGS!$B$3))))</f>
        <v/>
      </c>
      <c r="AL51">
        <f>IF(AJ51="","",IF(LEFT(AJ51,1)="X","None — do not contact",IF(AJ51="1 Not yet contacted","Verify route today, then send M1",IF(AND(R51="",Q51&lt;&gt;""),"Sequence complete — no contact before "&amp;TEXT(Q51+SETTINGS!$B$5,"yyyy-mm-dd"),IF(AND(R51="",P51&lt;&gt;""),"Send final note (M4)",IF(R51="","Send follow-up (M2)",IF(AJ51="12 ACTIVATED","7-day check-in; consent &amp; referral soft ask",IF(AJ51="13 Transacting","Repeat-activity support","Onboarding: move to next stage (see playbook §6)"))))))))</f>
        <v/>
      </c>
      <c r="AM51">
        <f>IF(ISNUMBER(AK51),IF(AK51&lt;=TODAY(),"DUE",""),"")</f>
        <v/>
      </c>
      <c r="AN51">
        <f>IF(COUNT(O51,P51,Q51,R51,T51,V51,W51,X51,Y51,Z51,AA51,AC51)=0,"",TODAY()-MAX(O51,P51,Q51,R51,T51,V51,W51,X51,Y51,Z51,AA51,AC51))</f>
        <v/>
      </c>
      <c r="AO51">
        <f>IF(AJ51="","",IF(AND(T51&lt;&gt;"",U51&lt;&gt;"Active (verified)"),"GST: escalate (no tax advice)",IF(AND(IFERROR(VALUE(LEFT(AJ51,2)),0)&gt;=5,AH51&lt;&gt;"YES",ISNUMBER(AN51),AN51&gt;SETTINGS!$B$14),"STUCK in onboarding","")))</f>
        <v/>
      </c>
    </row>
    <row r="52">
      <c r="A52" t="n">
        <v>51</v>
      </c>
      <c r="B52" t="inlineStr">
        <is>
          <t>UPK2-SD-340</t>
        </is>
      </c>
      <c r="C52" t="inlineStr">
        <is>
          <t>Ashni Studio</t>
        </is>
      </c>
      <c r="D52" t="inlineStr">
        <is>
          <t>Space &amp; Design</t>
        </is>
      </c>
      <c r="E52" t="inlineStr">
        <is>
          <t>SD-PRODUCT-MAKER</t>
        </is>
      </c>
      <c r="F52" t="inlineStr">
        <is>
          <t>Bengaluru</t>
        </is>
      </c>
      <c r="G52" t="inlineStr">
        <is>
          <t>A</t>
        </is>
      </c>
      <c r="H52" t="inlineStr">
        <is>
          <t>P0</t>
        </is>
      </c>
      <c r="I52" t="inlineStr">
        <is>
          <t>under-discovered</t>
        </is>
      </c>
      <c r="J52" t="inlineStr">
        <is>
          <t>Personal 1:1 email from founder/team to published business email</t>
        </is>
      </c>
      <c r="K52" t="inlineStr">
        <is>
          <t>https://ashnistudio.com/pages/contact</t>
        </is>
      </c>
      <c r="L52" t="inlineStr">
        <is>
          <t>W1 Founding cohort</t>
        </is>
      </c>
      <c r="M52" t="inlineStr"/>
      <c r="N52" t="inlineStr"/>
      <c r="O52" s="10" t="inlineStr"/>
      <c r="P52" s="10" t="inlineStr"/>
      <c r="Q52" s="10" t="inlineStr"/>
      <c r="R52" s="10" t="inlineStr"/>
      <c r="S52" t="inlineStr"/>
      <c r="T52" s="10" t="inlineStr"/>
      <c r="U52" t="inlineStr"/>
      <c r="V52" s="10" t="inlineStr"/>
      <c r="W52" s="10" t="inlineStr"/>
      <c r="X52" s="10" t="inlineStr"/>
      <c r="Y52" s="10" t="inlineStr"/>
      <c r="Z52" s="10" t="inlineStr"/>
      <c r="AA52" s="10" t="inlineStr"/>
      <c r="AB52" t="inlineStr"/>
      <c r="AC52" s="10" t="inlineStr"/>
      <c r="AD52" t="inlineStr"/>
      <c r="AE52" t="inlineStr"/>
      <c r="AF52" s="10" t="inlineStr"/>
      <c r="AG52" t="inlineStr"/>
      <c r="AH52">
        <f>IF(AND(B52="",C52=""),"",IF(AND(X52&lt;&gt;"",Y52&lt;&gt;"",Z52&lt;&gt;"",AA52&lt;&gt;"",AB52="Y"),"YES","no"))</f>
        <v/>
      </c>
      <c r="AI52" s="10">
        <f>IF(AH52="YES",MAX(X52,Y52,Z52,AA52),"")</f>
        <v/>
      </c>
      <c r="AJ52">
        <f>IF(AND(B52="",C52=""),"",IF(OR(S52="Not interested",S52="Opt-out / do not contact"),"X Declined / suppressed",IF(S52="Bounced / undeliverable","X Bounced — research",IF(AC52&lt;&gt;"","13 Transacting",IF(AH52="YES","12 ACTIVATED",IF(Z52&lt;&gt;"","11 Listing live",IF(Y52&lt;&gt;"","10 Profile complete",IF(X52&lt;&gt;"","9 Approved",IF(W52&lt;&gt;"","8 KYC submitted",IF(V52&lt;&gt;"","7 Registered",IF(T52&lt;&gt;"","5 Interested",IF(R52&lt;&gt;"","4 Responded",IF(O52&lt;&gt;"","2 Contacted","1 Not yet contacted")))))))))))))</f>
        <v/>
      </c>
      <c r="AK52" s="10">
        <f>IF(AF52&lt;&gt;"",AF52,IF(OR(O52="",R52&lt;&gt;"",LEFT(AJ52,1)="X"),"",IF(Q52&lt;&gt;"","",IF(P52&lt;&gt;"",P52+SETTINGS!$B$4,O52+SETTINGS!$B$3))))</f>
        <v/>
      </c>
      <c r="AL52">
        <f>IF(AJ52="","",IF(LEFT(AJ52,1)="X","None — do not contact",IF(AJ52="1 Not yet contacted","Verify route today, then send M1",IF(AND(R52="",Q52&lt;&gt;""),"Sequence complete — no contact before "&amp;TEXT(Q52+SETTINGS!$B$5,"yyyy-mm-dd"),IF(AND(R52="",P52&lt;&gt;""),"Send final note (M4)",IF(R52="","Send follow-up (M2)",IF(AJ52="12 ACTIVATED","7-day check-in; consent &amp; referral soft ask",IF(AJ52="13 Transacting","Repeat-activity support","Onboarding: move to next stage (see playbook §6)"))))))))</f>
        <v/>
      </c>
      <c r="AM52">
        <f>IF(ISNUMBER(AK52),IF(AK52&lt;=TODAY(),"DUE",""),"")</f>
        <v/>
      </c>
      <c r="AN52">
        <f>IF(COUNT(O52,P52,Q52,R52,T52,V52,W52,X52,Y52,Z52,AA52,AC52)=0,"",TODAY()-MAX(O52,P52,Q52,R52,T52,V52,W52,X52,Y52,Z52,AA52,AC52))</f>
        <v/>
      </c>
      <c r="AO52">
        <f>IF(AJ52="","",IF(AND(T52&lt;&gt;"",U52&lt;&gt;"Active (verified)"),"GST: escalate (no tax advice)",IF(AND(IFERROR(VALUE(LEFT(AJ52,2)),0)&gt;=5,AH52&lt;&gt;"YES",ISNUMBER(AN52),AN52&gt;SETTINGS!$B$14),"STUCK in onboarding","")))</f>
        <v/>
      </c>
    </row>
    <row r="53">
      <c r="A53" t="n">
        <v>52</v>
      </c>
      <c r="B53" t="inlineStr">
        <is>
          <t>UPK2-SD-428</t>
        </is>
      </c>
      <c r="C53" t="inlineStr">
        <is>
          <t>Objects In Space</t>
        </is>
      </c>
      <c r="D53" t="inlineStr">
        <is>
          <t>Space &amp; Design</t>
        </is>
      </c>
      <c r="E53" t="inlineStr">
        <is>
          <t>SD-PRODUCT-MAKER</t>
        </is>
      </c>
      <c r="F53" t="inlineStr">
        <is>
          <t>Delhi NCR</t>
        </is>
      </c>
      <c r="G53" t="inlineStr">
        <is>
          <t>A</t>
        </is>
      </c>
      <c r="H53" t="inlineStr">
        <is>
          <t>P0</t>
        </is>
      </c>
      <c r="I53" t="inlineStr">
        <is>
          <t>under-discovered</t>
        </is>
      </c>
      <c r="J53" t="inlineStr">
        <is>
          <t>1:1 message via own-website contact form</t>
        </is>
      </c>
      <c r="K53" t="inlineStr">
        <is>
          <t>https://objectsinspace.in/</t>
        </is>
      </c>
      <c r="L53" t="inlineStr">
        <is>
          <t>W1 Founding cohort</t>
        </is>
      </c>
      <c r="M53" t="inlineStr"/>
      <c r="N53" t="inlineStr"/>
      <c r="O53" s="10" t="inlineStr"/>
      <c r="P53" s="10" t="inlineStr"/>
      <c r="Q53" s="10" t="inlineStr"/>
      <c r="R53" s="10" t="inlineStr"/>
      <c r="S53" t="inlineStr"/>
      <c r="T53" s="10" t="inlineStr"/>
      <c r="U53" t="inlineStr"/>
      <c r="V53" s="10" t="inlineStr"/>
      <c r="W53" s="10" t="inlineStr"/>
      <c r="X53" s="10" t="inlineStr"/>
      <c r="Y53" s="10" t="inlineStr"/>
      <c r="Z53" s="10" t="inlineStr"/>
      <c r="AA53" s="10" t="inlineStr"/>
      <c r="AB53" t="inlineStr"/>
      <c r="AC53" s="10" t="inlineStr"/>
      <c r="AD53" t="inlineStr"/>
      <c r="AE53" t="inlineStr"/>
      <c r="AF53" s="10" t="inlineStr"/>
      <c r="AG53" t="inlineStr"/>
      <c r="AH53">
        <f>IF(AND(B53="",C53=""),"",IF(AND(X53&lt;&gt;"",Y53&lt;&gt;"",Z53&lt;&gt;"",AA53&lt;&gt;"",AB53="Y"),"YES","no"))</f>
        <v/>
      </c>
      <c r="AI53" s="10">
        <f>IF(AH53="YES",MAX(X53,Y53,Z53,AA53),"")</f>
        <v/>
      </c>
      <c r="AJ53">
        <f>IF(AND(B53="",C53=""),"",IF(OR(S53="Not interested",S53="Opt-out / do not contact"),"X Declined / suppressed",IF(S53="Bounced / undeliverable","X Bounced — research",IF(AC53&lt;&gt;"","13 Transacting",IF(AH53="YES","12 ACTIVATED",IF(Z53&lt;&gt;"","11 Listing live",IF(Y53&lt;&gt;"","10 Profile complete",IF(X53&lt;&gt;"","9 Approved",IF(W53&lt;&gt;"","8 KYC submitted",IF(V53&lt;&gt;"","7 Registered",IF(T53&lt;&gt;"","5 Interested",IF(R53&lt;&gt;"","4 Responded",IF(O53&lt;&gt;"","2 Contacted","1 Not yet contacted")))))))))))))</f>
        <v/>
      </c>
      <c r="AK53" s="10">
        <f>IF(AF53&lt;&gt;"",AF53,IF(OR(O53="",R53&lt;&gt;"",LEFT(AJ53,1)="X"),"",IF(Q53&lt;&gt;"","",IF(P53&lt;&gt;"",P53+SETTINGS!$B$4,O53+SETTINGS!$B$3))))</f>
        <v/>
      </c>
      <c r="AL53">
        <f>IF(AJ53="","",IF(LEFT(AJ53,1)="X","None — do not contact",IF(AJ53="1 Not yet contacted","Verify route today, then send M1",IF(AND(R53="",Q53&lt;&gt;""),"Sequence complete — no contact before "&amp;TEXT(Q53+SETTINGS!$B$5,"yyyy-mm-dd"),IF(AND(R53="",P53&lt;&gt;""),"Send final note (M4)",IF(R53="","Send follow-up (M2)",IF(AJ53="12 ACTIVATED","7-day check-in; consent &amp; referral soft ask",IF(AJ53="13 Transacting","Repeat-activity support","Onboarding: move to next stage (see playbook §6)"))))))))</f>
        <v/>
      </c>
      <c r="AM53">
        <f>IF(ISNUMBER(AK53),IF(AK53&lt;=TODAY(),"DUE",""),"")</f>
        <v/>
      </c>
      <c r="AN53">
        <f>IF(COUNT(O53,P53,Q53,R53,T53,V53,W53,X53,Y53,Z53,AA53,AC53)=0,"",TODAY()-MAX(O53,P53,Q53,R53,T53,V53,W53,X53,Y53,Z53,AA53,AC53))</f>
        <v/>
      </c>
      <c r="AO53">
        <f>IF(AJ53="","",IF(AND(T53&lt;&gt;"",U53&lt;&gt;"Active (verified)"),"GST: escalate (no tax advice)",IF(AND(IFERROR(VALUE(LEFT(AJ53,2)),0)&gt;=5,AH53&lt;&gt;"YES",ISNUMBER(AN53),AN53&gt;SETTINGS!$B$14),"STUCK in onboarding","")))</f>
        <v/>
      </c>
    </row>
    <row r="54">
      <c r="A54" t="n">
        <v>53</v>
      </c>
      <c r="B54" t="inlineStr">
        <is>
          <t>UPK2-SD-279</t>
        </is>
      </c>
      <c r="C54" t="inlineStr">
        <is>
          <t>Pasana</t>
        </is>
      </c>
      <c r="D54" t="inlineStr">
        <is>
          <t>Space &amp; Design</t>
        </is>
      </c>
      <c r="E54" t="inlineStr">
        <is>
          <t>SD-PRODUCT-MAKER</t>
        </is>
      </c>
      <c r="F54" t="inlineStr">
        <is>
          <t>Jaipur</t>
        </is>
      </c>
      <c r="G54" t="inlineStr">
        <is>
          <t>B</t>
        </is>
      </c>
      <c r="H54" t="inlineStr">
        <is>
          <t>P0</t>
        </is>
      </c>
      <c r="I54" t="inlineStr"/>
      <c r="J54" t="inlineStr">
        <is>
          <t>Personal 1:1 email from founder/team to published business email</t>
        </is>
      </c>
      <c r="K54" t="inlineStr">
        <is>
          <t>https://pasana.co.in/contact-us/</t>
        </is>
      </c>
      <c r="L54" t="inlineStr">
        <is>
          <t>W1 Founding cohort</t>
        </is>
      </c>
      <c r="M54" t="inlineStr"/>
      <c r="N54" t="inlineStr"/>
      <c r="O54" s="10" t="inlineStr"/>
      <c r="P54" s="10" t="inlineStr"/>
      <c r="Q54" s="10" t="inlineStr"/>
      <c r="R54" s="10" t="inlineStr"/>
      <c r="S54" t="inlineStr"/>
      <c r="T54" s="10" t="inlineStr"/>
      <c r="U54" t="inlineStr"/>
      <c r="V54" s="10" t="inlineStr"/>
      <c r="W54" s="10" t="inlineStr"/>
      <c r="X54" s="10" t="inlineStr"/>
      <c r="Y54" s="10" t="inlineStr"/>
      <c r="Z54" s="10" t="inlineStr"/>
      <c r="AA54" s="10" t="inlineStr"/>
      <c r="AB54" t="inlineStr"/>
      <c r="AC54" s="10" t="inlineStr"/>
      <c r="AD54" t="inlineStr"/>
      <c r="AE54" t="inlineStr"/>
      <c r="AF54" s="10" t="inlineStr"/>
      <c r="AG54" t="inlineStr"/>
      <c r="AH54">
        <f>IF(AND(B54="",C54=""),"",IF(AND(X54&lt;&gt;"",Y54&lt;&gt;"",Z54&lt;&gt;"",AA54&lt;&gt;"",AB54="Y"),"YES","no"))</f>
        <v/>
      </c>
      <c r="AI54" s="10">
        <f>IF(AH54="YES",MAX(X54,Y54,Z54,AA54),"")</f>
        <v/>
      </c>
      <c r="AJ54">
        <f>IF(AND(B54="",C54=""),"",IF(OR(S54="Not interested",S54="Opt-out / do not contact"),"X Declined / suppressed",IF(S54="Bounced / undeliverable","X Bounced — research",IF(AC54&lt;&gt;"","13 Transacting",IF(AH54="YES","12 ACTIVATED",IF(Z54&lt;&gt;"","11 Listing live",IF(Y54&lt;&gt;"","10 Profile complete",IF(X54&lt;&gt;"","9 Approved",IF(W54&lt;&gt;"","8 KYC submitted",IF(V54&lt;&gt;"","7 Registered",IF(T54&lt;&gt;"","5 Interested",IF(R54&lt;&gt;"","4 Responded",IF(O54&lt;&gt;"","2 Contacted","1 Not yet contacted")))))))))))))</f>
        <v/>
      </c>
      <c r="AK54" s="10">
        <f>IF(AF54&lt;&gt;"",AF54,IF(OR(O54="",R54&lt;&gt;"",LEFT(AJ54,1)="X"),"",IF(Q54&lt;&gt;"","",IF(P54&lt;&gt;"",P54+SETTINGS!$B$4,O54+SETTINGS!$B$3))))</f>
        <v/>
      </c>
      <c r="AL54">
        <f>IF(AJ54="","",IF(LEFT(AJ54,1)="X","None — do not contact",IF(AJ54="1 Not yet contacted","Verify route today, then send M1",IF(AND(R54="",Q54&lt;&gt;""),"Sequence complete — no contact before "&amp;TEXT(Q54+SETTINGS!$B$5,"yyyy-mm-dd"),IF(AND(R54="",P54&lt;&gt;""),"Send final note (M4)",IF(R54="","Send follow-up (M2)",IF(AJ54="12 ACTIVATED","7-day check-in; consent &amp; referral soft ask",IF(AJ54="13 Transacting","Repeat-activity support","Onboarding: move to next stage (see playbook §6)"))))))))</f>
        <v/>
      </c>
      <c r="AM54">
        <f>IF(ISNUMBER(AK54),IF(AK54&lt;=TODAY(),"DUE",""),"")</f>
        <v/>
      </c>
      <c r="AN54">
        <f>IF(COUNT(O54,P54,Q54,R54,T54,V54,W54,X54,Y54,Z54,AA54,AC54)=0,"",TODAY()-MAX(O54,P54,Q54,R54,T54,V54,W54,X54,Y54,Z54,AA54,AC54))</f>
        <v/>
      </c>
      <c r="AO54">
        <f>IF(AJ54="","",IF(AND(T54&lt;&gt;"",U54&lt;&gt;"Active (verified)"),"GST: escalate (no tax advice)",IF(AND(IFERROR(VALUE(LEFT(AJ54,2)),0)&gt;=5,AH54&lt;&gt;"YES",ISNUMBER(AN54),AN54&gt;SETTINGS!$B$14),"STUCK in onboarding","")))</f>
        <v/>
      </c>
    </row>
    <row r="55">
      <c r="A55" t="n">
        <v>54</v>
      </c>
      <c r="B55" t="inlineStr">
        <is>
          <t>UPK2-SD-281</t>
        </is>
      </c>
      <c r="C55" t="inlineStr">
        <is>
          <t>Mohh</t>
        </is>
      </c>
      <c r="D55" t="inlineStr">
        <is>
          <t>Space &amp; Design</t>
        </is>
      </c>
      <c r="E55" t="inlineStr">
        <is>
          <t>SD-PRODUCT-MAKER</t>
        </is>
      </c>
      <c r="F55" t="inlineStr">
        <is>
          <t>Delhi NCR</t>
        </is>
      </c>
      <c r="G55" t="inlineStr">
        <is>
          <t>B</t>
        </is>
      </c>
      <c r="H55" t="inlineStr">
        <is>
          <t>P0</t>
        </is>
      </c>
      <c r="I55" t="inlineStr"/>
      <c r="J55" t="inlineStr">
        <is>
          <t>Personal 1:1 email from founder/team to published business email</t>
        </is>
      </c>
      <c r="K55" t="inlineStr">
        <is>
          <t>https://mohh.com/pages/contact</t>
        </is>
      </c>
      <c r="L55" t="inlineStr">
        <is>
          <t>W1 Founding cohort</t>
        </is>
      </c>
      <c r="M55" t="inlineStr"/>
      <c r="N55" t="inlineStr"/>
      <c r="O55" s="10" t="inlineStr"/>
      <c r="P55" s="10" t="inlineStr"/>
      <c r="Q55" s="10" t="inlineStr"/>
      <c r="R55" s="10" t="inlineStr"/>
      <c r="S55" t="inlineStr"/>
      <c r="T55" s="10" t="inlineStr"/>
      <c r="U55" t="inlineStr"/>
      <c r="V55" s="10" t="inlineStr"/>
      <c r="W55" s="10" t="inlineStr"/>
      <c r="X55" s="10" t="inlineStr"/>
      <c r="Y55" s="10" t="inlineStr"/>
      <c r="Z55" s="10" t="inlineStr"/>
      <c r="AA55" s="10" t="inlineStr"/>
      <c r="AB55" t="inlineStr"/>
      <c r="AC55" s="10" t="inlineStr"/>
      <c r="AD55" t="inlineStr"/>
      <c r="AE55" t="inlineStr"/>
      <c r="AF55" s="10" t="inlineStr"/>
      <c r="AG55" t="inlineStr"/>
      <c r="AH55">
        <f>IF(AND(B55="",C55=""),"",IF(AND(X55&lt;&gt;"",Y55&lt;&gt;"",Z55&lt;&gt;"",AA55&lt;&gt;"",AB55="Y"),"YES","no"))</f>
        <v/>
      </c>
      <c r="AI55" s="10">
        <f>IF(AH55="YES",MAX(X55,Y55,Z55,AA55),"")</f>
        <v/>
      </c>
      <c r="AJ55">
        <f>IF(AND(B55="",C55=""),"",IF(OR(S55="Not interested",S55="Opt-out / do not contact"),"X Declined / suppressed",IF(S55="Bounced / undeliverable","X Bounced — research",IF(AC55&lt;&gt;"","13 Transacting",IF(AH55="YES","12 ACTIVATED",IF(Z55&lt;&gt;"","11 Listing live",IF(Y55&lt;&gt;"","10 Profile complete",IF(X55&lt;&gt;"","9 Approved",IF(W55&lt;&gt;"","8 KYC submitted",IF(V55&lt;&gt;"","7 Registered",IF(T55&lt;&gt;"","5 Interested",IF(R55&lt;&gt;"","4 Responded",IF(O55&lt;&gt;"","2 Contacted","1 Not yet contacted")))))))))))))</f>
        <v/>
      </c>
      <c r="AK55" s="10">
        <f>IF(AF55&lt;&gt;"",AF55,IF(OR(O55="",R55&lt;&gt;"",LEFT(AJ55,1)="X"),"",IF(Q55&lt;&gt;"","",IF(P55&lt;&gt;"",P55+SETTINGS!$B$4,O55+SETTINGS!$B$3))))</f>
        <v/>
      </c>
      <c r="AL55">
        <f>IF(AJ55="","",IF(LEFT(AJ55,1)="X","None — do not contact",IF(AJ55="1 Not yet contacted","Verify route today, then send M1",IF(AND(R55="",Q55&lt;&gt;""),"Sequence complete — no contact before "&amp;TEXT(Q55+SETTINGS!$B$5,"yyyy-mm-dd"),IF(AND(R55="",P55&lt;&gt;""),"Send final note (M4)",IF(R55="","Send follow-up (M2)",IF(AJ55="12 ACTIVATED","7-day check-in; consent &amp; referral soft ask",IF(AJ55="13 Transacting","Repeat-activity support","Onboarding: move to next stage (see playbook §6)"))))))))</f>
        <v/>
      </c>
      <c r="AM55">
        <f>IF(ISNUMBER(AK55),IF(AK55&lt;=TODAY(),"DUE",""),"")</f>
        <v/>
      </c>
      <c r="AN55">
        <f>IF(COUNT(O55,P55,Q55,R55,T55,V55,W55,X55,Y55,Z55,AA55,AC55)=0,"",TODAY()-MAX(O55,P55,Q55,R55,T55,V55,W55,X55,Y55,Z55,AA55,AC55))</f>
        <v/>
      </c>
      <c r="AO55">
        <f>IF(AJ55="","",IF(AND(T55&lt;&gt;"",U55&lt;&gt;"Active (verified)"),"GST: escalate (no tax advice)",IF(AND(IFERROR(VALUE(LEFT(AJ55,2)),0)&gt;=5,AH55&lt;&gt;"YES",ISNUMBER(AN55),AN55&gt;SETTINGS!$B$14),"STUCK in onboarding","")))</f>
        <v/>
      </c>
    </row>
    <row r="56">
      <c r="A56" t="n">
        <v>55</v>
      </c>
      <c r="B56" t="inlineStr">
        <is>
          <t>UPK2-SD-005</t>
        </is>
      </c>
      <c r="C56" t="inlineStr">
        <is>
          <t>The Concreate Story</t>
        </is>
      </c>
      <c r="D56" t="inlineStr">
        <is>
          <t>Space &amp; Design</t>
        </is>
      </c>
      <c r="E56" t="inlineStr">
        <is>
          <t>SD-ARCHITECTURE</t>
        </is>
      </c>
      <c r="F56" t="inlineStr">
        <is>
          <t>Delhi NCR</t>
        </is>
      </c>
      <c r="G56" t="inlineStr">
        <is>
          <t>B</t>
        </is>
      </c>
      <c r="H56" t="inlineStr">
        <is>
          <t>P0</t>
        </is>
      </c>
      <c r="I56" t="inlineStr"/>
      <c r="J56" t="inlineStr">
        <is>
          <t>Personal 1:1 email from founder/team to published business email</t>
        </is>
      </c>
      <c r="K56" t="inlineStr">
        <is>
          <t>https://theconcreatestory.in/contact</t>
        </is>
      </c>
      <c r="L56" t="inlineStr">
        <is>
          <t>W1 Founding cohort</t>
        </is>
      </c>
      <c r="M56" t="inlineStr"/>
      <c r="N56" t="inlineStr"/>
      <c r="O56" s="10" t="inlineStr"/>
      <c r="P56" s="10" t="inlineStr"/>
      <c r="Q56" s="10" t="inlineStr"/>
      <c r="R56" s="10" t="inlineStr"/>
      <c r="S56" t="inlineStr"/>
      <c r="T56" s="10" t="inlineStr"/>
      <c r="U56" t="inlineStr"/>
      <c r="V56" s="10" t="inlineStr"/>
      <c r="W56" s="10" t="inlineStr"/>
      <c r="X56" s="10" t="inlineStr"/>
      <c r="Y56" s="10" t="inlineStr"/>
      <c r="Z56" s="10" t="inlineStr"/>
      <c r="AA56" s="10" t="inlineStr"/>
      <c r="AB56" t="inlineStr"/>
      <c r="AC56" s="10" t="inlineStr"/>
      <c r="AD56" t="inlineStr"/>
      <c r="AE56" t="inlineStr"/>
      <c r="AF56" s="10" t="inlineStr"/>
      <c r="AG56" t="inlineStr"/>
      <c r="AH56">
        <f>IF(AND(B56="",C56=""),"",IF(AND(X56&lt;&gt;"",Y56&lt;&gt;"",Z56&lt;&gt;"",AA56&lt;&gt;"",AB56="Y"),"YES","no"))</f>
        <v/>
      </c>
      <c r="AI56" s="10">
        <f>IF(AH56="YES",MAX(X56,Y56,Z56,AA56),"")</f>
        <v/>
      </c>
      <c r="AJ56">
        <f>IF(AND(B56="",C56=""),"",IF(OR(S56="Not interested",S56="Opt-out / do not contact"),"X Declined / suppressed",IF(S56="Bounced / undeliverable","X Bounced — research",IF(AC56&lt;&gt;"","13 Transacting",IF(AH56="YES","12 ACTIVATED",IF(Z56&lt;&gt;"","11 Listing live",IF(Y56&lt;&gt;"","10 Profile complete",IF(X56&lt;&gt;"","9 Approved",IF(W56&lt;&gt;"","8 KYC submitted",IF(V56&lt;&gt;"","7 Registered",IF(T56&lt;&gt;"","5 Interested",IF(R56&lt;&gt;"","4 Responded",IF(O56&lt;&gt;"","2 Contacted","1 Not yet contacted")))))))))))))</f>
        <v/>
      </c>
      <c r="AK56" s="10">
        <f>IF(AF56&lt;&gt;"",AF56,IF(OR(O56="",R56&lt;&gt;"",LEFT(AJ56,1)="X"),"",IF(Q56&lt;&gt;"","",IF(P56&lt;&gt;"",P56+SETTINGS!$B$4,O56+SETTINGS!$B$3))))</f>
        <v/>
      </c>
      <c r="AL56">
        <f>IF(AJ56="","",IF(LEFT(AJ56,1)="X","None — do not contact",IF(AJ56="1 Not yet contacted","Verify route today, then send M1",IF(AND(R56="",Q56&lt;&gt;""),"Sequence complete — no contact before "&amp;TEXT(Q56+SETTINGS!$B$5,"yyyy-mm-dd"),IF(AND(R56="",P56&lt;&gt;""),"Send final note (M4)",IF(R56="","Send follow-up (M2)",IF(AJ56="12 ACTIVATED","7-day check-in; consent &amp; referral soft ask",IF(AJ56="13 Transacting","Repeat-activity support","Onboarding: move to next stage (see playbook §6)"))))))))</f>
        <v/>
      </c>
      <c r="AM56">
        <f>IF(ISNUMBER(AK56),IF(AK56&lt;=TODAY(),"DUE",""),"")</f>
        <v/>
      </c>
      <c r="AN56">
        <f>IF(COUNT(O56,P56,Q56,R56,T56,V56,W56,X56,Y56,Z56,AA56,AC56)=0,"",TODAY()-MAX(O56,P56,Q56,R56,T56,V56,W56,X56,Y56,Z56,AA56,AC56))</f>
        <v/>
      </c>
      <c r="AO56">
        <f>IF(AJ56="","",IF(AND(T56&lt;&gt;"",U56&lt;&gt;"Active (verified)"),"GST: escalate (no tax advice)",IF(AND(IFERROR(VALUE(LEFT(AJ56,2)),0)&gt;=5,AH56&lt;&gt;"YES",ISNUMBER(AN56),AN56&gt;SETTINGS!$B$14),"STUCK in onboarding","")))</f>
        <v/>
      </c>
    </row>
    <row r="57">
      <c r="A57" t="n">
        <v>56</v>
      </c>
      <c r="B57" t="inlineStr">
        <is>
          <t>UPK2-SD-030</t>
        </is>
      </c>
      <c r="C57" t="inlineStr">
        <is>
          <t>Studio Windows To Vernacular</t>
        </is>
      </c>
      <c r="D57" t="inlineStr">
        <is>
          <t>Space &amp; Design</t>
        </is>
      </c>
      <c r="E57" t="inlineStr">
        <is>
          <t>SD-ARCHITECTURE</t>
        </is>
      </c>
      <c r="F57" t="inlineStr">
        <is>
          <t>Delhi NCR</t>
        </is>
      </c>
      <c r="G57" t="inlineStr">
        <is>
          <t>B</t>
        </is>
      </c>
      <c r="H57" t="inlineStr">
        <is>
          <t>P0</t>
        </is>
      </c>
      <c r="I57" t="inlineStr"/>
      <c r="J57" t="inlineStr">
        <is>
          <t>Personal 1:1 email from founder/team to published business email</t>
        </is>
      </c>
      <c r="K57" t="inlineStr">
        <is>
          <t>https://www.windowstovernacular.com/</t>
        </is>
      </c>
      <c r="L57" t="inlineStr">
        <is>
          <t>W1 Founding cohort</t>
        </is>
      </c>
      <c r="M57" t="inlineStr"/>
      <c r="N57" t="inlineStr"/>
      <c r="O57" s="10" t="inlineStr"/>
      <c r="P57" s="10" t="inlineStr"/>
      <c r="Q57" s="10" t="inlineStr"/>
      <c r="R57" s="10" t="inlineStr"/>
      <c r="S57" t="inlineStr"/>
      <c r="T57" s="10" t="inlineStr"/>
      <c r="U57" t="inlineStr"/>
      <c r="V57" s="10" t="inlineStr"/>
      <c r="W57" s="10" t="inlineStr"/>
      <c r="X57" s="10" t="inlineStr"/>
      <c r="Y57" s="10" t="inlineStr"/>
      <c r="Z57" s="10" t="inlineStr"/>
      <c r="AA57" s="10" t="inlineStr"/>
      <c r="AB57" t="inlineStr"/>
      <c r="AC57" s="10" t="inlineStr"/>
      <c r="AD57" t="inlineStr"/>
      <c r="AE57" t="inlineStr"/>
      <c r="AF57" s="10" t="inlineStr"/>
      <c r="AG57" t="inlineStr"/>
      <c r="AH57">
        <f>IF(AND(B57="",C57=""),"",IF(AND(X57&lt;&gt;"",Y57&lt;&gt;"",Z57&lt;&gt;"",AA57&lt;&gt;"",AB57="Y"),"YES","no"))</f>
        <v/>
      </c>
      <c r="AI57" s="10">
        <f>IF(AH57="YES",MAX(X57,Y57,Z57,AA57),"")</f>
        <v/>
      </c>
      <c r="AJ57">
        <f>IF(AND(B57="",C57=""),"",IF(OR(S57="Not interested",S57="Opt-out / do not contact"),"X Declined / suppressed",IF(S57="Bounced / undeliverable","X Bounced — research",IF(AC57&lt;&gt;"","13 Transacting",IF(AH57="YES","12 ACTIVATED",IF(Z57&lt;&gt;"","11 Listing live",IF(Y57&lt;&gt;"","10 Profile complete",IF(X57&lt;&gt;"","9 Approved",IF(W57&lt;&gt;"","8 KYC submitted",IF(V57&lt;&gt;"","7 Registered",IF(T57&lt;&gt;"","5 Interested",IF(R57&lt;&gt;"","4 Responded",IF(O57&lt;&gt;"","2 Contacted","1 Not yet contacted")))))))))))))</f>
        <v/>
      </c>
      <c r="AK57" s="10">
        <f>IF(AF57&lt;&gt;"",AF57,IF(OR(O57="",R57&lt;&gt;"",LEFT(AJ57,1)="X"),"",IF(Q57&lt;&gt;"","",IF(P57&lt;&gt;"",P57+SETTINGS!$B$4,O57+SETTINGS!$B$3))))</f>
        <v/>
      </c>
      <c r="AL57">
        <f>IF(AJ57="","",IF(LEFT(AJ57,1)="X","None — do not contact",IF(AJ57="1 Not yet contacted","Verify route today, then send M1",IF(AND(R57="",Q57&lt;&gt;""),"Sequence complete — no contact before "&amp;TEXT(Q57+SETTINGS!$B$5,"yyyy-mm-dd"),IF(AND(R57="",P57&lt;&gt;""),"Send final note (M4)",IF(R57="","Send follow-up (M2)",IF(AJ57="12 ACTIVATED","7-day check-in; consent &amp; referral soft ask",IF(AJ57="13 Transacting","Repeat-activity support","Onboarding: move to next stage (see playbook §6)"))))))))</f>
        <v/>
      </c>
      <c r="AM57">
        <f>IF(ISNUMBER(AK57),IF(AK57&lt;=TODAY(),"DUE",""),"")</f>
        <v/>
      </c>
      <c r="AN57">
        <f>IF(COUNT(O57,P57,Q57,R57,T57,V57,W57,X57,Y57,Z57,AA57,AC57)=0,"",TODAY()-MAX(O57,P57,Q57,R57,T57,V57,W57,X57,Y57,Z57,AA57,AC57))</f>
        <v/>
      </c>
      <c r="AO57">
        <f>IF(AJ57="","",IF(AND(T57&lt;&gt;"",U57&lt;&gt;"Active (verified)"),"GST: escalate (no tax advice)",IF(AND(IFERROR(VALUE(LEFT(AJ57,2)),0)&gt;=5,AH57&lt;&gt;"YES",ISNUMBER(AN57),AN57&gt;SETTINGS!$B$14),"STUCK in onboarding","")))</f>
        <v/>
      </c>
    </row>
    <row r="58">
      <c r="A58" t="n">
        <v>57</v>
      </c>
      <c r="B58" t="inlineStr">
        <is>
          <t>UPK2-SD-050</t>
        </is>
      </c>
      <c r="C58" t="inlineStr">
        <is>
          <t>Studio Navya (Navya &amp; a Quarter)</t>
        </is>
      </c>
      <c r="D58" t="inlineStr">
        <is>
          <t>Space &amp; Design</t>
        </is>
      </c>
      <c r="E58" t="inlineStr">
        <is>
          <t>SD-INTERIOR</t>
        </is>
      </c>
      <c r="F58" t="inlineStr">
        <is>
          <t>Delhi NCR</t>
        </is>
      </c>
      <c r="G58" t="inlineStr">
        <is>
          <t>A</t>
        </is>
      </c>
      <c r="H58" t="inlineStr">
        <is>
          <t>P0</t>
        </is>
      </c>
      <c r="I58" t="inlineStr">
        <is>
          <t>under-discovered</t>
        </is>
      </c>
      <c r="J58" t="inlineStr">
        <is>
          <t>Personal 1:1 email from founder/team to published business email</t>
        </is>
      </c>
      <c r="K58" t="inlineStr">
        <is>
          <t>https://www.navya.studio/</t>
        </is>
      </c>
      <c r="L58" t="inlineStr">
        <is>
          <t>W1 Founding cohort</t>
        </is>
      </c>
      <c r="M58" t="inlineStr"/>
      <c r="N58" t="inlineStr"/>
      <c r="O58" s="10" t="inlineStr"/>
      <c r="P58" s="10" t="inlineStr"/>
      <c r="Q58" s="10" t="inlineStr"/>
      <c r="R58" s="10" t="inlineStr"/>
      <c r="S58" t="inlineStr"/>
      <c r="T58" s="10" t="inlineStr"/>
      <c r="U58" t="inlineStr"/>
      <c r="V58" s="10" t="inlineStr"/>
      <c r="W58" s="10" t="inlineStr"/>
      <c r="X58" s="10" t="inlineStr"/>
      <c r="Y58" s="10" t="inlineStr"/>
      <c r="Z58" s="10" t="inlineStr"/>
      <c r="AA58" s="10" t="inlineStr"/>
      <c r="AB58" t="inlineStr"/>
      <c r="AC58" s="10" t="inlineStr"/>
      <c r="AD58" t="inlineStr"/>
      <c r="AE58" t="inlineStr"/>
      <c r="AF58" s="10" t="inlineStr"/>
      <c r="AG58" t="inlineStr"/>
      <c r="AH58">
        <f>IF(AND(B58="",C58=""),"",IF(AND(X58&lt;&gt;"",Y58&lt;&gt;"",Z58&lt;&gt;"",AA58&lt;&gt;"",AB58="Y"),"YES","no"))</f>
        <v/>
      </c>
      <c r="AI58" s="10">
        <f>IF(AH58="YES",MAX(X58,Y58,Z58,AA58),"")</f>
        <v/>
      </c>
      <c r="AJ58">
        <f>IF(AND(B58="",C58=""),"",IF(OR(S58="Not interested",S58="Opt-out / do not contact"),"X Declined / suppressed",IF(S58="Bounced / undeliverable","X Bounced — research",IF(AC58&lt;&gt;"","13 Transacting",IF(AH58="YES","12 ACTIVATED",IF(Z58&lt;&gt;"","11 Listing live",IF(Y58&lt;&gt;"","10 Profile complete",IF(X58&lt;&gt;"","9 Approved",IF(W58&lt;&gt;"","8 KYC submitted",IF(V58&lt;&gt;"","7 Registered",IF(T58&lt;&gt;"","5 Interested",IF(R58&lt;&gt;"","4 Responded",IF(O58&lt;&gt;"","2 Contacted","1 Not yet contacted")))))))))))))</f>
        <v/>
      </c>
      <c r="AK58" s="10">
        <f>IF(AF58&lt;&gt;"",AF58,IF(OR(O58="",R58&lt;&gt;"",LEFT(AJ58,1)="X"),"",IF(Q58&lt;&gt;"","",IF(P58&lt;&gt;"",P58+SETTINGS!$B$4,O58+SETTINGS!$B$3))))</f>
        <v/>
      </c>
      <c r="AL58">
        <f>IF(AJ58="","",IF(LEFT(AJ58,1)="X","None — do not contact",IF(AJ58="1 Not yet contacted","Verify route today, then send M1",IF(AND(R58="",Q58&lt;&gt;""),"Sequence complete — no contact before "&amp;TEXT(Q58+SETTINGS!$B$5,"yyyy-mm-dd"),IF(AND(R58="",P58&lt;&gt;""),"Send final note (M4)",IF(R58="","Send follow-up (M2)",IF(AJ58="12 ACTIVATED","7-day check-in; consent &amp; referral soft ask",IF(AJ58="13 Transacting","Repeat-activity support","Onboarding: move to next stage (see playbook §6)"))))))))</f>
        <v/>
      </c>
      <c r="AM58">
        <f>IF(ISNUMBER(AK58),IF(AK58&lt;=TODAY(),"DUE",""),"")</f>
        <v/>
      </c>
      <c r="AN58">
        <f>IF(COUNT(O58,P58,Q58,R58,T58,V58,W58,X58,Y58,Z58,AA58,AC58)=0,"",TODAY()-MAX(O58,P58,Q58,R58,T58,V58,W58,X58,Y58,Z58,AA58,AC58))</f>
        <v/>
      </c>
      <c r="AO58">
        <f>IF(AJ58="","",IF(AND(T58&lt;&gt;"",U58&lt;&gt;"Active (verified)"),"GST: escalate (no tax advice)",IF(AND(IFERROR(VALUE(LEFT(AJ58,2)),0)&gt;=5,AH58&lt;&gt;"YES",ISNUMBER(AN58),AN58&gt;SETTINGS!$B$14),"STUCK in onboarding","")))</f>
        <v/>
      </c>
    </row>
    <row r="59">
      <c r="A59" t="n">
        <v>58</v>
      </c>
      <c r="B59" t="inlineStr">
        <is>
          <t>UPK2-SD-064</t>
        </is>
      </c>
      <c r="C59" t="inlineStr">
        <is>
          <t>Saachi Rana Design Studio</t>
        </is>
      </c>
      <c r="D59" t="inlineStr">
        <is>
          <t>Space &amp; Design</t>
        </is>
      </c>
      <c r="E59" t="inlineStr">
        <is>
          <t>SD-INTERIOR</t>
        </is>
      </c>
      <c r="F59" t="inlineStr">
        <is>
          <t>Delhi NCR</t>
        </is>
      </c>
      <c r="G59" t="inlineStr">
        <is>
          <t>A</t>
        </is>
      </c>
      <c r="H59" t="inlineStr">
        <is>
          <t>P0</t>
        </is>
      </c>
      <c r="I59" t="inlineStr">
        <is>
          <t>under-discovered</t>
        </is>
      </c>
      <c r="J59" t="inlineStr">
        <is>
          <t>Personal 1:1 email from founder/team to published business email</t>
        </is>
      </c>
      <c r="K59" t="inlineStr">
        <is>
          <t>https://www.saachirana.com/contact</t>
        </is>
      </c>
      <c r="L59" t="inlineStr">
        <is>
          <t>W1 Founding cohort</t>
        </is>
      </c>
      <c r="M59" t="inlineStr"/>
      <c r="N59" t="inlineStr"/>
      <c r="O59" s="10" t="inlineStr"/>
      <c r="P59" s="10" t="inlineStr"/>
      <c r="Q59" s="10" t="inlineStr"/>
      <c r="R59" s="10" t="inlineStr"/>
      <c r="S59" t="inlineStr"/>
      <c r="T59" s="10" t="inlineStr"/>
      <c r="U59" t="inlineStr"/>
      <c r="V59" s="10" t="inlineStr"/>
      <c r="W59" s="10" t="inlineStr"/>
      <c r="X59" s="10" t="inlineStr"/>
      <c r="Y59" s="10" t="inlineStr"/>
      <c r="Z59" s="10" t="inlineStr"/>
      <c r="AA59" s="10" t="inlineStr"/>
      <c r="AB59" t="inlineStr"/>
      <c r="AC59" s="10" t="inlineStr"/>
      <c r="AD59" t="inlineStr"/>
      <c r="AE59" t="inlineStr"/>
      <c r="AF59" s="10" t="inlineStr"/>
      <c r="AG59" t="inlineStr"/>
      <c r="AH59">
        <f>IF(AND(B59="",C59=""),"",IF(AND(X59&lt;&gt;"",Y59&lt;&gt;"",Z59&lt;&gt;"",AA59&lt;&gt;"",AB59="Y"),"YES","no"))</f>
        <v/>
      </c>
      <c r="AI59" s="10">
        <f>IF(AH59="YES",MAX(X59,Y59,Z59,AA59),"")</f>
        <v/>
      </c>
      <c r="AJ59">
        <f>IF(AND(B59="",C59=""),"",IF(OR(S59="Not interested",S59="Opt-out / do not contact"),"X Declined / suppressed",IF(S59="Bounced / undeliverable","X Bounced — research",IF(AC59&lt;&gt;"","13 Transacting",IF(AH59="YES","12 ACTIVATED",IF(Z59&lt;&gt;"","11 Listing live",IF(Y59&lt;&gt;"","10 Profile complete",IF(X59&lt;&gt;"","9 Approved",IF(W59&lt;&gt;"","8 KYC submitted",IF(V59&lt;&gt;"","7 Registered",IF(T59&lt;&gt;"","5 Interested",IF(R59&lt;&gt;"","4 Responded",IF(O59&lt;&gt;"","2 Contacted","1 Not yet contacted")))))))))))))</f>
        <v/>
      </c>
      <c r="AK59" s="10">
        <f>IF(AF59&lt;&gt;"",AF59,IF(OR(O59="",R59&lt;&gt;"",LEFT(AJ59,1)="X"),"",IF(Q59&lt;&gt;"","",IF(P59&lt;&gt;"",P59+SETTINGS!$B$4,O59+SETTINGS!$B$3))))</f>
        <v/>
      </c>
      <c r="AL59">
        <f>IF(AJ59="","",IF(LEFT(AJ59,1)="X","None — do not contact",IF(AJ59="1 Not yet contacted","Verify route today, then send M1",IF(AND(R59="",Q59&lt;&gt;""),"Sequence complete — no contact before "&amp;TEXT(Q59+SETTINGS!$B$5,"yyyy-mm-dd"),IF(AND(R59="",P59&lt;&gt;""),"Send final note (M4)",IF(R59="","Send follow-up (M2)",IF(AJ59="12 ACTIVATED","7-day check-in; consent &amp; referral soft ask",IF(AJ59="13 Transacting","Repeat-activity support","Onboarding: move to next stage (see playbook §6)"))))))))</f>
        <v/>
      </c>
      <c r="AM59">
        <f>IF(ISNUMBER(AK59),IF(AK59&lt;=TODAY(),"DUE",""),"")</f>
        <v/>
      </c>
      <c r="AN59">
        <f>IF(COUNT(O59,P59,Q59,R59,T59,V59,W59,X59,Y59,Z59,AA59,AC59)=0,"",TODAY()-MAX(O59,P59,Q59,R59,T59,V59,W59,X59,Y59,Z59,AA59,AC59))</f>
        <v/>
      </c>
      <c r="AO59">
        <f>IF(AJ59="","",IF(AND(T59&lt;&gt;"",U59&lt;&gt;"Active (verified)"),"GST: escalate (no tax advice)",IF(AND(IFERROR(VALUE(LEFT(AJ59,2)),0)&gt;=5,AH59&lt;&gt;"YES",ISNUMBER(AN59),AN59&gt;SETTINGS!$B$14),"STUCK in onboarding","")))</f>
        <v/>
      </c>
    </row>
    <row r="60">
      <c r="A60" t="n">
        <v>59</v>
      </c>
      <c r="B60" t="inlineStr">
        <is>
          <t>UPK2-SD-002</t>
        </is>
      </c>
      <c r="C60" t="inlineStr">
        <is>
          <t>Logic Design + Build</t>
        </is>
      </c>
      <c r="D60" t="inlineStr">
        <is>
          <t>Space &amp; Design</t>
        </is>
      </c>
      <c r="E60" t="inlineStr">
        <is>
          <t>SD-ARCHITECTURE</t>
        </is>
      </c>
      <c r="F60" t="inlineStr">
        <is>
          <t>Delhi NCR</t>
        </is>
      </c>
      <c r="G60" t="inlineStr">
        <is>
          <t>C</t>
        </is>
      </c>
      <c r="H60" t="inlineStr">
        <is>
          <t>P0</t>
        </is>
      </c>
      <c r="I60" t="inlineStr"/>
      <c r="J60" t="inlineStr">
        <is>
          <t>Personal 1:1 email from founder/team to published business email</t>
        </is>
      </c>
      <c r="K60" t="inlineStr">
        <is>
          <t>https://www.logic.co.in/</t>
        </is>
      </c>
      <c r="L60" t="inlineStr">
        <is>
          <t>W1 Founding cohort</t>
        </is>
      </c>
      <c r="M60" t="inlineStr"/>
      <c r="N60" t="inlineStr"/>
      <c r="O60" s="10" t="inlineStr"/>
      <c r="P60" s="10" t="inlineStr"/>
      <c r="Q60" s="10" t="inlineStr"/>
      <c r="R60" s="10" t="inlineStr"/>
      <c r="S60" t="inlineStr"/>
      <c r="T60" s="10" t="inlineStr"/>
      <c r="U60" t="inlineStr"/>
      <c r="V60" s="10" t="inlineStr"/>
      <c r="W60" s="10" t="inlineStr"/>
      <c r="X60" s="10" t="inlineStr"/>
      <c r="Y60" s="10" t="inlineStr"/>
      <c r="Z60" s="10" t="inlineStr"/>
      <c r="AA60" s="10" t="inlineStr"/>
      <c r="AB60" t="inlineStr"/>
      <c r="AC60" s="10" t="inlineStr"/>
      <c r="AD60" t="inlineStr"/>
      <c r="AE60" t="inlineStr"/>
      <c r="AF60" s="10" t="inlineStr"/>
      <c r="AG60" t="inlineStr"/>
      <c r="AH60">
        <f>IF(AND(B60="",C60=""),"",IF(AND(X60&lt;&gt;"",Y60&lt;&gt;"",Z60&lt;&gt;"",AA60&lt;&gt;"",AB60="Y"),"YES","no"))</f>
        <v/>
      </c>
      <c r="AI60" s="10">
        <f>IF(AH60="YES",MAX(X60,Y60,Z60,AA60),"")</f>
        <v/>
      </c>
      <c r="AJ60">
        <f>IF(AND(B60="",C60=""),"",IF(OR(S60="Not interested",S60="Opt-out / do not contact"),"X Declined / suppressed",IF(S60="Bounced / undeliverable","X Bounced — research",IF(AC60&lt;&gt;"","13 Transacting",IF(AH60="YES","12 ACTIVATED",IF(Z60&lt;&gt;"","11 Listing live",IF(Y60&lt;&gt;"","10 Profile complete",IF(X60&lt;&gt;"","9 Approved",IF(W60&lt;&gt;"","8 KYC submitted",IF(V60&lt;&gt;"","7 Registered",IF(T60&lt;&gt;"","5 Interested",IF(R60&lt;&gt;"","4 Responded",IF(O60&lt;&gt;"","2 Contacted","1 Not yet contacted")))))))))))))</f>
        <v/>
      </c>
      <c r="AK60" s="10">
        <f>IF(AF60&lt;&gt;"",AF60,IF(OR(O60="",R60&lt;&gt;"",LEFT(AJ60,1)="X"),"",IF(Q60&lt;&gt;"","",IF(P60&lt;&gt;"",P60+SETTINGS!$B$4,O60+SETTINGS!$B$3))))</f>
        <v/>
      </c>
      <c r="AL60">
        <f>IF(AJ60="","",IF(LEFT(AJ60,1)="X","None — do not contact",IF(AJ60="1 Not yet contacted","Verify route today, then send M1",IF(AND(R60="",Q60&lt;&gt;""),"Sequence complete — no contact before "&amp;TEXT(Q60+SETTINGS!$B$5,"yyyy-mm-dd"),IF(AND(R60="",P60&lt;&gt;""),"Send final note (M4)",IF(R60="","Send follow-up (M2)",IF(AJ60="12 ACTIVATED","7-day check-in; consent &amp; referral soft ask",IF(AJ60="13 Transacting","Repeat-activity support","Onboarding: move to next stage (see playbook §6)"))))))))</f>
        <v/>
      </c>
      <c r="AM60">
        <f>IF(ISNUMBER(AK60),IF(AK60&lt;=TODAY(),"DUE",""),"")</f>
        <v/>
      </c>
      <c r="AN60">
        <f>IF(COUNT(O60,P60,Q60,R60,T60,V60,W60,X60,Y60,Z60,AA60,AC60)=0,"",TODAY()-MAX(O60,P60,Q60,R60,T60,V60,W60,X60,Y60,Z60,AA60,AC60))</f>
        <v/>
      </c>
      <c r="AO60">
        <f>IF(AJ60="","",IF(AND(T60&lt;&gt;"",U60&lt;&gt;"Active (verified)"),"GST: escalate (no tax advice)",IF(AND(IFERROR(VALUE(LEFT(AJ60,2)),0)&gt;=5,AH60&lt;&gt;"YES",ISNUMBER(AN60),AN60&gt;SETTINGS!$B$14),"STUCK in onboarding","")))</f>
        <v/>
      </c>
    </row>
    <row r="61">
      <c r="A61" t="n">
        <v>60</v>
      </c>
      <c r="B61" t="inlineStr">
        <is>
          <t>UPK2-SD-001</t>
        </is>
      </c>
      <c r="C61" t="inlineStr">
        <is>
          <t>DesigNiche Architecture</t>
        </is>
      </c>
      <c r="D61" t="inlineStr">
        <is>
          <t>Space &amp; Design</t>
        </is>
      </c>
      <c r="E61" t="inlineStr">
        <is>
          <t>SD-ARCHITECTURE</t>
        </is>
      </c>
      <c r="F61" t="inlineStr">
        <is>
          <t>Delhi NCR</t>
        </is>
      </c>
      <c r="G61" t="inlineStr">
        <is>
          <t>B</t>
        </is>
      </c>
      <c r="H61" t="inlineStr">
        <is>
          <t>P0</t>
        </is>
      </c>
      <c r="I61" t="inlineStr"/>
      <c r="J61" t="inlineStr">
        <is>
          <t>Personal 1:1 email from founder/team to published business email</t>
        </is>
      </c>
      <c r="K61" t="inlineStr">
        <is>
          <t>https://designiche.co/contact-us.php</t>
        </is>
      </c>
      <c r="L61" t="inlineStr">
        <is>
          <t>W1 Founding cohort</t>
        </is>
      </c>
      <c r="M61" t="inlineStr"/>
      <c r="N61" t="inlineStr"/>
      <c r="O61" s="10" t="inlineStr"/>
      <c r="P61" s="10" t="inlineStr"/>
      <c r="Q61" s="10" t="inlineStr"/>
      <c r="R61" s="10" t="inlineStr"/>
      <c r="S61" t="inlineStr"/>
      <c r="T61" s="10" t="inlineStr"/>
      <c r="U61" t="inlineStr"/>
      <c r="V61" s="10" t="inlineStr"/>
      <c r="W61" s="10" t="inlineStr"/>
      <c r="X61" s="10" t="inlineStr"/>
      <c r="Y61" s="10" t="inlineStr"/>
      <c r="Z61" s="10" t="inlineStr"/>
      <c r="AA61" s="10" t="inlineStr"/>
      <c r="AB61" t="inlineStr"/>
      <c r="AC61" s="10" t="inlineStr"/>
      <c r="AD61" t="inlineStr"/>
      <c r="AE61" t="inlineStr"/>
      <c r="AF61" s="10" t="inlineStr"/>
      <c r="AG61" t="inlineStr"/>
      <c r="AH61">
        <f>IF(AND(B61="",C61=""),"",IF(AND(X61&lt;&gt;"",Y61&lt;&gt;"",Z61&lt;&gt;"",AA61&lt;&gt;"",AB61="Y"),"YES","no"))</f>
        <v/>
      </c>
      <c r="AI61" s="10">
        <f>IF(AH61="YES",MAX(X61,Y61,Z61,AA61),"")</f>
        <v/>
      </c>
      <c r="AJ61">
        <f>IF(AND(B61="",C61=""),"",IF(OR(S61="Not interested",S61="Opt-out / do not contact"),"X Declined / suppressed",IF(S61="Bounced / undeliverable","X Bounced — research",IF(AC61&lt;&gt;"","13 Transacting",IF(AH61="YES","12 ACTIVATED",IF(Z61&lt;&gt;"","11 Listing live",IF(Y61&lt;&gt;"","10 Profile complete",IF(X61&lt;&gt;"","9 Approved",IF(W61&lt;&gt;"","8 KYC submitted",IF(V61&lt;&gt;"","7 Registered",IF(T61&lt;&gt;"","5 Interested",IF(R61&lt;&gt;"","4 Responded",IF(O61&lt;&gt;"","2 Contacted","1 Not yet contacted")))))))))))))</f>
        <v/>
      </c>
      <c r="AK61" s="10">
        <f>IF(AF61&lt;&gt;"",AF61,IF(OR(O61="",R61&lt;&gt;"",LEFT(AJ61,1)="X"),"",IF(Q61&lt;&gt;"","",IF(P61&lt;&gt;"",P61+SETTINGS!$B$4,O61+SETTINGS!$B$3))))</f>
        <v/>
      </c>
      <c r="AL61">
        <f>IF(AJ61="","",IF(LEFT(AJ61,1)="X","None — do not contact",IF(AJ61="1 Not yet contacted","Verify route today, then send M1",IF(AND(R61="",Q61&lt;&gt;""),"Sequence complete — no contact before "&amp;TEXT(Q61+SETTINGS!$B$5,"yyyy-mm-dd"),IF(AND(R61="",P61&lt;&gt;""),"Send final note (M4)",IF(R61="","Send follow-up (M2)",IF(AJ61="12 ACTIVATED","7-day check-in; consent &amp; referral soft ask",IF(AJ61="13 Transacting","Repeat-activity support","Onboarding: move to next stage (see playbook §6)"))))))))</f>
        <v/>
      </c>
      <c r="AM61">
        <f>IF(ISNUMBER(AK61),IF(AK61&lt;=TODAY(),"DUE",""),"")</f>
        <v/>
      </c>
      <c r="AN61">
        <f>IF(COUNT(O61,P61,Q61,R61,T61,V61,W61,X61,Y61,Z61,AA61,AC61)=0,"",TODAY()-MAX(O61,P61,Q61,R61,T61,V61,W61,X61,Y61,Z61,AA61,AC61))</f>
        <v/>
      </c>
      <c r="AO61">
        <f>IF(AJ61="","",IF(AND(T61&lt;&gt;"",U61&lt;&gt;"Active (verified)"),"GST: escalate (no tax advice)",IF(AND(IFERROR(VALUE(LEFT(AJ61,2)),0)&gt;=5,AH61&lt;&gt;"YES",ISNUMBER(AN61),AN61&gt;SETTINGS!$B$14),"STUCK in onboarding","")))</f>
        <v/>
      </c>
    </row>
    <row r="62">
      <c r="A62" t="n">
        <v>61</v>
      </c>
      <c r="B62" t="inlineStr">
        <is>
          <t>UPK2-SD-031</t>
        </is>
      </c>
      <c r="C62" t="inlineStr">
        <is>
          <t>The Goodwood</t>
        </is>
      </c>
      <c r="D62" t="inlineStr">
        <is>
          <t>Space &amp; Design</t>
        </is>
      </c>
      <c r="E62" t="inlineStr">
        <is>
          <t>SD-INTERIOR</t>
        </is>
      </c>
      <c r="F62" t="inlineStr">
        <is>
          <t>Delhi NCR</t>
        </is>
      </c>
      <c r="G62" t="inlineStr">
        <is>
          <t>A</t>
        </is>
      </c>
      <c r="H62" t="inlineStr">
        <is>
          <t>P0</t>
        </is>
      </c>
      <c r="I62" t="inlineStr">
        <is>
          <t>under-discovered</t>
        </is>
      </c>
      <c r="J62" t="inlineStr">
        <is>
          <t>Personal 1:1 email from founder/team to published business email</t>
        </is>
      </c>
      <c r="K62" t="inlineStr">
        <is>
          <t>https://thegoodwood.in/</t>
        </is>
      </c>
      <c r="L62" t="inlineStr">
        <is>
          <t>W1 Founding cohort</t>
        </is>
      </c>
      <c r="M62" t="inlineStr"/>
      <c r="N62" t="inlineStr"/>
      <c r="O62" s="10" t="inlineStr"/>
      <c r="P62" s="10" t="inlineStr"/>
      <c r="Q62" s="10" t="inlineStr"/>
      <c r="R62" s="10" t="inlineStr"/>
      <c r="S62" t="inlineStr"/>
      <c r="T62" s="10" t="inlineStr"/>
      <c r="U62" t="inlineStr"/>
      <c r="V62" s="10" t="inlineStr"/>
      <c r="W62" s="10" t="inlineStr"/>
      <c r="X62" s="10" t="inlineStr"/>
      <c r="Y62" s="10" t="inlineStr"/>
      <c r="Z62" s="10" t="inlineStr"/>
      <c r="AA62" s="10" t="inlineStr"/>
      <c r="AB62" t="inlineStr"/>
      <c r="AC62" s="10" t="inlineStr"/>
      <c r="AD62" t="inlineStr"/>
      <c r="AE62" t="inlineStr"/>
      <c r="AF62" s="10" t="inlineStr"/>
      <c r="AG62" t="inlineStr"/>
      <c r="AH62">
        <f>IF(AND(B62="",C62=""),"",IF(AND(X62&lt;&gt;"",Y62&lt;&gt;"",Z62&lt;&gt;"",AA62&lt;&gt;"",AB62="Y"),"YES","no"))</f>
        <v/>
      </c>
      <c r="AI62" s="10">
        <f>IF(AH62="YES",MAX(X62,Y62,Z62,AA62),"")</f>
        <v/>
      </c>
      <c r="AJ62">
        <f>IF(AND(B62="",C62=""),"",IF(OR(S62="Not interested",S62="Opt-out / do not contact"),"X Declined / suppressed",IF(S62="Bounced / undeliverable","X Bounced — research",IF(AC62&lt;&gt;"","13 Transacting",IF(AH62="YES","12 ACTIVATED",IF(Z62&lt;&gt;"","11 Listing live",IF(Y62&lt;&gt;"","10 Profile complete",IF(X62&lt;&gt;"","9 Approved",IF(W62&lt;&gt;"","8 KYC submitted",IF(V62&lt;&gt;"","7 Registered",IF(T62&lt;&gt;"","5 Interested",IF(R62&lt;&gt;"","4 Responded",IF(O62&lt;&gt;"","2 Contacted","1 Not yet contacted")))))))))))))</f>
        <v/>
      </c>
      <c r="AK62" s="10">
        <f>IF(AF62&lt;&gt;"",AF62,IF(OR(O62="",R62&lt;&gt;"",LEFT(AJ62,1)="X"),"",IF(Q62&lt;&gt;"","",IF(P62&lt;&gt;"",P62+SETTINGS!$B$4,O62+SETTINGS!$B$3))))</f>
        <v/>
      </c>
      <c r="AL62">
        <f>IF(AJ62="","",IF(LEFT(AJ62,1)="X","None — do not contact",IF(AJ62="1 Not yet contacted","Verify route today, then send M1",IF(AND(R62="",Q62&lt;&gt;""),"Sequence complete — no contact before "&amp;TEXT(Q62+SETTINGS!$B$5,"yyyy-mm-dd"),IF(AND(R62="",P62&lt;&gt;""),"Send final note (M4)",IF(R62="","Send follow-up (M2)",IF(AJ62="12 ACTIVATED","7-day check-in; consent &amp; referral soft ask",IF(AJ62="13 Transacting","Repeat-activity support","Onboarding: move to next stage (see playbook §6)"))))))))</f>
        <v/>
      </c>
      <c r="AM62">
        <f>IF(ISNUMBER(AK62),IF(AK62&lt;=TODAY(),"DUE",""),"")</f>
        <v/>
      </c>
      <c r="AN62">
        <f>IF(COUNT(O62,P62,Q62,R62,T62,V62,W62,X62,Y62,Z62,AA62,AC62)=0,"",TODAY()-MAX(O62,P62,Q62,R62,T62,V62,W62,X62,Y62,Z62,AA62,AC62))</f>
        <v/>
      </c>
      <c r="AO62">
        <f>IF(AJ62="","",IF(AND(T62&lt;&gt;"",U62&lt;&gt;"Active (verified)"),"GST: escalate (no tax advice)",IF(AND(IFERROR(VALUE(LEFT(AJ62,2)),0)&gt;=5,AH62&lt;&gt;"YES",ISNUMBER(AN62),AN62&gt;SETTINGS!$B$14),"STUCK in onboarding","")))</f>
        <v/>
      </c>
    </row>
    <row r="63">
      <c r="A63" t="n">
        <v>62</v>
      </c>
      <c r="B63" t="inlineStr">
        <is>
          <t>UPK2-SD-027</t>
        </is>
      </c>
      <c r="C63" t="inlineStr">
        <is>
          <t>Moi Den Interiors</t>
        </is>
      </c>
      <c r="D63" t="inlineStr">
        <is>
          <t>Space &amp; Design</t>
        </is>
      </c>
      <c r="E63" t="inlineStr">
        <is>
          <t>SD-INTERIOR</t>
        </is>
      </c>
      <c r="F63" t="inlineStr">
        <is>
          <t>Delhi NCR</t>
        </is>
      </c>
      <c r="G63" t="inlineStr">
        <is>
          <t>B</t>
        </is>
      </c>
      <c r="H63" t="inlineStr">
        <is>
          <t>P0</t>
        </is>
      </c>
      <c r="I63" t="inlineStr"/>
      <c r="J63" t="inlineStr">
        <is>
          <t>1:1 message via own-website contact form</t>
        </is>
      </c>
      <c r="K63" t="inlineStr">
        <is>
          <t>https://www.moiden.in/contact-us/</t>
        </is>
      </c>
      <c r="L63" t="inlineStr">
        <is>
          <t>W1 Founding cohort</t>
        </is>
      </c>
      <c r="M63" t="inlineStr"/>
      <c r="N63" t="inlineStr"/>
      <c r="O63" s="10" t="inlineStr"/>
      <c r="P63" s="10" t="inlineStr"/>
      <c r="Q63" s="10" t="inlineStr"/>
      <c r="R63" s="10" t="inlineStr"/>
      <c r="S63" t="inlineStr"/>
      <c r="T63" s="10" t="inlineStr"/>
      <c r="U63" t="inlineStr"/>
      <c r="V63" s="10" t="inlineStr"/>
      <c r="W63" s="10" t="inlineStr"/>
      <c r="X63" s="10" t="inlineStr"/>
      <c r="Y63" s="10" t="inlineStr"/>
      <c r="Z63" s="10" t="inlineStr"/>
      <c r="AA63" s="10" t="inlineStr"/>
      <c r="AB63" t="inlineStr"/>
      <c r="AC63" s="10" t="inlineStr"/>
      <c r="AD63" t="inlineStr"/>
      <c r="AE63" t="inlineStr"/>
      <c r="AF63" s="10" t="inlineStr"/>
      <c r="AG63" t="inlineStr"/>
      <c r="AH63">
        <f>IF(AND(B63="",C63=""),"",IF(AND(X63&lt;&gt;"",Y63&lt;&gt;"",Z63&lt;&gt;"",AA63&lt;&gt;"",AB63="Y"),"YES","no"))</f>
        <v/>
      </c>
      <c r="AI63" s="10">
        <f>IF(AH63="YES",MAX(X63,Y63,Z63,AA63),"")</f>
        <v/>
      </c>
      <c r="AJ63">
        <f>IF(AND(B63="",C63=""),"",IF(OR(S63="Not interested",S63="Opt-out / do not contact"),"X Declined / suppressed",IF(S63="Bounced / undeliverable","X Bounced — research",IF(AC63&lt;&gt;"","13 Transacting",IF(AH63="YES","12 ACTIVATED",IF(Z63&lt;&gt;"","11 Listing live",IF(Y63&lt;&gt;"","10 Profile complete",IF(X63&lt;&gt;"","9 Approved",IF(W63&lt;&gt;"","8 KYC submitted",IF(V63&lt;&gt;"","7 Registered",IF(T63&lt;&gt;"","5 Interested",IF(R63&lt;&gt;"","4 Responded",IF(O63&lt;&gt;"","2 Contacted","1 Not yet contacted")))))))))))))</f>
        <v/>
      </c>
      <c r="AK63" s="10">
        <f>IF(AF63&lt;&gt;"",AF63,IF(OR(O63="",R63&lt;&gt;"",LEFT(AJ63,1)="X"),"",IF(Q63&lt;&gt;"","",IF(P63&lt;&gt;"",P63+SETTINGS!$B$4,O63+SETTINGS!$B$3))))</f>
        <v/>
      </c>
      <c r="AL63">
        <f>IF(AJ63="","",IF(LEFT(AJ63,1)="X","None — do not contact",IF(AJ63="1 Not yet contacted","Verify route today, then send M1",IF(AND(R63="",Q63&lt;&gt;""),"Sequence complete — no contact before "&amp;TEXT(Q63+SETTINGS!$B$5,"yyyy-mm-dd"),IF(AND(R63="",P63&lt;&gt;""),"Send final note (M4)",IF(R63="","Send follow-up (M2)",IF(AJ63="12 ACTIVATED","7-day check-in; consent &amp; referral soft ask",IF(AJ63="13 Transacting","Repeat-activity support","Onboarding: move to next stage (see playbook §6)"))))))))</f>
        <v/>
      </c>
      <c r="AM63">
        <f>IF(ISNUMBER(AK63),IF(AK63&lt;=TODAY(),"DUE",""),"")</f>
        <v/>
      </c>
      <c r="AN63">
        <f>IF(COUNT(O63,P63,Q63,R63,T63,V63,W63,X63,Y63,Z63,AA63,AC63)=0,"",TODAY()-MAX(O63,P63,Q63,R63,T63,V63,W63,X63,Y63,Z63,AA63,AC63))</f>
        <v/>
      </c>
      <c r="AO63">
        <f>IF(AJ63="","",IF(AND(T63&lt;&gt;"",U63&lt;&gt;"Active (verified)"),"GST: escalate (no tax advice)",IF(AND(IFERROR(VALUE(LEFT(AJ63,2)),0)&gt;=5,AH63&lt;&gt;"YES",ISNUMBER(AN63),AN63&gt;SETTINGS!$B$14),"STUCK in onboarding","")))</f>
        <v/>
      </c>
    </row>
    <row r="64">
      <c r="A64" t="n">
        <v>63</v>
      </c>
      <c r="B64" t="inlineStr">
        <is>
          <t>UPK2-SD-011</t>
        </is>
      </c>
      <c r="C64" t="inlineStr">
        <is>
          <t>Shefali Design Studio</t>
        </is>
      </c>
      <c r="D64" t="inlineStr">
        <is>
          <t>Space &amp; Design</t>
        </is>
      </c>
      <c r="E64" t="inlineStr">
        <is>
          <t>SD-ARCHITECTURE</t>
        </is>
      </c>
      <c r="F64" t="inlineStr">
        <is>
          <t>Delhi NCR</t>
        </is>
      </c>
      <c r="G64" t="inlineStr">
        <is>
          <t>B</t>
        </is>
      </c>
      <c r="H64" t="inlineStr">
        <is>
          <t>P0</t>
        </is>
      </c>
      <c r="I64" t="inlineStr"/>
      <c r="J64" t="inlineStr">
        <is>
          <t>Personal 1:1 email from founder/team to published business email</t>
        </is>
      </c>
      <c r="K64" t="inlineStr">
        <is>
          <t>https://shefalidesignstudio.com/</t>
        </is>
      </c>
      <c r="L64" t="inlineStr">
        <is>
          <t>W1 Founding cohort</t>
        </is>
      </c>
      <c r="M64" t="inlineStr"/>
      <c r="N64" t="inlineStr"/>
      <c r="O64" s="10" t="inlineStr"/>
      <c r="P64" s="10" t="inlineStr"/>
      <c r="Q64" s="10" t="inlineStr"/>
      <c r="R64" s="10" t="inlineStr"/>
      <c r="S64" t="inlineStr"/>
      <c r="T64" s="10" t="inlineStr"/>
      <c r="U64" t="inlineStr"/>
      <c r="V64" s="10" t="inlineStr"/>
      <c r="W64" s="10" t="inlineStr"/>
      <c r="X64" s="10" t="inlineStr"/>
      <c r="Y64" s="10" t="inlineStr"/>
      <c r="Z64" s="10" t="inlineStr"/>
      <c r="AA64" s="10" t="inlineStr"/>
      <c r="AB64" t="inlineStr"/>
      <c r="AC64" s="10" t="inlineStr"/>
      <c r="AD64" t="inlineStr"/>
      <c r="AE64" t="inlineStr"/>
      <c r="AF64" s="10" t="inlineStr"/>
      <c r="AG64" t="inlineStr"/>
      <c r="AH64">
        <f>IF(AND(B64="",C64=""),"",IF(AND(X64&lt;&gt;"",Y64&lt;&gt;"",Z64&lt;&gt;"",AA64&lt;&gt;"",AB64="Y"),"YES","no"))</f>
        <v/>
      </c>
      <c r="AI64" s="10">
        <f>IF(AH64="YES",MAX(X64,Y64,Z64,AA64),"")</f>
        <v/>
      </c>
      <c r="AJ64">
        <f>IF(AND(B64="",C64=""),"",IF(OR(S64="Not interested",S64="Opt-out / do not contact"),"X Declined / suppressed",IF(S64="Bounced / undeliverable","X Bounced — research",IF(AC64&lt;&gt;"","13 Transacting",IF(AH64="YES","12 ACTIVATED",IF(Z64&lt;&gt;"","11 Listing live",IF(Y64&lt;&gt;"","10 Profile complete",IF(X64&lt;&gt;"","9 Approved",IF(W64&lt;&gt;"","8 KYC submitted",IF(V64&lt;&gt;"","7 Registered",IF(T64&lt;&gt;"","5 Interested",IF(R64&lt;&gt;"","4 Responded",IF(O64&lt;&gt;"","2 Contacted","1 Not yet contacted")))))))))))))</f>
        <v/>
      </c>
      <c r="AK64" s="10">
        <f>IF(AF64&lt;&gt;"",AF64,IF(OR(O64="",R64&lt;&gt;"",LEFT(AJ64,1)="X"),"",IF(Q64&lt;&gt;"","",IF(P64&lt;&gt;"",P64+SETTINGS!$B$4,O64+SETTINGS!$B$3))))</f>
        <v/>
      </c>
      <c r="AL64">
        <f>IF(AJ64="","",IF(LEFT(AJ64,1)="X","None — do not contact",IF(AJ64="1 Not yet contacted","Verify route today, then send M1",IF(AND(R64="",Q64&lt;&gt;""),"Sequence complete — no contact before "&amp;TEXT(Q64+SETTINGS!$B$5,"yyyy-mm-dd"),IF(AND(R64="",P64&lt;&gt;""),"Send final note (M4)",IF(R64="","Send follow-up (M2)",IF(AJ64="12 ACTIVATED","7-day check-in; consent &amp; referral soft ask",IF(AJ64="13 Transacting","Repeat-activity support","Onboarding: move to next stage (see playbook §6)"))))))))</f>
        <v/>
      </c>
      <c r="AM64">
        <f>IF(ISNUMBER(AK64),IF(AK64&lt;=TODAY(),"DUE",""),"")</f>
        <v/>
      </c>
      <c r="AN64">
        <f>IF(COUNT(O64,P64,Q64,R64,T64,V64,W64,X64,Y64,Z64,AA64,AC64)=0,"",TODAY()-MAX(O64,P64,Q64,R64,T64,V64,W64,X64,Y64,Z64,AA64,AC64))</f>
        <v/>
      </c>
      <c r="AO64">
        <f>IF(AJ64="","",IF(AND(T64&lt;&gt;"",U64&lt;&gt;"Active (verified)"),"GST: escalate (no tax advice)",IF(AND(IFERROR(VALUE(LEFT(AJ64,2)),0)&gt;=5,AH64&lt;&gt;"YES",ISNUMBER(AN64),AN64&gt;SETTINGS!$B$14),"STUCK in onboarding","")))</f>
        <v/>
      </c>
    </row>
    <row r="65">
      <c r="A65" t="n">
        <v>64</v>
      </c>
      <c r="B65" t="inlineStr">
        <is>
          <t>UPK2-DV-002</t>
        </is>
      </c>
      <c r="C65" t="inlineStr">
        <is>
          <t>Dream Pen Calligraphy</t>
        </is>
      </c>
      <c r="D65" t="inlineStr">
        <is>
          <t>Digital &amp; Visual Arts</t>
        </is>
      </c>
      <c r="E65" t="inlineStr">
        <is>
          <t>DV-CALLIGRAPHY-STATIONERY</t>
        </is>
      </c>
      <c r="F65" t="inlineStr">
        <is>
          <t>Bengaluru</t>
        </is>
      </c>
      <c r="G65" t="inlineStr">
        <is>
          <t>A</t>
        </is>
      </c>
      <c r="H65" t="inlineStr">
        <is>
          <t>P0</t>
        </is>
      </c>
      <c r="I65" t="inlineStr">
        <is>
          <t>under-discovered</t>
        </is>
      </c>
      <c r="J65" t="inlineStr">
        <is>
          <t>Personal 1:1 email from founder/team to published business email</t>
        </is>
      </c>
      <c r="K65" t="inlineStr">
        <is>
          <t>https://www.dreampencalligraphy.com/contact</t>
        </is>
      </c>
      <c r="L65" t="inlineStr">
        <is>
          <t>W1 Founding cohort</t>
        </is>
      </c>
      <c r="M65" t="inlineStr"/>
      <c r="N65" t="inlineStr"/>
      <c r="O65" s="10" t="inlineStr"/>
      <c r="P65" s="10" t="inlineStr"/>
      <c r="Q65" s="10" t="inlineStr"/>
      <c r="R65" s="10" t="inlineStr"/>
      <c r="S65" t="inlineStr"/>
      <c r="T65" s="10" t="inlineStr"/>
      <c r="U65" t="inlineStr"/>
      <c r="V65" s="10" t="inlineStr"/>
      <c r="W65" s="10" t="inlineStr"/>
      <c r="X65" s="10" t="inlineStr"/>
      <c r="Y65" s="10" t="inlineStr"/>
      <c r="Z65" s="10" t="inlineStr"/>
      <c r="AA65" s="10" t="inlineStr"/>
      <c r="AB65" t="inlineStr"/>
      <c r="AC65" s="10" t="inlineStr"/>
      <c r="AD65" t="inlineStr"/>
      <c r="AE65" t="inlineStr"/>
      <c r="AF65" s="10" t="inlineStr"/>
      <c r="AG65" t="inlineStr"/>
      <c r="AH65">
        <f>IF(AND(B65="",C65=""),"",IF(AND(X65&lt;&gt;"",Y65&lt;&gt;"",Z65&lt;&gt;"",AA65&lt;&gt;"",AB65="Y"),"YES","no"))</f>
        <v/>
      </c>
      <c r="AI65" s="10">
        <f>IF(AH65="YES",MAX(X65,Y65,Z65,AA65),"")</f>
        <v/>
      </c>
      <c r="AJ65">
        <f>IF(AND(B65="",C65=""),"",IF(OR(S65="Not interested",S65="Opt-out / do not contact"),"X Declined / suppressed",IF(S65="Bounced / undeliverable","X Bounced — research",IF(AC65&lt;&gt;"","13 Transacting",IF(AH65="YES","12 ACTIVATED",IF(Z65&lt;&gt;"","11 Listing live",IF(Y65&lt;&gt;"","10 Profile complete",IF(X65&lt;&gt;"","9 Approved",IF(W65&lt;&gt;"","8 KYC submitted",IF(V65&lt;&gt;"","7 Registered",IF(T65&lt;&gt;"","5 Interested",IF(R65&lt;&gt;"","4 Responded",IF(O65&lt;&gt;"","2 Contacted","1 Not yet contacted")))))))))))))</f>
        <v/>
      </c>
      <c r="AK65" s="10">
        <f>IF(AF65&lt;&gt;"",AF65,IF(OR(O65="",R65&lt;&gt;"",LEFT(AJ65,1)="X"),"",IF(Q65&lt;&gt;"","",IF(P65&lt;&gt;"",P65+SETTINGS!$B$4,O65+SETTINGS!$B$3))))</f>
        <v/>
      </c>
      <c r="AL65">
        <f>IF(AJ65="","",IF(LEFT(AJ65,1)="X","None — do not contact",IF(AJ65="1 Not yet contacted","Verify route today, then send M1",IF(AND(R65="",Q65&lt;&gt;""),"Sequence complete — no contact before "&amp;TEXT(Q65+SETTINGS!$B$5,"yyyy-mm-dd"),IF(AND(R65="",P65&lt;&gt;""),"Send final note (M4)",IF(R65="","Send follow-up (M2)",IF(AJ65="12 ACTIVATED","7-day check-in; consent &amp; referral soft ask",IF(AJ65="13 Transacting","Repeat-activity support","Onboarding: move to next stage (see playbook §6)"))))))))</f>
        <v/>
      </c>
      <c r="AM65">
        <f>IF(ISNUMBER(AK65),IF(AK65&lt;=TODAY(),"DUE",""),"")</f>
        <v/>
      </c>
      <c r="AN65">
        <f>IF(COUNT(O65,P65,Q65,R65,T65,V65,W65,X65,Y65,Z65,AA65,AC65)=0,"",TODAY()-MAX(O65,P65,Q65,R65,T65,V65,W65,X65,Y65,Z65,AA65,AC65))</f>
        <v/>
      </c>
      <c r="AO65">
        <f>IF(AJ65="","",IF(AND(T65&lt;&gt;"",U65&lt;&gt;"Active (verified)"),"GST: escalate (no tax advice)",IF(AND(IFERROR(VALUE(LEFT(AJ65,2)),0)&gt;=5,AH65&lt;&gt;"YES",ISNUMBER(AN65),AN65&gt;SETTINGS!$B$14),"STUCK in onboarding","")))</f>
        <v/>
      </c>
    </row>
    <row r="66">
      <c r="A66" t="n">
        <v>65</v>
      </c>
      <c r="B66" t="inlineStr">
        <is>
          <t>UPK2-DV-030</t>
        </is>
      </c>
      <c r="C66" t="inlineStr">
        <is>
          <t>Deep Ink Letters</t>
        </is>
      </c>
      <c r="D66" t="inlineStr">
        <is>
          <t>Digital &amp; Visual Arts</t>
        </is>
      </c>
      <c r="E66" t="inlineStr">
        <is>
          <t>DV-CALLIGRAPHY-STATIONERY</t>
        </is>
      </c>
      <c r="F66" t="inlineStr">
        <is>
          <t>Mumbai</t>
        </is>
      </c>
      <c r="G66" t="inlineStr">
        <is>
          <t>A</t>
        </is>
      </c>
      <c r="H66" t="inlineStr">
        <is>
          <t>P1</t>
        </is>
      </c>
      <c r="I66" t="inlineStr"/>
      <c r="J66" t="inlineStr">
        <is>
          <t>Personal 1:1 email from founder/team to published business email</t>
        </is>
      </c>
      <c r="K66" t="inlineStr">
        <is>
          <t>https://deepinkletters.com/contact</t>
        </is>
      </c>
      <c r="L66" t="inlineStr">
        <is>
          <t>W1 Founding cohort</t>
        </is>
      </c>
      <c r="M66" t="inlineStr"/>
      <c r="N66" t="inlineStr"/>
      <c r="O66" s="10" t="inlineStr"/>
      <c r="P66" s="10" t="inlineStr"/>
      <c r="Q66" s="10" t="inlineStr"/>
      <c r="R66" s="10" t="inlineStr"/>
      <c r="S66" t="inlineStr"/>
      <c r="T66" s="10" t="inlineStr"/>
      <c r="U66" t="inlineStr"/>
      <c r="V66" s="10" t="inlineStr"/>
      <c r="W66" s="10" t="inlineStr"/>
      <c r="X66" s="10" t="inlineStr"/>
      <c r="Y66" s="10" t="inlineStr"/>
      <c r="Z66" s="10" t="inlineStr"/>
      <c r="AA66" s="10" t="inlineStr"/>
      <c r="AB66" t="inlineStr"/>
      <c r="AC66" s="10" t="inlineStr"/>
      <c r="AD66" t="inlineStr"/>
      <c r="AE66" t="inlineStr"/>
      <c r="AF66" s="10" t="inlineStr"/>
      <c r="AG66" t="inlineStr"/>
      <c r="AH66">
        <f>IF(AND(B66="",C66=""),"",IF(AND(X66&lt;&gt;"",Y66&lt;&gt;"",Z66&lt;&gt;"",AA66&lt;&gt;"",AB66="Y"),"YES","no"))</f>
        <v/>
      </c>
      <c r="AI66" s="10">
        <f>IF(AH66="YES",MAX(X66,Y66,Z66,AA66),"")</f>
        <v/>
      </c>
      <c r="AJ66">
        <f>IF(AND(B66="",C66=""),"",IF(OR(S66="Not interested",S66="Opt-out / do not contact"),"X Declined / suppressed",IF(S66="Bounced / undeliverable","X Bounced — research",IF(AC66&lt;&gt;"","13 Transacting",IF(AH66="YES","12 ACTIVATED",IF(Z66&lt;&gt;"","11 Listing live",IF(Y66&lt;&gt;"","10 Profile complete",IF(X66&lt;&gt;"","9 Approved",IF(W66&lt;&gt;"","8 KYC submitted",IF(V66&lt;&gt;"","7 Registered",IF(T66&lt;&gt;"","5 Interested",IF(R66&lt;&gt;"","4 Responded",IF(O66&lt;&gt;"","2 Contacted","1 Not yet contacted")))))))))))))</f>
        <v/>
      </c>
      <c r="AK66" s="10">
        <f>IF(AF66&lt;&gt;"",AF66,IF(OR(O66="",R66&lt;&gt;"",LEFT(AJ66,1)="X"),"",IF(Q66&lt;&gt;"","",IF(P66&lt;&gt;"",P66+SETTINGS!$B$4,O66+SETTINGS!$B$3))))</f>
        <v/>
      </c>
      <c r="AL66">
        <f>IF(AJ66="","",IF(LEFT(AJ66,1)="X","None — do not contact",IF(AJ66="1 Not yet contacted","Verify route today, then send M1",IF(AND(R66="",Q66&lt;&gt;""),"Sequence complete — no contact before "&amp;TEXT(Q66+SETTINGS!$B$5,"yyyy-mm-dd"),IF(AND(R66="",P66&lt;&gt;""),"Send final note (M4)",IF(R66="","Send follow-up (M2)",IF(AJ66="12 ACTIVATED","7-day check-in; consent &amp; referral soft ask",IF(AJ66="13 Transacting","Repeat-activity support","Onboarding: move to next stage (see playbook §6)"))))))))</f>
        <v/>
      </c>
      <c r="AM66">
        <f>IF(ISNUMBER(AK66),IF(AK66&lt;=TODAY(),"DUE",""),"")</f>
        <v/>
      </c>
      <c r="AN66">
        <f>IF(COUNT(O66,P66,Q66,R66,T66,V66,W66,X66,Y66,Z66,AA66,AC66)=0,"",TODAY()-MAX(O66,P66,Q66,R66,T66,V66,W66,X66,Y66,Z66,AA66,AC66))</f>
        <v/>
      </c>
      <c r="AO66">
        <f>IF(AJ66="","",IF(AND(T66&lt;&gt;"",U66&lt;&gt;"Active (verified)"),"GST: escalate (no tax advice)",IF(AND(IFERROR(VALUE(LEFT(AJ66,2)),0)&gt;=5,AH66&lt;&gt;"YES",ISNUMBER(AN66),AN66&gt;SETTINGS!$B$14),"STUCK in onboarding","")))</f>
        <v/>
      </c>
    </row>
    <row r="67">
      <c r="A67" t="n">
        <v>66</v>
      </c>
      <c r="B67" t="inlineStr">
        <is>
          <t>UPK2-DV-032</t>
        </is>
      </c>
      <c r="C67" t="inlineStr">
        <is>
          <t>Osprey Invites</t>
        </is>
      </c>
      <c r="D67" t="inlineStr">
        <is>
          <t>Digital &amp; Visual Arts</t>
        </is>
      </c>
      <c r="E67" t="inlineStr">
        <is>
          <t>DV-CALLIGRAPHY-STATIONERY</t>
        </is>
      </c>
      <c r="F67" t="inlineStr">
        <is>
          <t>Mumbai</t>
        </is>
      </c>
      <c r="G67" t="inlineStr">
        <is>
          <t>A</t>
        </is>
      </c>
      <c r="H67" t="inlineStr">
        <is>
          <t>P0</t>
        </is>
      </c>
      <c r="I67" t="inlineStr"/>
      <c r="J67" t="inlineStr">
        <is>
          <t>Personal 1:1 email from founder/team to published business email</t>
        </is>
      </c>
      <c r="K67" t="inlineStr">
        <is>
          <t>https://ospreyinvites.com/pages/contact</t>
        </is>
      </c>
      <c r="L67" t="inlineStr">
        <is>
          <t>W1 Founding cohort</t>
        </is>
      </c>
      <c r="M67" t="inlineStr"/>
      <c r="N67" t="inlineStr"/>
      <c r="O67" s="10" t="inlineStr"/>
      <c r="P67" s="10" t="inlineStr"/>
      <c r="Q67" s="10" t="inlineStr"/>
      <c r="R67" s="10" t="inlineStr"/>
      <c r="S67" t="inlineStr"/>
      <c r="T67" s="10" t="inlineStr"/>
      <c r="U67" t="inlineStr"/>
      <c r="V67" s="10" t="inlineStr"/>
      <c r="W67" s="10" t="inlineStr"/>
      <c r="X67" s="10" t="inlineStr"/>
      <c r="Y67" s="10" t="inlineStr"/>
      <c r="Z67" s="10" t="inlineStr"/>
      <c r="AA67" s="10" t="inlineStr"/>
      <c r="AB67" t="inlineStr"/>
      <c r="AC67" s="10" t="inlineStr"/>
      <c r="AD67" t="inlineStr"/>
      <c r="AE67" t="inlineStr"/>
      <c r="AF67" s="10" t="inlineStr"/>
      <c r="AG67" t="inlineStr"/>
      <c r="AH67">
        <f>IF(AND(B67="",C67=""),"",IF(AND(X67&lt;&gt;"",Y67&lt;&gt;"",Z67&lt;&gt;"",AA67&lt;&gt;"",AB67="Y"),"YES","no"))</f>
        <v/>
      </c>
      <c r="AI67" s="10">
        <f>IF(AH67="YES",MAX(X67,Y67,Z67,AA67),"")</f>
        <v/>
      </c>
      <c r="AJ67">
        <f>IF(AND(B67="",C67=""),"",IF(OR(S67="Not interested",S67="Opt-out / do not contact"),"X Declined / suppressed",IF(S67="Bounced / undeliverable","X Bounced — research",IF(AC67&lt;&gt;"","13 Transacting",IF(AH67="YES","12 ACTIVATED",IF(Z67&lt;&gt;"","11 Listing live",IF(Y67&lt;&gt;"","10 Profile complete",IF(X67&lt;&gt;"","9 Approved",IF(W67&lt;&gt;"","8 KYC submitted",IF(V67&lt;&gt;"","7 Registered",IF(T67&lt;&gt;"","5 Interested",IF(R67&lt;&gt;"","4 Responded",IF(O67&lt;&gt;"","2 Contacted","1 Not yet contacted")))))))))))))</f>
        <v/>
      </c>
      <c r="AK67" s="10">
        <f>IF(AF67&lt;&gt;"",AF67,IF(OR(O67="",R67&lt;&gt;"",LEFT(AJ67,1)="X"),"",IF(Q67&lt;&gt;"","",IF(P67&lt;&gt;"",P67+SETTINGS!$B$4,O67+SETTINGS!$B$3))))</f>
        <v/>
      </c>
      <c r="AL67">
        <f>IF(AJ67="","",IF(LEFT(AJ67,1)="X","None — do not contact",IF(AJ67="1 Not yet contacted","Verify route today, then send M1",IF(AND(R67="",Q67&lt;&gt;""),"Sequence complete — no contact before "&amp;TEXT(Q67+SETTINGS!$B$5,"yyyy-mm-dd"),IF(AND(R67="",P67&lt;&gt;""),"Send final note (M4)",IF(R67="","Send follow-up (M2)",IF(AJ67="12 ACTIVATED","7-day check-in; consent &amp; referral soft ask",IF(AJ67="13 Transacting","Repeat-activity support","Onboarding: move to next stage (see playbook §6)"))))))))</f>
        <v/>
      </c>
      <c r="AM67">
        <f>IF(ISNUMBER(AK67),IF(AK67&lt;=TODAY(),"DUE",""),"")</f>
        <v/>
      </c>
      <c r="AN67">
        <f>IF(COUNT(O67,P67,Q67,R67,T67,V67,W67,X67,Y67,Z67,AA67,AC67)=0,"",TODAY()-MAX(O67,P67,Q67,R67,T67,V67,W67,X67,Y67,Z67,AA67,AC67))</f>
        <v/>
      </c>
      <c r="AO67">
        <f>IF(AJ67="","",IF(AND(T67&lt;&gt;"",U67&lt;&gt;"Active (verified)"),"GST: escalate (no tax advice)",IF(AND(IFERROR(VALUE(LEFT(AJ67,2)),0)&gt;=5,AH67&lt;&gt;"YES",ISNUMBER(AN67),AN67&gt;SETTINGS!$B$14),"STUCK in onboarding","")))</f>
        <v/>
      </c>
    </row>
    <row r="68">
      <c r="A68" t="n">
        <v>67</v>
      </c>
      <c r="B68" t="inlineStr">
        <is>
          <t>UPK2-DV-008</t>
        </is>
      </c>
      <c r="C68" t="inlineStr">
        <is>
          <t>Alicia Souza</t>
        </is>
      </c>
      <c r="D68" t="inlineStr">
        <is>
          <t>Digital &amp; Visual Arts</t>
        </is>
      </c>
      <c r="E68" t="inlineStr">
        <is>
          <t>DV-ARTIST-ILLUSTRATOR</t>
        </is>
      </c>
      <c r="F68" t="inlineStr">
        <is>
          <t>Bengaluru</t>
        </is>
      </c>
      <c r="G68" t="inlineStr">
        <is>
          <t>C</t>
        </is>
      </c>
      <c r="H68" t="inlineStr">
        <is>
          <t>P0</t>
        </is>
      </c>
      <c r="I68" t="inlineStr"/>
      <c r="J68" t="inlineStr">
        <is>
          <t>Personal 1:1 email from founder/team to published business email</t>
        </is>
      </c>
      <c r="K68" t="inlineStr">
        <is>
          <t>https://aliciasouza.com/pages/contact</t>
        </is>
      </c>
      <c r="L68" t="inlineStr">
        <is>
          <t>W1 Founding cohort</t>
        </is>
      </c>
      <c r="M68" t="inlineStr"/>
      <c r="N68" t="inlineStr"/>
      <c r="O68" s="10" t="inlineStr"/>
      <c r="P68" s="10" t="inlineStr"/>
      <c r="Q68" s="10" t="inlineStr"/>
      <c r="R68" s="10" t="inlineStr"/>
      <c r="S68" t="inlineStr"/>
      <c r="T68" s="10" t="inlineStr"/>
      <c r="U68" t="inlineStr"/>
      <c r="V68" s="10" t="inlineStr"/>
      <c r="W68" s="10" t="inlineStr"/>
      <c r="X68" s="10" t="inlineStr"/>
      <c r="Y68" s="10" t="inlineStr"/>
      <c r="Z68" s="10" t="inlineStr"/>
      <c r="AA68" s="10" t="inlineStr"/>
      <c r="AB68" t="inlineStr"/>
      <c r="AC68" s="10" t="inlineStr"/>
      <c r="AD68" t="inlineStr"/>
      <c r="AE68" t="inlineStr"/>
      <c r="AF68" s="10" t="inlineStr"/>
      <c r="AG68" t="inlineStr"/>
      <c r="AH68">
        <f>IF(AND(B68="",C68=""),"",IF(AND(X68&lt;&gt;"",Y68&lt;&gt;"",Z68&lt;&gt;"",AA68&lt;&gt;"",AB68="Y"),"YES","no"))</f>
        <v/>
      </c>
      <c r="AI68" s="10">
        <f>IF(AH68="YES",MAX(X68,Y68,Z68,AA68),"")</f>
        <v/>
      </c>
      <c r="AJ68">
        <f>IF(AND(B68="",C68=""),"",IF(OR(S68="Not interested",S68="Opt-out / do not contact"),"X Declined / suppressed",IF(S68="Bounced / undeliverable","X Bounced — research",IF(AC68&lt;&gt;"","13 Transacting",IF(AH68="YES","12 ACTIVATED",IF(Z68&lt;&gt;"","11 Listing live",IF(Y68&lt;&gt;"","10 Profile complete",IF(X68&lt;&gt;"","9 Approved",IF(W68&lt;&gt;"","8 KYC submitted",IF(V68&lt;&gt;"","7 Registered",IF(T68&lt;&gt;"","5 Interested",IF(R68&lt;&gt;"","4 Responded",IF(O68&lt;&gt;"","2 Contacted","1 Not yet contacted")))))))))))))</f>
        <v/>
      </c>
      <c r="AK68" s="10">
        <f>IF(AF68&lt;&gt;"",AF68,IF(OR(O68="",R68&lt;&gt;"",LEFT(AJ68,1)="X"),"",IF(Q68&lt;&gt;"","",IF(P68&lt;&gt;"",P68+SETTINGS!$B$4,O68+SETTINGS!$B$3))))</f>
        <v/>
      </c>
      <c r="AL68">
        <f>IF(AJ68="","",IF(LEFT(AJ68,1)="X","None — do not contact",IF(AJ68="1 Not yet contacted","Verify route today, then send M1",IF(AND(R68="",Q68&lt;&gt;""),"Sequence complete — no contact before "&amp;TEXT(Q68+SETTINGS!$B$5,"yyyy-mm-dd"),IF(AND(R68="",P68&lt;&gt;""),"Send final note (M4)",IF(R68="","Send follow-up (M2)",IF(AJ68="12 ACTIVATED","7-day check-in; consent &amp; referral soft ask",IF(AJ68="13 Transacting","Repeat-activity support","Onboarding: move to next stage (see playbook §6)"))))))))</f>
        <v/>
      </c>
      <c r="AM68">
        <f>IF(ISNUMBER(AK68),IF(AK68&lt;=TODAY(),"DUE",""),"")</f>
        <v/>
      </c>
      <c r="AN68">
        <f>IF(COUNT(O68,P68,Q68,R68,T68,V68,W68,X68,Y68,Z68,AA68,AC68)=0,"",TODAY()-MAX(O68,P68,Q68,R68,T68,V68,W68,X68,Y68,Z68,AA68,AC68))</f>
        <v/>
      </c>
      <c r="AO68">
        <f>IF(AJ68="","",IF(AND(T68&lt;&gt;"",U68&lt;&gt;"Active (verified)"),"GST: escalate (no tax advice)",IF(AND(IFERROR(VALUE(LEFT(AJ68,2)),0)&gt;=5,AH68&lt;&gt;"YES",ISNUMBER(AN68),AN68&gt;SETTINGS!$B$14),"STUCK in onboarding","")))</f>
        <v/>
      </c>
    </row>
    <row r="69">
      <c r="A69" t="n">
        <v>68</v>
      </c>
      <c r="B69" t="inlineStr">
        <is>
          <t>UPK2-DV-036</t>
        </is>
      </c>
      <c r="C69" t="inlineStr">
        <is>
          <t>Customizing Creativity</t>
        </is>
      </c>
      <c r="D69" t="inlineStr">
        <is>
          <t>Digital &amp; Visual Arts</t>
        </is>
      </c>
      <c r="E69" t="inlineStr">
        <is>
          <t>DV-CALLIGRAPHY-STATIONERY</t>
        </is>
      </c>
      <c r="F69" t="inlineStr">
        <is>
          <t>Mumbai</t>
        </is>
      </c>
      <c r="G69" t="inlineStr">
        <is>
          <t>B</t>
        </is>
      </c>
      <c r="H69" t="inlineStr">
        <is>
          <t>P1</t>
        </is>
      </c>
      <c r="I69" t="inlineStr"/>
      <c r="J69" t="inlineStr">
        <is>
          <t>Personal 1:1 email from founder/team to published business email</t>
        </is>
      </c>
      <c r="K69" t="inlineStr">
        <is>
          <t>https://www.customizingcreativity.in/</t>
        </is>
      </c>
      <c r="L69" t="inlineStr">
        <is>
          <t>W1 Founding cohort</t>
        </is>
      </c>
      <c r="M69" t="inlineStr"/>
      <c r="N69" t="inlineStr"/>
      <c r="O69" s="10" t="inlineStr"/>
      <c r="P69" s="10" t="inlineStr"/>
      <c r="Q69" s="10" t="inlineStr"/>
      <c r="R69" s="10" t="inlineStr"/>
      <c r="S69" t="inlineStr"/>
      <c r="T69" s="10" t="inlineStr"/>
      <c r="U69" t="inlineStr"/>
      <c r="V69" s="10" t="inlineStr"/>
      <c r="W69" s="10" t="inlineStr"/>
      <c r="X69" s="10" t="inlineStr"/>
      <c r="Y69" s="10" t="inlineStr"/>
      <c r="Z69" s="10" t="inlineStr"/>
      <c r="AA69" s="10" t="inlineStr"/>
      <c r="AB69" t="inlineStr"/>
      <c r="AC69" s="10" t="inlineStr"/>
      <c r="AD69" t="inlineStr"/>
      <c r="AE69" t="inlineStr"/>
      <c r="AF69" s="10" t="inlineStr"/>
      <c r="AG69" t="inlineStr"/>
      <c r="AH69">
        <f>IF(AND(B69="",C69=""),"",IF(AND(X69&lt;&gt;"",Y69&lt;&gt;"",Z69&lt;&gt;"",AA69&lt;&gt;"",AB69="Y"),"YES","no"))</f>
        <v/>
      </c>
      <c r="AI69" s="10">
        <f>IF(AH69="YES",MAX(X69,Y69,Z69,AA69),"")</f>
        <v/>
      </c>
      <c r="AJ69">
        <f>IF(AND(B69="",C69=""),"",IF(OR(S69="Not interested",S69="Opt-out / do not contact"),"X Declined / suppressed",IF(S69="Bounced / undeliverable","X Bounced — research",IF(AC69&lt;&gt;"","13 Transacting",IF(AH69="YES","12 ACTIVATED",IF(Z69&lt;&gt;"","11 Listing live",IF(Y69&lt;&gt;"","10 Profile complete",IF(X69&lt;&gt;"","9 Approved",IF(W69&lt;&gt;"","8 KYC submitted",IF(V69&lt;&gt;"","7 Registered",IF(T69&lt;&gt;"","5 Interested",IF(R69&lt;&gt;"","4 Responded",IF(O69&lt;&gt;"","2 Contacted","1 Not yet contacted")))))))))))))</f>
        <v/>
      </c>
      <c r="AK69" s="10">
        <f>IF(AF69&lt;&gt;"",AF69,IF(OR(O69="",R69&lt;&gt;"",LEFT(AJ69,1)="X"),"",IF(Q69&lt;&gt;"","",IF(P69&lt;&gt;"",P69+SETTINGS!$B$4,O69+SETTINGS!$B$3))))</f>
        <v/>
      </c>
      <c r="AL69">
        <f>IF(AJ69="","",IF(LEFT(AJ69,1)="X","None — do not contact",IF(AJ69="1 Not yet contacted","Verify route today, then send M1",IF(AND(R69="",Q69&lt;&gt;""),"Sequence complete — no contact before "&amp;TEXT(Q69+SETTINGS!$B$5,"yyyy-mm-dd"),IF(AND(R69="",P69&lt;&gt;""),"Send final note (M4)",IF(R69="","Send follow-up (M2)",IF(AJ69="12 ACTIVATED","7-day check-in; consent &amp; referral soft ask",IF(AJ69="13 Transacting","Repeat-activity support","Onboarding: move to next stage (see playbook §6)"))))))))</f>
        <v/>
      </c>
      <c r="AM69">
        <f>IF(ISNUMBER(AK69),IF(AK69&lt;=TODAY(),"DUE",""),"")</f>
        <v/>
      </c>
      <c r="AN69">
        <f>IF(COUNT(O69,P69,Q69,R69,T69,V69,W69,X69,Y69,Z69,AA69,AC69)=0,"",TODAY()-MAX(O69,P69,Q69,R69,T69,V69,W69,X69,Y69,Z69,AA69,AC69))</f>
        <v/>
      </c>
      <c r="AO69">
        <f>IF(AJ69="","",IF(AND(T69&lt;&gt;"",U69&lt;&gt;"Active (verified)"),"GST: escalate (no tax advice)",IF(AND(IFERROR(VALUE(LEFT(AJ69,2)),0)&gt;=5,AH69&lt;&gt;"YES",ISNUMBER(AN69),AN69&gt;SETTINGS!$B$14),"STUCK in onboarding","")))</f>
        <v/>
      </c>
    </row>
    <row r="70">
      <c r="A70" t="n">
        <v>69</v>
      </c>
      <c r="B70" t="inlineStr">
        <is>
          <t>UPK2-DV-035</t>
        </is>
      </c>
      <c r="C70" t="inlineStr">
        <is>
          <t>Girjesh Jaiswar</t>
        </is>
      </c>
      <c r="D70" t="inlineStr">
        <is>
          <t>Digital &amp; Visual Arts</t>
        </is>
      </c>
      <c r="E70" t="inlineStr">
        <is>
          <t>DV-ARTIST-ILLUSTRATOR</t>
        </is>
      </c>
      <c r="F70" t="inlineStr">
        <is>
          <t>Mumbai</t>
        </is>
      </c>
      <c r="G70" t="inlineStr">
        <is>
          <t>A</t>
        </is>
      </c>
      <c r="H70" t="inlineStr">
        <is>
          <t>P1</t>
        </is>
      </c>
      <c r="I70" t="inlineStr"/>
      <c r="J70" t="inlineStr">
        <is>
          <t>Personal 1:1 email from founder/team to published business email</t>
        </is>
      </c>
      <c r="K70" t="inlineStr">
        <is>
          <t>https://girjeshjaiswar.com/contact</t>
        </is>
      </c>
      <c r="L70" t="inlineStr">
        <is>
          <t>W1 Founding cohort</t>
        </is>
      </c>
      <c r="M70" t="inlineStr"/>
      <c r="N70" t="inlineStr"/>
      <c r="O70" s="10" t="inlineStr"/>
      <c r="P70" s="10" t="inlineStr"/>
      <c r="Q70" s="10" t="inlineStr"/>
      <c r="R70" s="10" t="inlineStr"/>
      <c r="S70" t="inlineStr"/>
      <c r="T70" s="10" t="inlineStr"/>
      <c r="U70" t="inlineStr"/>
      <c r="V70" s="10" t="inlineStr"/>
      <c r="W70" s="10" t="inlineStr"/>
      <c r="X70" s="10" t="inlineStr"/>
      <c r="Y70" s="10" t="inlineStr"/>
      <c r="Z70" s="10" t="inlineStr"/>
      <c r="AA70" s="10" t="inlineStr"/>
      <c r="AB70" t="inlineStr"/>
      <c r="AC70" s="10" t="inlineStr"/>
      <c r="AD70" t="inlineStr"/>
      <c r="AE70" t="inlineStr"/>
      <c r="AF70" s="10" t="inlineStr"/>
      <c r="AG70" t="inlineStr"/>
      <c r="AH70">
        <f>IF(AND(B70="",C70=""),"",IF(AND(X70&lt;&gt;"",Y70&lt;&gt;"",Z70&lt;&gt;"",AA70&lt;&gt;"",AB70="Y"),"YES","no"))</f>
        <v/>
      </c>
      <c r="AI70" s="10">
        <f>IF(AH70="YES",MAX(X70,Y70,Z70,AA70),"")</f>
        <v/>
      </c>
      <c r="AJ70">
        <f>IF(AND(B70="",C70=""),"",IF(OR(S70="Not interested",S70="Opt-out / do not contact"),"X Declined / suppressed",IF(S70="Bounced / undeliverable","X Bounced — research",IF(AC70&lt;&gt;"","13 Transacting",IF(AH70="YES","12 ACTIVATED",IF(Z70&lt;&gt;"","11 Listing live",IF(Y70&lt;&gt;"","10 Profile complete",IF(X70&lt;&gt;"","9 Approved",IF(W70&lt;&gt;"","8 KYC submitted",IF(V70&lt;&gt;"","7 Registered",IF(T70&lt;&gt;"","5 Interested",IF(R70&lt;&gt;"","4 Responded",IF(O70&lt;&gt;"","2 Contacted","1 Not yet contacted")))))))))))))</f>
        <v/>
      </c>
      <c r="AK70" s="10">
        <f>IF(AF70&lt;&gt;"",AF70,IF(OR(O70="",R70&lt;&gt;"",LEFT(AJ70,1)="X"),"",IF(Q70&lt;&gt;"","",IF(P70&lt;&gt;"",P70+SETTINGS!$B$4,O70+SETTINGS!$B$3))))</f>
        <v/>
      </c>
      <c r="AL70">
        <f>IF(AJ70="","",IF(LEFT(AJ70,1)="X","None — do not contact",IF(AJ70="1 Not yet contacted","Verify route today, then send M1",IF(AND(R70="",Q70&lt;&gt;""),"Sequence complete — no contact before "&amp;TEXT(Q70+SETTINGS!$B$5,"yyyy-mm-dd"),IF(AND(R70="",P70&lt;&gt;""),"Send final note (M4)",IF(R70="","Send follow-up (M2)",IF(AJ70="12 ACTIVATED","7-day check-in; consent &amp; referral soft ask",IF(AJ70="13 Transacting","Repeat-activity support","Onboarding: move to next stage (see playbook §6)"))))))))</f>
        <v/>
      </c>
      <c r="AM70">
        <f>IF(ISNUMBER(AK70),IF(AK70&lt;=TODAY(),"DUE",""),"")</f>
        <v/>
      </c>
      <c r="AN70">
        <f>IF(COUNT(O70,P70,Q70,R70,T70,V70,W70,X70,Y70,Z70,AA70,AC70)=0,"",TODAY()-MAX(O70,P70,Q70,R70,T70,V70,W70,X70,Y70,Z70,AA70,AC70))</f>
        <v/>
      </c>
      <c r="AO70">
        <f>IF(AJ70="","",IF(AND(T70&lt;&gt;"",U70&lt;&gt;"Active (verified)"),"GST: escalate (no tax advice)",IF(AND(IFERROR(VALUE(LEFT(AJ70,2)),0)&gt;=5,AH70&lt;&gt;"YES",ISNUMBER(AN70),AN70&gt;SETTINGS!$B$14),"STUCK in onboarding","")))</f>
        <v/>
      </c>
    </row>
    <row r="71">
      <c r="A71" t="n">
        <v>70</v>
      </c>
      <c r="B71" t="inlineStr">
        <is>
          <t>UPK2-DV-037</t>
        </is>
      </c>
      <c r="C71" t="inlineStr">
        <is>
          <t>CRAFX Studio</t>
        </is>
      </c>
      <c r="D71" t="inlineStr">
        <is>
          <t>Digital &amp; Visual Arts</t>
        </is>
      </c>
      <c r="E71" t="inlineStr">
        <is>
          <t>DV-DESIGN-STUDIO</t>
        </is>
      </c>
      <c r="F71" t="inlineStr">
        <is>
          <t>Mumbai</t>
        </is>
      </c>
      <c r="G71" t="inlineStr">
        <is>
          <t>B</t>
        </is>
      </c>
      <c r="H71" t="inlineStr">
        <is>
          <t>P0</t>
        </is>
      </c>
      <c r="I71" t="inlineStr"/>
      <c r="J71" t="inlineStr">
        <is>
          <t>Personal 1:1 email from founder/team to published business email</t>
        </is>
      </c>
      <c r="K71" t="inlineStr">
        <is>
          <t>https://www.crafxstudio.com/</t>
        </is>
      </c>
      <c r="L71" t="inlineStr">
        <is>
          <t>W1 Founding cohort</t>
        </is>
      </c>
      <c r="M71" t="inlineStr"/>
      <c r="N71" t="inlineStr"/>
      <c r="O71" s="10" t="inlineStr"/>
      <c r="P71" s="10" t="inlineStr"/>
      <c r="Q71" s="10" t="inlineStr"/>
      <c r="R71" s="10" t="inlineStr"/>
      <c r="S71" t="inlineStr"/>
      <c r="T71" s="10" t="inlineStr"/>
      <c r="U71" t="inlineStr"/>
      <c r="V71" s="10" t="inlineStr"/>
      <c r="W71" s="10" t="inlineStr"/>
      <c r="X71" s="10" t="inlineStr"/>
      <c r="Y71" s="10" t="inlineStr"/>
      <c r="Z71" s="10" t="inlineStr"/>
      <c r="AA71" s="10" t="inlineStr"/>
      <c r="AB71" t="inlineStr"/>
      <c r="AC71" s="10" t="inlineStr"/>
      <c r="AD71" t="inlineStr"/>
      <c r="AE71" t="inlineStr"/>
      <c r="AF71" s="10" t="inlineStr"/>
      <c r="AG71" t="inlineStr"/>
      <c r="AH71">
        <f>IF(AND(B71="",C71=""),"",IF(AND(X71&lt;&gt;"",Y71&lt;&gt;"",Z71&lt;&gt;"",AA71&lt;&gt;"",AB71="Y"),"YES","no"))</f>
        <v/>
      </c>
      <c r="AI71" s="10">
        <f>IF(AH71="YES",MAX(X71,Y71,Z71,AA71),"")</f>
        <v/>
      </c>
      <c r="AJ71">
        <f>IF(AND(B71="",C71=""),"",IF(OR(S71="Not interested",S71="Opt-out / do not contact"),"X Declined / suppressed",IF(S71="Bounced / undeliverable","X Bounced — research",IF(AC71&lt;&gt;"","13 Transacting",IF(AH71="YES","12 ACTIVATED",IF(Z71&lt;&gt;"","11 Listing live",IF(Y71&lt;&gt;"","10 Profile complete",IF(X71&lt;&gt;"","9 Approved",IF(W71&lt;&gt;"","8 KYC submitted",IF(V71&lt;&gt;"","7 Registered",IF(T71&lt;&gt;"","5 Interested",IF(R71&lt;&gt;"","4 Responded",IF(O71&lt;&gt;"","2 Contacted","1 Not yet contacted")))))))))))))</f>
        <v/>
      </c>
      <c r="AK71" s="10">
        <f>IF(AF71&lt;&gt;"",AF71,IF(OR(O71="",R71&lt;&gt;"",LEFT(AJ71,1)="X"),"",IF(Q71&lt;&gt;"","",IF(P71&lt;&gt;"",P71+SETTINGS!$B$4,O71+SETTINGS!$B$3))))</f>
        <v/>
      </c>
      <c r="AL71">
        <f>IF(AJ71="","",IF(LEFT(AJ71,1)="X","None — do not contact",IF(AJ71="1 Not yet contacted","Verify route today, then send M1",IF(AND(R71="",Q71&lt;&gt;""),"Sequence complete — no contact before "&amp;TEXT(Q71+SETTINGS!$B$5,"yyyy-mm-dd"),IF(AND(R71="",P71&lt;&gt;""),"Send final note (M4)",IF(R71="","Send follow-up (M2)",IF(AJ71="12 ACTIVATED","7-day check-in; consent &amp; referral soft ask",IF(AJ71="13 Transacting","Repeat-activity support","Onboarding: move to next stage (see playbook §6)"))))))))</f>
        <v/>
      </c>
      <c r="AM71">
        <f>IF(ISNUMBER(AK71),IF(AK71&lt;=TODAY(),"DUE",""),"")</f>
        <v/>
      </c>
      <c r="AN71">
        <f>IF(COUNT(O71,P71,Q71,R71,T71,V71,W71,X71,Y71,Z71,AA71,AC71)=0,"",TODAY()-MAX(O71,P71,Q71,R71,T71,V71,W71,X71,Y71,Z71,AA71,AC71))</f>
        <v/>
      </c>
      <c r="AO71">
        <f>IF(AJ71="","",IF(AND(T71&lt;&gt;"",U71&lt;&gt;"Active (verified)"),"GST: escalate (no tax advice)",IF(AND(IFERROR(VALUE(LEFT(AJ71,2)),0)&gt;=5,AH71&lt;&gt;"YES",ISNUMBER(AN71),AN71&gt;SETTINGS!$B$14),"STUCK in onboarding","")))</f>
        <v/>
      </c>
    </row>
    <row r="72">
      <c r="A72" t="n">
        <v>71</v>
      </c>
      <c r="B72" t="inlineStr">
        <is>
          <t>UPK2-DV-033</t>
        </is>
      </c>
      <c r="C72" t="inlineStr">
        <is>
          <t>Beyondesign</t>
        </is>
      </c>
      <c r="D72" t="inlineStr">
        <is>
          <t>Digital &amp; Visual Arts</t>
        </is>
      </c>
      <c r="E72" t="inlineStr">
        <is>
          <t>DV-DESIGN-STUDIO</t>
        </is>
      </c>
      <c r="F72" t="inlineStr">
        <is>
          <t>Mumbai</t>
        </is>
      </c>
      <c r="G72" t="inlineStr">
        <is>
          <t>B</t>
        </is>
      </c>
      <c r="H72" t="inlineStr">
        <is>
          <t>P0</t>
        </is>
      </c>
      <c r="I72" t="inlineStr"/>
      <c r="J72" t="inlineStr">
        <is>
          <t>Personal 1:1 email from founder/team to published business email</t>
        </is>
      </c>
      <c r="K72" t="inlineStr">
        <is>
          <t>https://beyondesign.in/</t>
        </is>
      </c>
      <c r="L72" t="inlineStr">
        <is>
          <t>W1 Founding cohort</t>
        </is>
      </c>
      <c r="M72" t="inlineStr"/>
      <c r="N72" t="inlineStr"/>
      <c r="O72" s="10" t="inlineStr"/>
      <c r="P72" s="10" t="inlineStr"/>
      <c r="Q72" s="10" t="inlineStr"/>
      <c r="R72" s="10" t="inlineStr"/>
      <c r="S72" t="inlineStr"/>
      <c r="T72" s="10" t="inlineStr"/>
      <c r="U72" t="inlineStr"/>
      <c r="V72" s="10" t="inlineStr"/>
      <c r="W72" s="10" t="inlineStr"/>
      <c r="X72" s="10" t="inlineStr"/>
      <c r="Y72" s="10" t="inlineStr"/>
      <c r="Z72" s="10" t="inlineStr"/>
      <c r="AA72" s="10" t="inlineStr"/>
      <c r="AB72" t="inlineStr"/>
      <c r="AC72" s="10" t="inlineStr"/>
      <c r="AD72" t="inlineStr"/>
      <c r="AE72" t="inlineStr"/>
      <c r="AF72" s="10" t="inlineStr"/>
      <c r="AG72" t="inlineStr"/>
      <c r="AH72">
        <f>IF(AND(B72="",C72=""),"",IF(AND(X72&lt;&gt;"",Y72&lt;&gt;"",Z72&lt;&gt;"",AA72&lt;&gt;"",AB72="Y"),"YES","no"))</f>
        <v/>
      </c>
      <c r="AI72" s="10">
        <f>IF(AH72="YES",MAX(X72,Y72,Z72,AA72),"")</f>
        <v/>
      </c>
      <c r="AJ72">
        <f>IF(AND(B72="",C72=""),"",IF(OR(S72="Not interested",S72="Opt-out / do not contact"),"X Declined / suppressed",IF(S72="Bounced / undeliverable","X Bounced — research",IF(AC72&lt;&gt;"","13 Transacting",IF(AH72="YES","12 ACTIVATED",IF(Z72&lt;&gt;"","11 Listing live",IF(Y72&lt;&gt;"","10 Profile complete",IF(X72&lt;&gt;"","9 Approved",IF(W72&lt;&gt;"","8 KYC submitted",IF(V72&lt;&gt;"","7 Registered",IF(T72&lt;&gt;"","5 Interested",IF(R72&lt;&gt;"","4 Responded",IF(O72&lt;&gt;"","2 Contacted","1 Not yet contacted")))))))))))))</f>
        <v/>
      </c>
      <c r="AK72" s="10">
        <f>IF(AF72&lt;&gt;"",AF72,IF(OR(O72="",R72&lt;&gt;"",LEFT(AJ72,1)="X"),"",IF(Q72&lt;&gt;"","",IF(P72&lt;&gt;"",P72+SETTINGS!$B$4,O72+SETTINGS!$B$3))))</f>
        <v/>
      </c>
      <c r="AL72">
        <f>IF(AJ72="","",IF(LEFT(AJ72,1)="X","None — do not contact",IF(AJ72="1 Not yet contacted","Verify route today, then send M1",IF(AND(R72="",Q72&lt;&gt;""),"Sequence complete — no contact before "&amp;TEXT(Q72+SETTINGS!$B$5,"yyyy-mm-dd"),IF(AND(R72="",P72&lt;&gt;""),"Send final note (M4)",IF(R72="","Send follow-up (M2)",IF(AJ72="12 ACTIVATED","7-day check-in; consent &amp; referral soft ask",IF(AJ72="13 Transacting","Repeat-activity support","Onboarding: move to next stage (see playbook §6)"))))))))</f>
        <v/>
      </c>
      <c r="AM72">
        <f>IF(ISNUMBER(AK72),IF(AK72&lt;=TODAY(),"DUE",""),"")</f>
        <v/>
      </c>
      <c r="AN72">
        <f>IF(COUNT(O72,P72,Q72,R72,T72,V72,W72,X72,Y72,Z72,AA72,AC72)=0,"",TODAY()-MAX(O72,P72,Q72,R72,T72,V72,W72,X72,Y72,Z72,AA72,AC72))</f>
        <v/>
      </c>
      <c r="AO72">
        <f>IF(AJ72="","",IF(AND(T72&lt;&gt;"",U72&lt;&gt;"Active (verified)"),"GST: escalate (no tax advice)",IF(AND(IFERROR(VALUE(LEFT(AJ72,2)),0)&gt;=5,AH72&lt;&gt;"YES",ISNUMBER(AN72),AN72&gt;SETTINGS!$B$14),"STUCK in onboarding","")))</f>
        <v/>
      </c>
    </row>
    <row r="73">
      <c r="A73" t="n">
        <v>72</v>
      </c>
      <c r="B73" t="inlineStr">
        <is>
          <t>UPK2-DV-009</t>
        </is>
      </c>
      <c r="C73" t="inlineStr">
        <is>
          <t>Studio Berõ Jaipur</t>
        </is>
      </c>
      <c r="D73" t="inlineStr">
        <is>
          <t>Digital &amp; Visual Arts</t>
        </is>
      </c>
      <c r="E73" t="inlineStr">
        <is>
          <t>DV-ARTIST-ILLUSTRATOR</t>
        </is>
      </c>
      <c r="F73" t="inlineStr">
        <is>
          <t>Jaipur</t>
        </is>
      </c>
      <c r="G73" t="inlineStr">
        <is>
          <t>A</t>
        </is>
      </c>
      <c r="H73" t="inlineStr">
        <is>
          <t>P0</t>
        </is>
      </c>
      <c r="I73" t="inlineStr">
        <is>
          <t>under-discovered</t>
        </is>
      </c>
      <c r="J73" t="inlineStr">
        <is>
          <t>Personal 1:1 email from founder/team to published business email</t>
        </is>
      </c>
      <c r="K73" t="inlineStr">
        <is>
          <t>https://studioberojaipur.com/pages/contact-us</t>
        </is>
      </c>
      <c r="L73" t="inlineStr">
        <is>
          <t>W1 Founding cohort</t>
        </is>
      </c>
      <c r="M73" t="inlineStr"/>
      <c r="N73" t="inlineStr"/>
      <c r="O73" s="10" t="inlineStr"/>
      <c r="P73" s="10" t="inlineStr"/>
      <c r="Q73" s="10" t="inlineStr"/>
      <c r="R73" s="10" t="inlineStr"/>
      <c r="S73" t="inlineStr"/>
      <c r="T73" s="10" t="inlineStr"/>
      <c r="U73" t="inlineStr"/>
      <c r="V73" s="10" t="inlineStr"/>
      <c r="W73" s="10" t="inlineStr"/>
      <c r="X73" s="10" t="inlineStr"/>
      <c r="Y73" s="10" t="inlineStr"/>
      <c r="Z73" s="10" t="inlineStr"/>
      <c r="AA73" s="10" t="inlineStr"/>
      <c r="AB73" t="inlineStr"/>
      <c r="AC73" s="10" t="inlineStr"/>
      <c r="AD73" t="inlineStr"/>
      <c r="AE73" t="inlineStr"/>
      <c r="AF73" s="10" t="inlineStr"/>
      <c r="AG73" t="inlineStr"/>
      <c r="AH73">
        <f>IF(AND(B73="",C73=""),"",IF(AND(X73&lt;&gt;"",Y73&lt;&gt;"",Z73&lt;&gt;"",AA73&lt;&gt;"",AB73="Y"),"YES","no"))</f>
        <v/>
      </c>
      <c r="AI73" s="10">
        <f>IF(AH73="YES",MAX(X73,Y73,Z73,AA73),"")</f>
        <v/>
      </c>
      <c r="AJ73">
        <f>IF(AND(B73="",C73=""),"",IF(OR(S73="Not interested",S73="Opt-out / do not contact"),"X Declined / suppressed",IF(S73="Bounced / undeliverable","X Bounced — research",IF(AC73&lt;&gt;"","13 Transacting",IF(AH73="YES","12 ACTIVATED",IF(Z73&lt;&gt;"","11 Listing live",IF(Y73&lt;&gt;"","10 Profile complete",IF(X73&lt;&gt;"","9 Approved",IF(W73&lt;&gt;"","8 KYC submitted",IF(V73&lt;&gt;"","7 Registered",IF(T73&lt;&gt;"","5 Interested",IF(R73&lt;&gt;"","4 Responded",IF(O73&lt;&gt;"","2 Contacted","1 Not yet contacted")))))))))))))</f>
        <v/>
      </c>
      <c r="AK73" s="10">
        <f>IF(AF73&lt;&gt;"",AF73,IF(OR(O73="",R73&lt;&gt;"",LEFT(AJ73,1)="X"),"",IF(Q73&lt;&gt;"","",IF(P73&lt;&gt;"",P73+SETTINGS!$B$4,O73+SETTINGS!$B$3))))</f>
        <v/>
      </c>
      <c r="AL73">
        <f>IF(AJ73="","",IF(LEFT(AJ73,1)="X","None — do not contact",IF(AJ73="1 Not yet contacted","Verify route today, then send M1",IF(AND(R73="",Q73&lt;&gt;""),"Sequence complete — no contact before "&amp;TEXT(Q73+SETTINGS!$B$5,"yyyy-mm-dd"),IF(AND(R73="",P73&lt;&gt;""),"Send final note (M4)",IF(R73="","Send follow-up (M2)",IF(AJ73="12 ACTIVATED","7-day check-in; consent &amp; referral soft ask",IF(AJ73="13 Transacting","Repeat-activity support","Onboarding: move to next stage (see playbook §6)"))))))))</f>
        <v/>
      </c>
      <c r="AM73">
        <f>IF(ISNUMBER(AK73),IF(AK73&lt;=TODAY(),"DUE",""),"")</f>
        <v/>
      </c>
      <c r="AN73">
        <f>IF(COUNT(O73,P73,Q73,R73,T73,V73,W73,X73,Y73,Z73,AA73,AC73)=0,"",TODAY()-MAX(O73,P73,Q73,R73,T73,V73,W73,X73,Y73,Z73,AA73,AC73))</f>
        <v/>
      </c>
      <c r="AO73">
        <f>IF(AJ73="","",IF(AND(T73&lt;&gt;"",U73&lt;&gt;"Active (verified)"),"GST: escalate (no tax advice)",IF(AND(IFERROR(VALUE(LEFT(AJ73,2)),0)&gt;=5,AH73&lt;&gt;"YES",ISNUMBER(AN73),AN73&gt;SETTINGS!$B$14),"STUCK in onboarding","")))</f>
        <v/>
      </c>
    </row>
    <row r="74">
      <c r="A74" t="n">
        <v>73</v>
      </c>
      <c r="B74" t="inlineStr">
        <is>
          <t>UPK2-BM-189</t>
        </is>
      </c>
      <c r="C74" t="inlineStr">
        <is>
          <t>Mehandi Wale Jaipur</t>
        </is>
      </c>
      <c r="D74" t="inlineStr">
        <is>
          <t>Beauty &amp; Makeup</t>
        </is>
      </c>
      <c r="E74" t="inlineStr">
        <is>
          <t>BM-MEHENDI</t>
        </is>
      </c>
      <c r="F74" t="inlineStr">
        <is>
          <t>Jaipur</t>
        </is>
      </c>
      <c r="G74" t="inlineStr">
        <is>
          <t>A</t>
        </is>
      </c>
      <c r="H74" t="inlineStr">
        <is>
          <t>P0</t>
        </is>
      </c>
      <c r="I74" t="inlineStr"/>
      <c r="J74" t="inlineStr">
        <is>
          <t>Personal 1:1 email from founder/team to published business email</t>
        </is>
      </c>
      <c r="K74" t="inlineStr">
        <is>
          <t>https://www.mehandiwalejaipur.com/</t>
        </is>
      </c>
      <c r="L74" t="inlineStr">
        <is>
          <t>W1 Founding cohort</t>
        </is>
      </c>
      <c r="M74" t="inlineStr"/>
      <c r="N74" t="inlineStr"/>
      <c r="O74" s="10" t="inlineStr"/>
      <c r="P74" s="10" t="inlineStr"/>
      <c r="Q74" s="10" t="inlineStr"/>
      <c r="R74" s="10" t="inlineStr"/>
      <c r="S74" t="inlineStr"/>
      <c r="T74" s="10" t="inlineStr"/>
      <c r="U74" t="inlineStr"/>
      <c r="V74" s="10" t="inlineStr"/>
      <c r="W74" s="10" t="inlineStr"/>
      <c r="X74" s="10" t="inlineStr"/>
      <c r="Y74" s="10" t="inlineStr"/>
      <c r="Z74" s="10" t="inlineStr"/>
      <c r="AA74" s="10" t="inlineStr"/>
      <c r="AB74" t="inlineStr"/>
      <c r="AC74" s="10" t="inlineStr"/>
      <c r="AD74" t="inlineStr"/>
      <c r="AE74" t="inlineStr"/>
      <c r="AF74" s="10" t="inlineStr"/>
      <c r="AG74" t="inlineStr"/>
      <c r="AH74">
        <f>IF(AND(B74="",C74=""),"",IF(AND(X74&lt;&gt;"",Y74&lt;&gt;"",Z74&lt;&gt;"",AA74&lt;&gt;"",AB74="Y"),"YES","no"))</f>
        <v/>
      </c>
      <c r="AI74" s="10">
        <f>IF(AH74="YES",MAX(X74,Y74,Z74,AA74),"")</f>
        <v/>
      </c>
      <c r="AJ74">
        <f>IF(AND(B74="",C74=""),"",IF(OR(S74="Not interested",S74="Opt-out / do not contact"),"X Declined / suppressed",IF(S74="Bounced / undeliverable","X Bounced — research",IF(AC74&lt;&gt;"","13 Transacting",IF(AH74="YES","12 ACTIVATED",IF(Z74&lt;&gt;"","11 Listing live",IF(Y74&lt;&gt;"","10 Profile complete",IF(X74&lt;&gt;"","9 Approved",IF(W74&lt;&gt;"","8 KYC submitted",IF(V74&lt;&gt;"","7 Registered",IF(T74&lt;&gt;"","5 Interested",IF(R74&lt;&gt;"","4 Responded",IF(O74&lt;&gt;"","2 Contacted","1 Not yet contacted")))))))))))))</f>
        <v/>
      </c>
      <c r="AK74" s="10">
        <f>IF(AF74&lt;&gt;"",AF74,IF(OR(O74="",R74&lt;&gt;"",LEFT(AJ74,1)="X"),"",IF(Q74&lt;&gt;"","",IF(P74&lt;&gt;"",P74+SETTINGS!$B$4,O74+SETTINGS!$B$3))))</f>
        <v/>
      </c>
      <c r="AL74">
        <f>IF(AJ74="","",IF(LEFT(AJ74,1)="X","None — do not contact",IF(AJ74="1 Not yet contacted","Verify route today, then send M1",IF(AND(R74="",Q74&lt;&gt;""),"Sequence complete — no contact before "&amp;TEXT(Q74+SETTINGS!$B$5,"yyyy-mm-dd"),IF(AND(R74="",P74&lt;&gt;""),"Send final note (M4)",IF(R74="","Send follow-up (M2)",IF(AJ74="12 ACTIVATED","7-day check-in; consent &amp; referral soft ask",IF(AJ74="13 Transacting","Repeat-activity support","Onboarding: move to next stage (see playbook §6)"))))))))</f>
        <v/>
      </c>
      <c r="AM74">
        <f>IF(ISNUMBER(AK74),IF(AK74&lt;=TODAY(),"DUE",""),"")</f>
        <v/>
      </c>
      <c r="AN74">
        <f>IF(COUNT(O74,P74,Q74,R74,T74,V74,W74,X74,Y74,Z74,AA74,AC74)=0,"",TODAY()-MAX(O74,P74,Q74,R74,T74,V74,W74,X74,Y74,Z74,AA74,AC74))</f>
        <v/>
      </c>
      <c r="AO74">
        <f>IF(AJ74="","",IF(AND(T74&lt;&gt;"",U74&lt;&gt;"Active (verified)"),"GST: escalate (no tax advice)",IF(AND(IFERROR(VALUE(LEFT(AJ74,2)),0)&gt;=5,AH74&lt;&gt;"YES",ISNUMBER(AN74),AN74&gt;SETTINGS!$B$14),"STUCK in onboarding","")))</f>
        <v/>
      </c>
    </row>
    <row r="75">
      <c r="A75" t="n">
        <v>74</v>
      </c>
      <c r="B75" t="inlineStr">
        <is>
          <t>UPK2-BM-278</t>
        </is>
      </c>
      <c r="C75" t="inlineStr">
        <is>
          <t>Jaipur Mehandi Artist</t>
        </is>
      </c>
      <c r="D75" t="inlineStr">
        <is>
          <t>Beauty &amp; Makeup</t>
        </is>
      </c>
      <c r="E75" t="inlineStr">
        <is>
          <t>BM-MEHENDI</t>
        </is>
      </c>
      <c r="F75" t="inlineStr">
        <is>
          <t>Jaipur</t>
        </is>
      </c>
      <c r="G75" t="inlineStr">
        <is>
          <t>A</t>
        </is>
      </c>
      <c r="H75" t="inlineStr">
        <is>
          <t>P0</t>
        </is>
      </c>
      <c r="I75" t="inlineStr"/>
      <c r="J75" t="inlineStr">
        <is>
          <t>Personal 1:1 email from founder/team to published business email</t>
        </is>
      </c>
      <c r="K75" t="inlineStr">
        <is>
          <t>https://www.jaipurmehandiartist.com/</t>
        </is>
      </c>
      <c r="L75" t="inlineStr">
        <is>
          <t>W1 Founding cohort</t>
        </is>
      </c>
      <c r="M75" t="inlineStr"/>
      <c r="N75" t="inlineStr"/>
      <c r="O75" s="10" t="inlineStr"/>
      <c r="P75" s="10" t="inlineStr"/>
      <c r="Q75" s="10" t="inlineStr"/>
      <c r="R75" s="10" t="inlineStr"/>
      <c r="S75" t="inlineStr"/>
      <c r="T75" s="10" t="inlineStr"/>
      <c r="U75" t="inlineStr"/>
      <c r="V75" s="10" t="inlineStr"/>
      <c r="W75" s="10" t="inlineStr"/>
      <c r="X75" s="10" t="inlineStr"/>
      <c r="Y75" s="10" t="inlineStr"/>
      <c r="Z75" s="10" t="inlineStr"/>
      <c r="AA75" s="10" t="inlineStr"/>
      <c r="AB75" t="inlineStr"/>
      <c r="AC75" s="10" t="inlineStr"/>
      <c r="AD75" t="inlineStr"/>
      <c r="AE75" t="inlineStr"/>
      <c r="AF75" s="10" t="inlineStr"/>
      <c r="AG75" t="inlineStr"/>
      <c r="AH75">
        <f>IF(AND(B75="",C75=""),"",IF(AND(X75&lt;&gt;"",Y75&lt;&gt;"",Z75&lt;&gt;"",AA75&lt;&gt;"",AB75="Y"),"YES","no"))</f>
        <v/>
      </c>
      <c r="AI75" s="10">
        <f>IF(AH75="YES",MAX(X75,Y75,Z75,AA75),"")</f>
        <v/>
      </c>
      <c r="AJ75">
        <f>IF(AND(B75="",C75=""),"",IF(OR(S75="Not interested",S75="Opt-out / do not contact"),"X Declined / suppressed",IF(S75="Bounced / undeliverable","X Bounced — research",IF(AC75&lt;&gt;"","13 Transacting",IF(AH75="YES","12 ACTIVATED",IF(Z75&lt;&gt;"","11 Listing live",IF(Y75&lt;&gt;"","10 Profile complete",IF(X75&lt;&gt;"","9 Approved",IF(W75&lt;&gt;"","8 KYC submitted",IF(V75&lt;&gt;"","7 Registered",IF(T75&lt;&gt;"","5 Interested",IF(R75&lt;&gt;"","4 Responded",IF(O75&lt;&gt;"","2 Contacted","1 Not yet contacted")))))))))))))</f>
        <v/>
      </c>
      <c r="AK75" s="10">
        <f>IF(AF75&lt;&gt;"",AF75,IF(OR(O75="",R75&lt;&gt;"",LEFT(AJ75,1)="X"),"",IF(Q75&lt;&gt;"","",IF(P75&lt;&gt;"",P75+SETTINGS!$B$4,O75+SETTINGS!$B$3))))</f>
        <v/>
      </c>
      <c r="AL75">
        <f>IF(AJ75="","",IF(LEFT(AJ75,1)="X","None — do not contact",IF(AJ75="1 Not yet contacted","Verify route today, then send M1",IF(AND(R75="",Q75&lt;&gt;""),"Sequence complete — no contact before "&amp;TEXT(Q75+SETTINGS!$B$5,"yyyy-mm-dd"),IF(AND(R75="",P75&lt;&gt;""),"Send final note (M4)",IF(R75="","Send follow-up (M2)",IF(AJ75="12 ACTIVATED","7-day check-in; consent &amp; referral soft ask",IF(AJ75="13 Transacting","Repeat-activity support","Onboarding: move to next stage (see playbook §6)"))))))))</f>
        <v/>
      </c>
      <c r="AM75">
        <f>IF(ISNUMBER(AK75),IF(AK75&lt;=TODAY(),"DUE",""),"")</f>
        <v/>
      </c>
      <c r="AN75">
        <f>IF(COUNT(O75,P75,Q75,R75,T75,V75,W75,X75,Y75,Z75,AA75,AC75)=0,"",TODAY()-MAX(O75,P75,Q75,R75,T75,V75,W75,X75,Y75,Z75,AA75,AC75))</f>
        <v/>
      </c>
      <c r="AO75">
        <f>IF(AJ75="","",IF(AND(T75&lt;&gt;"",U75&lt;&gt;"Active (verified)"),"GST: escalate (no tax advice)",IF(AND(IFERROR(VALUE(LEFT(AJ75,2)),0)&gt;=5,AH75&lt;&gt;"YES",ISNUMBER(AN75),AN75&gt;SETTINGS!$B$14),"STUCK in onboarding","")))</f>
        <v/>
      </c>
    </row>
    <row r="76">
      <c r="A76" t="n">
        <v>75</v>
      </c>
      <c r="B76" t="inlineStr">
        <is>
          <t>UPK2-BM-049</t>
        </is>
      </c>
      <c r="C76" t="inlineStr">
        <is>
          <t>Saloni Makeup Artist</t>
        </is>
      </c>
      <c r="D76" t="inlineStr">
        <is>
          <t>Beauty &amp; Makeup</t>
        </is>
      </c>
      <c r="E76" t="inlineStr">
        <is>
          <t>BM-INDEPENDENT-MUA</t>
        </is>
      </c>
      <c r="F76" t="inlineStr">
        <is>
          <t>Jaipur</t>
        </is>
      </c>
      <c r="G76" t="inlineStr">
        <is>
          <t>A</t>
        </is>
      </c>
      <c r="H76" t="inlineStr">
        <is>
          <t>P0</t>
        </is>
      </c>
      <c r="I76" t="inlineStr">
        <is>
          <t>under-discovered</t>
        </is>
      </c>
      <c r="J76" t="inlineStr">
        <is>
          <t>Personal 1:1 email from founder/team to published business email</t>
        </is>
      </c>
      <c r="K76" t="inlineStr">
        <is>
          <t>https://salonimakeupartist.com/</t>
        </is>
      </c>
      <c r="L76" t="inlineStr">
        <is>
          <t>W1 Founding cohort</t>
        </is>
      </c>
      <c r="M76" t="inlineStr"/>
      <c r="N76" t="inlineStr"/>
      <c r="O76" s="10" t="inlineStr"/>
      <c r="P76" s="10" t="inlineStr"/>
      <c r="Q76" s="10" t="inlineStr"/>
      <c r="R76" s="10" t="inlineStr"/>
      <c r="S76" t="inlineStr"/>
      <c r="T76" s="10" t="inlineStr"/>
      <c r="U76" t="inlineStr"/>
      <c r="V76" s="10" t="inlineStr"/>
      <c r="W76" s="10" t="inlineStr"/>
      <c r="X76" s="10" t="inlineStr"/>
      <c r="Y76" s="10" t="inlineStr"/>
      <c r="Z76" s="10" t="inlineStr"/>
      <c r="AA76" s="10" t="inlineStr"/>
      <c r="AB76" t="inlineStr"/>
      <c r="AC76" s="10" t="inlineStr"/>
      <c r="AD76" t="inlineStr"/>
      <c r="AE76" t="inlineStr"/>
      <c r="AF76" s="10" t="inlineStr"/>
      <c r="AG76" t="inlineStr"/>
      <c r="AH76">
        <f>IF(AND(B76="",C76=""),"",IF(AND(X76&lt;&gt;"",Y76&lt;&gt;"",Z76&lt;&gt;"",AA76&lt;&gt;"",AB76="Y"),"YES","no"))</f>
        <v/>
      </c>
      <c r="AI76" s="10">
        <f>IF(AH76="YES",MAX(X76,Y76,Z76,AA76),"")</f>
        <v/>
      </c>
      <c r="AJ76">
        <f>IF(AND(B76="",C76=""),"",IF(OR(S76="Not interested",S76="Opt-out / do not contact"),"X Declined / suppressed",IF(S76="Bounced / undeliverable","X Bounced — research",IF(AC76&lt;&gt;"","13 Transacting",IF(AH76="YES","12 ACTIVATED",IF(Z76&lt;&gt;"","11 Listing live",IF(Y76&lt;&gt;"","10 Profile complete",IF(X76&lt;&gt;"","9 Approved",IF(W76&lt;&gt;"","8 KYC submitted",IF(V76&lt;&gt;"","7 Registered",IF(T76&lt;&gt;"","5 Interested",IF(R76&lt;&gt;"","4 Responded",IF(O76&lt;&gt;"","2 Contacted","1 Not yet contacted")))))))))))))</f>
        <v/>
      </c>
      <c r="AK76" s="10">
        <f>IF(AF76&lt;&gt;"",AF76,IF(OR(O76="",R76&lt;&gt;"",LEFT(AJ76,1)="X"),"",IF(Q76&lt;&gt;"","",IF(P76&lt;&gt;"",P76+SETTINGS!$B$4,O76+SETTINGS!$B$3))))</f>
        <v/>
      </c>
      <c r="AL76">
        <f>IF(AJ76="","",IF(LEFT(AJ76,1)="X","None — do not contact",IF(AJ76="1 Not yet contacted","Verify route today, then send M1",IF(AND(R76="",Q76&lt;&gt;""),"Sequence complete — no contact before "&amp;TEXT(Q76+SETTINGS!$B$5,"yyyy-mm-dd"),IF(AND(R76="",P76&lt;&gt;""),"Send final note (M4)",IF(R76="","Send follow-up (M2)",IF(AJ76="12 ACTIVATED","7-day check-in; consent &amp; referral soft ask",IF(AJ76="13 Transacting","Repeat-activity support","Onboarding: move to next stage (see playbook §6)"))))))))</f>
        <v/>
      </c>
      <c r="AM76">
        <f>IF(ISNUMBER(AK76),IF(AK76&lt;=TODAY(),"DUE",""),"")</f>
        <v/>
      </c>
      <c r="AN76">
        <f>IF(COUNT(O76,P76,Q76,R76,T76,V76,W76,X76,Y76,Z76,AA76,AC76)=0,"",TODAY()-MAX(O76,P76,Q76,R76,T76,V76,W76,X76,Y76,Z76,AA76,AC76))</f>
        <v/>
      </c>
      <c r="AO76">
        <f>IF(AJ76="","",IF(AND(T76&lt;&gt;"",U76&lt;&gt;"Active (verified)"),"GST: escalate (no tax advice)",IF(AND(IFERROR(VALUE(LEFT(AJ76,2)),0)&gt;=5,AH76&lt;&gt;"YES",ISNUMBER(AN76),AN76&gt;SETTINGS!$B$14),"STUCK in onboarding","")))</f>
        <v/>
      </c>
    </row>
    <row r="77">
      <c r="A77" t="n">
        <v>76</v>
      </c>
      <c r="B77" t="inlineStr">
        <is>
          <t>UPK2-BM-166</t>
        </is>
      </c>
      <c r="C77" t="inlineStr">
        <is>
          <t>Pinkbyneena</t>
        </is>
      </c>
      <c r="D77" t="inlineStr">
        <is>
          <t>Beauty &amp; Makeup</t>
        </is>
      </c>
      <c r="E77" t="inlineStr">
        <is>
          <t>BM-INDEPENDENT-MUA</t>
        </is>
      </c>
      <c r="F77" t="inlineStr">
        <is>
          <t>Bengaluru</t>
        </is>
      </c>
      <c r="G77" t="inlineStr">
        <is>
          <t>B</t>
        </is>
      </c>
      <c r="H77" t="inlineStr">
        <is>
          <t>P0</t>
        </is>
      </c>
      <c r="I77" t="inlineStr"/>
      <c r="J77" t="inlineStr">
        <is>
          <t>Personal 1:1 email from founder/team to published business email</t>
        </is>
      </c>
      <c r="K77" t="inlineStr">
        <is>
          <t>https://www.pinkbyneena.com/</t>
        </is>
      </c>
      <c r="L77" t="inlineStr">
        <is>
          <t>W1 Founding cohort</t>
        </is>
      </c>
      <c r="M77" t="inlineStr"/>
      <c r="N77" t="inlineStr"/>
      <c r="O77" s="10" t="inlineStr"/>
      <c r="P77" s="10" t="inlineStr"/>
      <c r="Q77" s="10" t="inlineStr"/>
      <c r="R77" s="10" t="inlineStr"/>
      <c r="S77" t="inlineStr"/>
      <c r="T77" s="10" t="inlineStr"/>
      <c r="U77" t="inlineStr"/>
      <c r="V77" s="10" t="inlineStr"/>
      <c r="W77" s="10" t="inlineStr"/>
      <c r="X77" s="10" t="inlineStr"/>
      <c r="Y77" s="10" t="inlineStr"/>
      <c r="Z77" s="10" t="inlineStr"/>
      <c r="AA77" s="10" t="inlineStr"/>
      <c r="AB77" t="inlineStr"/>
      <c r="AC77" s="10" t="inlineStr"/>
      <c r="AD77" t="inlineStr"/>
      <c r="AE77" t="inlineStr"/>
      <c r="AF77" s="10" t="inlineStr"/>
      <c r="AG77" t="inlineStr"/>
      <c r="AH77">
        <f>IF(AND(B77="",C77=""),"",IF(AND(X77&lt;&gt;"",Y77&lt;&gt;"",Z77&lt;&gt;"",AA77&lt;&gt;"",AB77="Y"),"YES","no"))</f>
        <v/>
      </c>
      <c r="AI77" s="10">
        <f>IF(AH77="YES",MAX(X77,Y77,Z77,AA77),"")</f>
        <v/>
      </c>
      <c r="AJ77">
        <f>IF(AND(B77="",C77=""),"",IF(OR(S77="Not interested",S77="Opt-out / do not contact"),"X Declined / suppressed",IF(S77="Bounced / undeliverable","X Bounced — research",IF(AC77&lt;&gt;"","13 Transacting",IF(AH77="YES","12 ACTIVATED",IF(Z77&lt;&gt;"","11 Listing live",IF(Y77&lt;&gt;"","10 Profile complete",IF(X77&lt;&gt;"","9 Approved",IF(W77&lt;&gt;"","8 KYC submitted",IF(V77&lt;&gt;"","7 Registered",IF(T77&lt;&gt;"","5 Interested",IF(R77&lt;&gt;"","4 Responded",IF(O77&lt;&gt;"","2 Contacted","1 Not yet contacted")))))))))))))</f>
        <v/>
      </c>
      <c r="AK77" s="10">
        <f>IF(AF77&lt;&gt;"",AF77,IF(OR(O77="",R77&lt;&gt;"",LEFT(AJ77,1)="X"),"",IF(Q77&lt;&gt;"","",IF(P77&lt;&gt;"",P77+SETTINGS!$B$4,O77+SETTINGS!$B$3))))</f>
        <v/>
      </c>
      <c r="AL77">
        <f>IF(AJ77="","",IF(LEFT(AJ77,1)="X","None — do not contact",IF(AJ77="1 Not yet contacted","Verify route today, then send M1",IF(AND(R77="",Q77&lt;&gt;""),"Sequence complete — no contact before "&amp;TEXT(Q77+SETTINGS!$B$5,"yyyy-mm-dd"),IF(AND(R77="",P77&lt;&gt;""),"Send final note (M4)",IF(R77="","Send follow-up (M2)",IF(AJ77="12 ACTIVATED","7-day check-in; consent &amp; referral soft ask",IF(AJ77="13 Transacting","Repeat-activity support","Onboarding: move to next stage (see playbook §6)"))))))))</f>
        <v/>
      </c>
      <c r="AM77">
        <f>IF(ISNUMBER(AK77),IF(AK77&lt;=TODAY(),"DUE",""),"")</f>
        <v/>
      </c>
      <c r="AN77">
        <f>IF(COUNT(O77,P77,Q77,R77,T77,V77,W77,X77,Y77,Z77,AA77,AC77)=0,"",TODAY()-MAX(O77,P77,Q77,R77,T77,V77,W77,X77,Y77,Z77,AA77,AC77))</f>
        <v/>
      </c>
      <c r="AO77">
        <f>IF(AJ77="","",IF(AND(T77&lt;&gt;"",U77&lt;&gt;"Active (verified)"),"GST: escalate (no tax advice)",IF(AND(IFERROR(VALUE(LEFT(AJ77,2)),0)&gt;=5,AH77&lt;&gt;"YES",ISNUMBER(AN77),AN77&gt;SETTINGS!$B$14),"STUCK in onboarding","")))</f>
        <v/>
      </c>
    </row>
    <row r="78">
      <c r="A78" t="n">
        <v>77</v>
      </c>
      <c r="B78" t="inlineStr">
        <is>
          <t>UPK2-BM-230</t>
        </is>
      </c>
      <c r="C78" t="inlineStr">
        <is>
          <t>Abhishek Mehandi Art</t>
        </is>
      </c>
      <c r="D78" t="inlineStr">
        <is>
          <t>Beauty &amp; Makeup</t>
        </is>
      </c>
      <c r="E78" t="inlineStr">
        <is>
          <t>BM-MEHENDI</t>
        </is>
      </c>
      <c r="F78" t="inlineStr">
        <is>
          <t>Delhi NCR</t>
        </is>
      </c>
      <c r="G78" t="inlineStr">
        <is>
          <t>B</t>
        </is>
      </c>
      <c r="H78" t="inlineStr">
        <is>
          <t>P1</t>
        </is>
      </c>
      <c r="I78" t="inlineStr"/>
      <c r="J78" t="inlineStr">
        <is>
          <t>Personal 1:1 email from founder/team to published business email</t>
        </is>
      </c>
      <c r="K78" t="inlineStr">
        <is>
          <t>https://abhishekmehandiart.com/</t>
        </is>
      </c>
      <c r="L78" t="inlineStr">
        <is>
          <t>W1 Founding cohort</t>
        </is>
      </c>
      <c r="M78" t="inlineStr"/>
      <c r="N78" t="inlineStr"/>
      <c r="O78" s="10" t="inlineStr"/>
      <c r="P78" s="10" t="inlineStr"/>
      <c r="Q78" s="10" t="inlineStr"/>
      <c r="R78" s="10" t="inlineStr"/>
      <c r="S78" t="inlineStr"/>
      <c r="T78" s="10" t="inlineStr"/>
      <c r="U78" t="inlineStr"/>
      <c r="V78" s="10" t="inlineStr"/>
      <c r="W78" s="10" t="inlineStr"/>
      <c r="X78" s="10" t="inlineStr"/>
      <c r="Y78" s="10" t="inlineStr"/>
      <c r="Z78" s="10" t="inlineStr"/>
      <c r="AA78" s="10" t="inlineStr"/>
      <c r="AB78" t="inlineStr"/>
      <c r="AC78" s="10" t="inlineStr"/>
      <c r="AD78" t="inlineStr"/>
      <c r="AE78" t="inlineStr"/>
      <c r="AF78" s="10" t="inlineStr"/>
      <c r="AG78" t="inlineStr"/>
      <c r="AH78">
        <f>IF(AND(B78="",C78=""),"",IF(AND(X78&lt;&gt;"",Y78&lt;&gt;"",Z78&lt;&gt;"",AA78&lt;&gt;"",AB78="Y"),"YES","no"))</f>
        <v/>
      </c>
      <c r="AI78" s="10">
        <f>IF(AH78="YES",MAX(X78,Y78,Z78,AA78),"")</f>
        <v/>
      </c>
      <c r="AJ78">
        <f>IF(AND(B78="",C78=""),"",IF(OR(S78="Not interested",S78="Opt-out / do not contact"),"X Declined / suppressed",IF(S78="Bounced / undeliverable","X Bounced — research",IF(AC78&lt;&gt;"","13 Transacting",IF(AH78="YES","12 ACTIVATED",IF(Z78&lt;&gt;"","11 Listing live",IF(Y78&lt;&gt;"","10 Profile complete",IF(X78&lt;&gt;"","9 Approved",IF(W78&lt;&gt;"","8 KYC submitted",IF(V78&lt;&gt;"","7 Registered",IF(T78&lt;&gt;"","5 Interested",IF(R78&lt;&gt;"","4 Responded",IF(O78&lt;&gt;"","2 Contacted","1 Not yet contacted")))))))))))))</f>
        <v/>
      </c>
      <c r="AK78" s="10">
        <f>IF(AF78&lt;&gt;"",AF78,IF(OR(O78="",R78&lt;&gt;"",LEFT(AJ78,1)="X"),"",IF(Q78&lt;&gt;"","",IF(P78&lt;&gt;"",P78+SETTINGS!$B$4,O78+SETTINGS!$B$3))))</f>
        <v/>
      </c>
      <c r="AL78">
        <f>IF(AJ78="","",IF(LEFT(AJ78,1)="X","None — do not contact",IF(AJ78="1 Not yet contacted","Verify route today, then send M1",IF(AND(R78="",Q78&lt;&gt;""),"Sequence complete — no contact before "&amp;TEXT(Q78+SETTINGS!$B$5,"yyyy-mm-dd"),IF(AND(R78="",P78&lt;&gt;""),"Send final note (M4)",IF(R78="","Send follow-up (M2)",IF(AJ78="12 ACTIVATED","7-day check-in; consent &amp; referral soft ask",IF(AJ78="13 Transacting","Repeat-activity support","Onboarding: move to next stage (see playbook §6)"))))))))</f>
        <v/>
      </c>
      <c r="AM78">
        <f>IF(ISNUMBER(AK78),IF(AK78&lt;=TODAY(),"DUE",""),"")</f>
        <v/>
      </c>
      <c r="AN78">
        <f>IF(COUNT(O78,P78,Q78,R78,T78,V78,W78,X78,Y78,Z78,AA78,AC78)=0,"",TODAY()-MAX(O78,P78,Q78,R78,T78,V78,W78,X78,Y78,Z78,AA78,AC78))</f>
        <v/>
      </c>
      <c r="AO78">
        <f>IF(AJ78="","",IF(AND(T78&lt;&gt;"",U78&lt;&gt;"Active (verified)"),"GST: escalate (no tax advice)",IF(AND(IFERROR(VALUE(LEFT(AJ78,2)),0)&gt;=5,AH78&lt;&gt;"YES",ISNUMBER(AN78),AN78&gt;SETTINGS!$B$14),"STUCK in onboarding","")))</f>
        <v/>
      </c>
    </row>
    <row r="79">
      <c r="A79" t="n">
        <v>78</v>
      </c>
      <c r="B79" t="inlineStr">
        <is>
          <t>UPK2-BM-253</t>
        </is>
      </c>
      <c r="C79" t="inlineStr">
        <is>
          <t>Meera Bhandari Makeovers</t>
        </is>
      </c>
      <c r="D79" t="inlineStr">
        <is>
          <t>Beauty &amp; Makeup</t>
        </is>
      </c>
      <c r="E79" t="inlineStr">
        <is>
          <t>BM-INDEPENDENT-MUA</t>
        </is>
      </c>
      <c r="F79" t="inlineStr">
        <is>
          <t>Jaipur</t>
        </is>
      </c>
      <c r="G79" t="inlineStr">
        <is>
          <t>B</t>
        </is>
      </c>
      <c r="H79" t="inlineStr">
        <is>
          <t>P0</t>
        </is>
      </c>
      <c r="I79" t="inlineStr"/>
      <c r="J79" t="inlineStr">
        <is>
          <t>1:1 message via own-website contact form</t>
        </is>
      </c>
      <c r="K79" t="inlineStr">
        <is>
          <t>https://meerabhandarimakeovers.com/</t>
        </is>
      </c>
      <c r="L79" t="inlineStr">
        <is>
          <t>W1 Founding cohort</t>
        </is>
      </c>
      <c r="M79" t="inlineStr"/>
      <c r="N79" t="inlineStr"/>
      <c r="O79" s="10" t="inlineStr"/>
      <c r="P79" s="10" t="inlineStr"/>
      <c r="Q79" s="10" t="inlineStr"/>
      <c r="R79" s="10" t="inlineStr"/>
      <c r="S79" t="inlineStr"/>
      <c r="T79" s="10" t="inlineStr"/>
      <c r="U79" t="inlineStr"/>
      <c r="V79" s="10" t="inlineStr"/>
      <c r="W79" s="10" t="inlineStr"/>
      <c r="X79" s="10" t="inlineStr"/>
      <c r="Y79" s="10" t="inlineStr"/>
      <c r="Z79" s="10" t="inlineStr"/>
      <c r="AA79" s="10" t="inlineStr"/>
      <c r="AB79" t="inlineStr"/>
      <c r="AC79" s="10" t="inlineStr"/>
      <c r="AD79" t="inlineStr"/>
      <c r="AE79" t="inlineStr"/>
      <c r="AF79" s="10" t="inlineStr"/>
      <c r="AG79" t="inlineStr"/>
      <c r="AH79">
        <f>IF(AND(B79="",C79=""),"",IF(AND(X79&lt;&gt;"",Y79&lt;&gt;"",Z79&lt;&gt;"",AA79&lt;&gt;"",AB79="Y"),"YES","no"))</f>
        <v/>
      </c>
      <c r="AI79" s="10">
        <f>IF(AH79="YES",MAX(X79,Y79,Z79,AA79),"")</f>
        <v/>
      </c>
      <c r="AJ79">
        <f>IF(AND(B79="",C79=""),"",IF(OR(S79="Not interested",S79="Opt-out / do not contact"),"X Declined / suppressed",IF(S79="Bounced / undeliverable","X Bounced — research",IF(AC79&lt;&gt;"","13 Transacting",IF(AH79="YES","12 ACTIVATED",IF(Z79&lt;&gt;"","11 Listing live",IF(Y79&lt;&gt;"","10 Profile complete",IF(X79&lt;&gt;"","9 Approved",IF(W79&lt;&gt;"","8 KYC submitted",IF(V79&lt;&gt;"","7 Registered",IF(T79&lt;&gt;"","5 Interested",IF(R79&lt;&gt;"","4 Responded",IF(O79&lt;&gt;"","2 Contacted","1 Not yet contacted")))))))))))))</f>
        <v/>
      </c>
      <c r="AK79" s="10">
        <f>IF(AF79&lt;&gt;"",AF79,IF(OR(O79="",R79&lt;&gt;"",LEFT(AJ79,1)="X"),"",IF(Q79&lt;&gt;"","",IF(P79&lt;&gt;"",P79+SETTINGS!$B$4,O79+SETTINGS!$B$3))))</f>
        <v/>
      </c>
      <c r="AL79">
        <f>IF(AJ79="","",IF(LEFT(AJ79,1)="X","None — do not contact",IF(AJ79="1 Not yet contacted","Verify route today, then send M1",IF(AND(R79="",Q79&lt;&gt;""),"Sequence complete — no contact before "&amp;TEXT(Q79+SETTINGS!$B$5,"yyyy-mm-dd"),IF(AND(R79="",P79&lt;&gt;""),"Send final note (M4)",IF(R79="","Send follow-up (M2)",IF(AJ79="12 ACTIVATED","7-day check-in; consent &amp; referral soft ask",IF(AJ79="13 Transacting","Repeat-activity support","Onboarding: move to next stage (see playbook §6)"))))))))</f>
        <v/>
      </c>
      <c r="AM79">
        <f>IF(ISNUMBER(AK79),IF(AK79&lt;=TODAY(),"DUE",""),"")</f>
        <v/>
      </c>
      <c r="AN79">
        <f>IF(COUNT(O79,P79,Q79,R79,T79,V79,W79,X79,Y79,Z79,AA79,AC79)=0,"",TODAY()-MAX(O79,P79,Q79,R79,T79,V79,W79,X79,Y79,Z79,AA79,AC79))</f>
        <v/>
      </c>
      <c r="AO79">
        <f>IF(AJ79="","",IF(AND(T79&lt;&gt;"",U79&lt;&gt;"Active (verified)"),"GST: escalate (no tax advice)",IF(AND(IFERROR(VALUE(LEFT(AJ79,2)),0)&gt;=5,AH79&lt;&gt;"YES",ISNUMBER(AN79),AN79&gt;SETTINGS!$B$14),"STUCK in onboarding","")))</f>
        <v/>
      </c>
    </row>
    <row r="80">
      <c r="A80" t="n">
        <v>79</v>
      </c>
      <c r="B80" t="inlineStr">
        <is>
          <t>UPK2-BM-188</t>
        </is>
      </c>
      <c r="C80" t="inlineStr">
        <is>
          <t>Seema Sarraf  Makeup Artist</t>
        </is>
      </c>
      <c r="D80" t="inlineStr">
        <is>
          <t>Beauty &amp; Makeup</t>
        </is>
      </c>
      <c r="E80" t="inlineStr">
        <is>
          <t>BM-INDEPENDENT-MUA</t>
        </is>
      </c>
      <c r="F80" t="inlineStr">
        <is>
          <t>Jaipur</t>
        </is>
      </c>
      <c r="G80" t="inlineStr">
        <is>
          <t>B</t>
        </is>
      </c>
      <c r="H80" t="inlineStr">
        <is>
          <t>P0</t>
        </is>
      </c>
      <c r="I80" t="inlineStr"/>
      <c r="J80" t="inlineStr">
        <is>
          <t>Personal 1:1 email from founder/team to published business email</t>
        </is>
      </c>
      <c r="K80" t="inlineStr">
        <is>
          <t>https://seemasarraf.com/</t>
        </is>
      </c>
      <c r="L80" t="inlineStr">
        <is>
          <t>W1 Founding cohort</t>
        </is>
      </c>
      <c r="M80" t="inlineStr"/>
      <c r="N80" t="inlineStr"/>
      <c r="O80" s="10" t="inlineStr"/>
      <c r="P80" s="10" t="inlineStr"/>
      <c r="Q80" s="10" t="inlineStr"/>
      <c r="R80" s="10" t="inlineStr"/>
      <c r="S80" t="inlineStr"/>
      <c r="T80" s="10" t="inlineStr"/>
      <c r="U80" t="inlineStr"/>
      <c r="V80" s="10" t="inlineStr"/>
      <c r="W80" s="10" t="inlineStr"/>
      <c r="X80" s="10" t="inlineStr"/>
      <c r="Y80" s="10" t="inlineStr"/>
      <c r="Z80" s="10" t="inlineStr"/>
      <c r="AA80" s="10" t="inlineStr"/>
      <c r="AB80" t="inlineStr"/>
      <c r="AC80" s="10" t="inlineStr"/>
      <c r="AD80" t="inlineStr"/>
      <c r="AE80" t="inlineStr"/>
      <c r="AF80" s="10" t="inlineStr"/>
      <c r="AG80" t="inlineStr"/>
      <c r="AH80">
        <f>IF(AND(B80="",C80=""),"",IF(AND(X80&lt;&gt;"",Y80&lt;&gt;"",Z80&lt;&gt;"",AA80&lt;&gt;"",AB80="Y"),"YES","no"))</f>
        <v/>
      </c>
      <c r="AI80" s="10">
        <f>IF(AH80="YES",MAX(X80,Y80,Z80,AA80),"")</f>
        <v/>
      </c>
      <c r="AJ80">
        <f>IF(AND(B80="",C80=""),"",IF(OR(S80="Not interested",S80="Opt-out / do not contact"),"X Declined / suppressed",IF(S80="Bounced / undeliverable","X Bounced — research",IF(AC80&lt;&gt;"","13 Transacting",IF(AH80="YES","12 ACTIVATED",IF(Z80&lt;&gt;"","11 Listing live",IF(Y80&lt;&gt;"","10 Profile complete",IF(X80&lt;&gt;"","9 Approved",IF(W80&lt;&gt;"","8 KYC submitted",IF(V80&lt;&gt;"","7 Registered",IF(T80&lt;&gt;"","5 Interested",IF(R80&lt;&gt;"","4 Responded",IF(O80&lt;&gt;"","2 Contacted","1 Not yet contacted")))))))))))))</f>
        <v/>
      </c>
      <c r="AK80" s="10">
        <f>IF(AF80&lt;&gt;"",AF80,IF(OR(O80="",R80&lt;&gt;"",LEFT(AJ80,1)="X"),"",IF(Q80&lt;&gt;"","",IF(P80&lt;&gt;"",P80+SETTINGS!$B$4,O80+SETTINGS!$B$3))))</f>
        <v/>
      </c>
      <c r="AL80">
        <f>IF(AJ80="","",IF(LEFT(AJ80,1)="X","None — do not contact",IF(AJ80="1 Not yet contacted","Verify route today, then send M1",IF(AND(R80="",Q80&lt;&gt;""),"Sequence complete — no contact before "&amp;TEXT(Q80+SETTINGS!$B$5,"yyyy-mm-dd"),IF(AND(R80="",P80&lt;&gt;""),"Send final note (M4)",IF(R80="","Send follow-up (M2)",IF(AJ80="12 ACTIVATED","7-day check-in; consent &amp; referral soft ask",IF(AJ80="13 Transacting","Repeat-activity support","Onboarding: move to next stage (see playbook §6)"))))))))</f>
        <v/>
      </c>
      <c r="AM80">
        <f>IF(ISNUMBER(AK80),IF(AK80&lt;=TODAY(),"DUE",""),"")</f>
        <v/>
      </c>
      <c r="AN80">
        <f>IF(COUNT(O80,P80,Q80,R80,T80,V80,W80,X80,Y80,Z80,AA80,AC80)=0,"",TODAY()-MAX(O80,P80,Q80,R80,T80,V80,W80,X80,Y80,Z80,AA80,AC80))</f>
        <v/>
      </c>
      <c r="AO80">
        <f>IF(AJ80="","",IF(AND(T80&lt;&gt;"",U80&lt;&gt;"Active (verified)"),"GST: escalate (no tax advice)",IF(AND(IFERROR(VALUE(LEFT(AJ80,2)),0)&gt;=5,AH80&lt;&gt;"YES",ISNUMBER(AN80),AN80&gt;SETTINGS!$B$14),"STUCK in onboarding","")))</f>
        <v/>
      </c>
    </row>
    <row r="81">
      <c r="A81" t="n">
        <v>80</v>
      </c>
      <c r="B81" t="inlineStr">
        <is>
          <t>UPK2-BM-171</t>
        </is>
      </c>
      <c r="C81" t="inlineStr">
        <is>
          <t>V2 Makeover</t>
        </is>
      </c>
      <c r="D81" t="inlineStr">
        <is>
          <t>Beauty &amp; Makeup</t>
        </is>
      </c>
      <c r="E81" t="inlineStr">
        <is>
          <t>BM-INDEPENDENT-MUA</t>
        </is>
      </c>
      <c r="F81" t="inlineStr">
        <is>
          <t>Bengaluru</t>
        </is>
      </c>
      <c r="G81" t="inlineStr">
        <is>
          <t>B</t>
        </is>
      </c>
      <c r="H81" t="inlineStr">
        <is>
          <t>P0</t>
        </is>
      </c>
      <c r="I81" t="inlineStr"/>
      <c r="J81" t="inlineStr">
        <is>
          <t>Personal 1:1 email from founder/team to published business email</t>
        </is>
      </c>
      <c r="K81" t="inlineStr">
        <is>
          <t>https://v2makeover.com/</t>
        </is>
      </c>
      <c r="L81" t="inlineStr">
        <is>
          <t>W1 Founding cohort</t>
        </is>
      </c>
      <c r="M81" t="inlineStr"/>
      <c r="N81" t="inlineStr"/>
      <c r="O81" s="10" t="inlineStr"/>
      <c r="P81" s="10" t="inlineStr"/>
      <c r="Q81" s="10" t="inlineStr"/>
      <c r="R81" s="10" t="inlineStr"/>
      <c r="S81" t="inlineStr"/>
      <c r="T81" s="10" t="inlineStr"/>
      <c r="U81" t="inlineStr"/>
      <c r="V81" s="10" t="inlineStr"/>
      <c r="W81" s="10" t="inlineStr"/>
      <c r="X81" s="10" t="inlineStr"/>
      <c r="Y81" s="10" t="inlineStr"/>
      <c r="Z81" s="10" t="inlineStr"/>
      <c r="AA81" s="10" t="inlineStr"/>
      <c r="AB81" t="inlineStr"/>
      <c r="AC81" s="10" t="inlineStr"/>
      <c r="AD81" t="inlineStr"/>
      <c r="AE81" t="inlineStr"/>
      <c r="AF81" s="10" t="inlineStr"/>
      <c r="AG81" t="inlineStr"/>
      <c r="AH81">
        <f>IF(AND(B81="",C81=""),"",IF(AND(X81&lt;&gt;"",Y81&lt;&gt;"",Z81&lt;&gt;"",AA81&lt;&gt;"",AB81="Y"),"YES","no"))</f>
        <v/>
      </c>
      <c r="AI81" s="10">
        <f>IF(AH81="YES",MAX(X81,Y81,Z81,AA81),"")</f>
        <v/>
      </c>
      <c r="AJ81">
        <f>IF(AND(B81="",C81=""),"",IF(OR(S81="Not interested",S81="Opt-out / do not contact"),"X Declined / suppressed",IF(S81="Bounced / undeliverable","X Bounced — research",IF(AC81&lt;&gt;"","13 Transacting",IF(AH81="YES","12 ACTIVATED",IF(Z81&lt;&gt;"","11 Listing live",IF(Y81&lt;&gt;"","10 Profile complete",IF(X81&lt;&gt;"","9 Approved",IF(W81&lt;&gt;"","8 KYC submitted",IF(V81&lt;&gt;"","7 Registered",IF(T81&lt;&gt;"","5 Interested",IF(R81&lt;&gt;"","4 Responded",IF(O81&lt;&gt;"","2 Contacted","1 Not yet contacted")))))))))))))</f>
        <v/>
      </c>
      <c r="AK81" s="10">
        <f>IF(AF81&lt;&gt;"",AF81,IF(OR(O81="",R81&lt;&gt;"",LEFT(AJ81,1)="X"),"",IF(Q81&lt;&gt;"","",IF(P81&lt;&gt;"",P81+SETTINGS!$B$4,O81+SETTINGS!$B$3))))</f>
        <v/>
      </c>
      <c r="AL81">
        <f>IF(AJ81="","",IF(LEFT(AJ81,1)="X","None — do not contact",IF(AJ81="1 Not yet contacted","Verify route today, then send M1",IF(AND(R81="",Q81&lt;&gt;""),"Sequence complete — no contact before "&amp;TEXT(Q81+SETTINGS!$B$5,"yyyy-mm-dd"),IF(AND(R81="",P81&lt;&gt;""),"Send final note (M4)",IF(R81="","Send follow-up (M2)",IF(AJ81="12 ACTIVATED","7-day check-in; consent &amp; referral soft ask",IF(AJ81="13 Transacting","Repeat-activity support","Onboarding: move to next stage (see playbook §6)"))))))))</f>
        <v/>
      </c>
      <c r="AM81">
        <f>IF(ISNUMBER(AK81),IF(AK81&lt;=TODAY(),"DUE",""),"")</f>
        <v/>
      </c>
      <c r="AN81">
        <f>IF(COUNT(O81,P81,Q81,R81,T81,V81,W81,X81,Y81,Z81,AA81,AC81)=0,"",TODAY()-MAX(O81,P81,Q81,R81,T81,V81,W81,X81,Y81,Z81,AA81,AC81))</f>
        <v/>
      </c>
      <c r="AO81">
        <f>IF(AJ81="","",IF(AND(T81&lt;&gt;"",U81&lt;&gt;"Active (verified)"),"GST: escalate (no tax advice)",IF(AND(IFERROR(VALUE(LEFT(AJ81,2)),0)&gt;=5,AH81&lt;&gt;"YES",ISNUMBER(AN81),AN81&gt;SETTINGS!$B$14),"STUCK in onboarding","")))</f>
        <v/>
      </c>
    </row>
    <row r="82">
      <c r="A82" t="n">
        <v>81</v>
      </c>
      <c r="B82" t="inlineStr">
        <is>
          <t>UPK2-BM-190</t>
        </is>
      </c>
      <c r="C82" t="inlineStr">
        <is>
          <t>Mridula Joshi Makeovers</t>
        </is>
      </c>
      <c r="D82" t="inlineStr">
        <is>
          <t>Beauty &amp; Makeup</t>
        </is>
      </c>
      <c r="E82" t="inlineStr">
        <is>
          <t>BM-INDEPENDENT-MUA</t>
        </is>
      </c>
      <c r="F82" t="inlineStr">
        <is>
          <t>Delhi NCR</t>
        </is>
      </c>
      <c r="G82" t="inlineStr">
        <is>
          <t>B</t>
        </is>
      </c>
      <c r="H82" t="inlineStr">
        <is>
          <t>P1</t>
        </is>
      </c>
      <c r="I82" t="inlineStr"/>
      <c r="J82" t="inlineStr">
        <is>
          <t>Personal 1:1 email from founder/team to published business email</t>
        </is>
      </c>
      <c r="K82" t="inlineStr">
        <is>
          <t>https://mridulajoshi.in/</t>
        </is>
      </c>
      <c r="L82" t="inlineStr">
        <is>
          <t>W1 Founding cohort</t>
        </is>
      </c>
      <c r="M82" t="inlineStr"/>
      <c r="N82" t="inlineStr"/>
      <c r="O82" s="10" t="inlineStr"/>
      <c r="P82" s="10" t="inlineStr"/>
      <c r="Q82" s="10" t="inlineStr"/>
      <c r="R82" s="10" t="inlineStr"/>
      <c r="S82" t="inlineStr"/>
      <c r="T82" s="10" t="inlineStr"/>
      <c r="U82" t="inlineStr"/>
      <c r="V82" s="10" t="inlineStr"/>
      <c r="W82" s="10" t="inlineStr"/>
      <c r="X82" s="10" t="inlineStr"/>
      <c r="Y82" s="10" t="inlineStr"/>
      <c r="Z82" s="10" t="inlineStr"/>
      <c r="AA82" s="10" t="inlineStr"/>
      <c r="AB82" t="inlineStr"/>
      <c r="AC82" s="10" t="inlineStr"/>
      <c r="AD82" t="inlineStr"/>
      <c r="AE82" t="inlineStr"/>
      <c r="AF82" s="10" t="inlineStr"/>
      <c r="AG82" t="inlineStr"/>
      <c r="AH82">
        <f>IF(AND(B82="",C82=""),"",IF(AND(X82&lt;&gt;"",Y82&lt;&gt;"",Z82&lt;&gt;"",AA82&lt;&gt;"",AB82="Y"),"YES","no"))</f>
        <v/>
      </c>
      <c r="AI82" s="10">
        <f>IF(AH82="YES",MAX(X82,Y82,Z82,AA82),"")</f>
        <v/>
      </c>
      <c r="AJ82">
        <f>IF(AND(B82="",C82=""),"",IF(OR(S82="Not interested",S82="Opt-out / do not contact"),"X Declined / suppressed",IF(S82="Bounced / undeliverable","X Bounced — research",IF(AC82&lt;&gt;"","13 Transacting",IF(AH82="YES","12 ACTIVATED",IF(Z82&lt;&gt;"","11 Listing live",IF(Y82&lt;&gt;"","10 Profile complete",IF(X82&lt;&gt;"","9 Approved",IF(W82&lt;&gt;"","8 KYC submitted",IF(V82&lt;&gt;"","7 Registered",IF(T82&lt;&gt;"","5 Interested",IF(R82&lt;&gt;"","4 Responded",IF(O82&lt;&gt;"","2 Contacted","1 Not yet contacted")))))))))))))</f>
        <v/>
      </c>
      <c r="AK82" s="10">
        <f>IF(AF82&lt;&gt;"",AF82,IF(OR(O82="",R82&lt;&gt;"",LEFT(AJ82,1)="X"),"",IF(Q82&lt;&gt;"","",IF(P82&lt;&gt;"",P82+SETTINGS!$B$4,O82+SETTINGS!$B$3))))</f>
        <v/>
      </c>
      <c r="AL82">
        <f>IF(AJ82="","",IF(LEFT(AJ82,1)="X","None — do not contact",IF(AJ82="1 Not yet contacted","Verify route today, then send M1",IF(AND(R82="",Q82&lt;&gt;""),"Sequence complete — no contact before "&amp;TEXT(Q82+SETTINGS!$B$5,"yyyy-mm-dd"),IF(AND(R82="",P82&lt;&gt;""),"Send final note (M4)",IF(R82="","Send follow-up (M2)",IF(AJ82="12 ACTIVATED","7-day check-in; consent &amp; referral soft ask",IF(AJ82="13 Transacting","Repeat-activity support","Onboarding: move to next stage (see playbook §6)"))))))))</f>
        <v/>
      </c>
      <c r="AM82">
        <f>IF(ISNUMBER(AK82),IF(AK82&lt;=TODAY(),"DUE",""),"")</f>
        <v/>
      </c>
      <c r="AN82">
        <f>IF(COUNT(O82,P82,Q82,R82,T82,V82,W82,X82,Y82,Z82,AA82,AC82)=0,"",TODAY()-MAX(O82,P82,Q82,R82,T82,V82,W82,X82,Y82,Z82,AA82,AC82))</f>
        <v/>
      </c>
      <c r="AO82">
        <f>IF(AJ82="","",IF(AND(T82&lt;&gt;"",U82&lt;&gt;"Active (verified)"),"GST: escalate (no tax advice)",IF(AND(IFERROR(VALUE(LEFT(AJ82,2)),0)&gt;=5,AH82&lt;&gt;"YES",ISNUMBER(AN82),AN82&gt;SETTINGS!$B$14),"STUCK in onboarding","")))</f>
        <v/>
      </c>
    </row>
    <row r="83">
      <c r="A83" t="n">
        <v>82</v>
      </c>
      <c r="B83" t="inlineStr">
        <is>
          <t>UPK2-BM-001</t>
        </is>
      </c>
      <c r="C83" t="inlineStr">
        <is>
          <t>Wedding Guests Beauty Bar (WGBB)</t>
        </is>
      </c>
      <c r="D83" t="inlineStr">
        <is>
          <t>Beauty &amp; Makeup</t>
        </is>
      </c>
      <c r="E83" t="inlineStr">
        <is>
          <t>BM-STUDIO</t>
        </is>
      </c>
      <c r="F83" t="inlineStr">
        <is>
          <t>Delhi NCR</t>
        </is>
      </c>
      <c r="G83" t="inlineStr">
        <is>
          <t>C</t>
        </is>
      </c>
      <c r="H83" t="inlineStr">
        <is>
          <t>P1</t>
        </is>
      </c>
      <c r="I83" t="inlineStr"/>
      <c r="J83" t="inlineStr">
        <is>
          <t>Personal 1:1 email from founder/team to published business email</t>
        </is>
      </c>
      <c r="K83" t="inlineStr">
        <is>
          <t>https://www.weddingguestsbeautybar.com</t>
        </is>
      </c>
      <c r="L83" t="inlineStr">
        <is>
          <t>W1 Founding cohort</t>
        </is>
      </c>
      <c r="M83" t="inlineStr"/>
      <c r="N83" t="inlineStr"/>
      <c r="O83" s="10" t="inlineStr"/>
      <c r="P83" s="10" t="inlineStr"/>
      <c r="Q83" s="10" t="inlineStr"/>
      <c r="R83" s="10" t="inlineStr"/>
      <c r="S83" t="inlineStr"/>
      <c r="T83" s="10" t="inlineStr"/>
      <c r="U83" t="inlineStr"/>
      <c r="V83" s="10" t="inlineStr"/>
      <c r="W83" s="10" t="inlineStr"/>
      <c r="X83" s="10" t="inlineStr"/>
      <c r="Y83" s="10" t="inlineStr"/>
      <c r="Z83" s="10" t="inlineStr"/>
      <c r="AA83" s="10" t="inlineStr"/>
      <c r="AB83" t="inlineStr"/>
      <c r="AC83" s="10" t="inlineStr"/>
      <c r="AD83" t="inlineStr"/>
      <c r="AE83" t="inlineStr"/>
      <c r="AF83" s="10" t="inlineStr"/>
      <c r="AG83" t="inlineStr"/>
      <c r="AH83">
        <f>IF(AND(B83="",C83=""),"",IF(AND(X83&lt;&gt;"",Y83&lt;&gt;"",Z83&lt;&gt;"",AA83&lt;&gt;"",AB83="Y"),"YES","no"))</f>
        <v/>
      </c>
      <c r="AI83" s="10">
        <f>IF(AH83="YES",MAX(X83,Y83,Z83,AA83),"")</f>
        <v/>
      </c>
      <c r="AJ83">
        <f>IF(AND(B83="",C83=""),"",IF(OR(S83="Not interested",S83="Opt-out / do not contact"),"X Declined / suppressed",IF(S83="Bounced / undeliverable","X Bounced — research",IF(AC83&lt;&gt;"","13 Transacting",IF(AH83="YES","12 ACTIVATED",IF(Z83&lt;&gt;"","11 Listing live",IF(Y83&lt;&gt;"","10 Profile complete",IF(X83&lt;&gt;"","9 Approved",IF(W83&lt;&gt;"","8 KYC submitted",IF(V83&lt;&gt;"","7 Registered",IF(T83&lt;&gt;"","5 Interested",IF(R83&lt;&gt;"","4 Responded",IF(O83&lt;&gt;"","2 Contacted","1 Not yet contacted")))))))))))))</f>
        <v/>
      </c>
      <c r="AK83" s="10">
        <f>IF(AF83&lt;&gt;"",AF83,IF(OR(O83="",R83&lt;&gt;"",LEFT(AJ83,1)="X"),"",IF(Q83&lt;&gt;"","",IF(P83&lt;&gt;"",P83+SETTINGS!$B$4,O83+SETTINGS!$B$3))))</f>
        <v/>
      </c>
      <c r="AL83">
        <f>IF(AJ83="","",IF(LEFT(AJ83,1)="X","None — do not contact",IF(AJ83="1 Not yet contacted","Verify route today, then send M1",IF(AND(R83="",Q83&lt;&gt;""),"Sequence complete — no contact before "&amp;TEXT(Q83+SETTINGS!$B$5,"yyyy-mm-dd"),IF(AND(R83="",P83&lt;&gt;""),"Send final note (M4)",IF(R83="","Send follow-up (M2)",IF(AJ83="12 ACTIVATED","7-day check-in; consent &amp; referral soft ask",IF(AJ83="13 Transacting","Repeat-activity support","Onboarding: move to next stage (see playbook §6)"))))))))</f>
        <v/>
      </c>
      <c r="AM83">
        <f>IF(ISNUMBER(AK83),IF(AK83&lt;=TODAY(),"DUE",""),"")</f>
        <v/>
      </c>
      <c r="AN83">
        <f>IF(COUNT(O83,P83,Q83,R83,T83,V83,W83,X83,Y83,Z83,AA83,AC83)=0,"",TODAY()-MAX(O83,P83,Q83,R83,T83,V83,W83,X83,Y83,Z83,AA83,AC83))</f>
        <v/>
      </c>
      <c r="AO83">
        <f>IF(AJ83="","",IF(AND(T83&lt;&gt;"",U83&lt;&gt;"Active (verified)"),"GST: escalate (no tax advice)",IF(AND(IFERROR(VALUE(LEFT(AJ83,2)),0)&gt;=5,AH83&lt;&gt;"YES",ISNUMBER(AN83),AN83&gt;SETTINGS!$B$14),"STUCK in onboarding","")))</f>
        <v/>
      </c>
    </row>
    <row r="84">
      <c r="A84" t="n">
        <v>83</v>
      </c>
      <c r="B84" t="inlineStr">
        <is>
          <t>UPK2-BM-240</t>
        </is>
      </c>
      <c r="C84" t="inlineStr">
        <is>
          <t>Yogesh Mehandi Art</t>
        </is>
      </c>
      <c r="D84" t="inlineStr">
        <is>
          <t>Beauty &amp; Makeup</t>
        </is>
      </c>
      <c r="E84" t="inlineStr">
        <is>
          <t>BM-MEHENDI</t>
        </is>
      </c>
      <c r="F84" t="inlineStr">
        <is>
          <t>Delhi NCR</t>
        </is>
      </c>
      <c r="G84" t="inlineStr">
        <is>
          <t>B</t>
        </is>
      </c>
      <c r="H84" t="inlineStr">
        <is>
          <t>P1</t>
        </is>
      </c>
      <c r="I84" t="inlineStr"/>
      <c r="J84" t="inlineStr">
        <is>
          <t>Personal 1:1 email from founder/team to published business email</t>
        </is>
      </c>
      <c r="K84" t="inlineStr">
        <is>
          <t>https://yogeshmehandiart.com/</t>
        </is>
      </c>
      <c r="L84" t="inlineStr">
        <is>
          <t>W1 Founding cohort</t>
        </is>
      </c>
      <c r="M84" t="inlineStr"/>
      <c r="N84" t="inlineStr"/>
      <c r="O84" s="10" t="inlineStr"/>
      <c r="P84" s="10" t="inlineStr"/>
      <c r="Q84" s="10" t="inlineStr"/>
      <c r="R84" s="10" t="inlineStr"/>
      <c r="S84" t="inlineStr"/>
      <c r="T84" s="10" t="inlineStr"/>
      <c r="U84" t="inlineStr"/>
      <c r="V84" s="10" t="inlineStr"/>
      <c r="W84" s="10" t="inlineStr"/>
      <c r="X84" s="10" t="inlineStr"/>
      <c r="Y84" s="10" t="inlineStr"/>
      <c r="Z84" s="10" t="inlineStr"/>
      <c r="AA84" s="10" t="inlineStr"/>
      <c r="AB84" t="inlineStr"/>
      <c r="AC84" s="10" t="inlineStr"/>
      <c r="AD84" t="inlineStr"/>
      <c r="AE84" t="inlineStr"/>
      <c r="AF84" s="10" t="inlineStr"/>
      <c r="AG84" t="inlineStr"/>
      <c r="AH84">
        <f>IF(AND(B84="",C84=""),"",IF(AND(X84&lt;&gt;"",Y84&lt;&gt;"",Z84&lt;&gt;"",AA84&lt;&gt;"",AB84="Y"),"YES","no"))</f>
        <v/>
      </c>
      <c r="AI84" s="10">
        <f>IF(AH84="YES",MAX(X84,Y84,Z84,AA84),"")</f>
        <v/>
      </c>
      <c r="AJ84">
        <f>IF(AND(B84="",C84=""),"",IF(OR(S84="Not interested",S84="Opt-out / do not contact"),"X Declined / suppressed",IF(S84="Bounced / undeliverable","X Bounced — research",IF(AC84&lt;&gt;"","13 Transacting",IF(AH84="YES","12 ACTIVATED",IF(Z84&lt;&gt;"","11 Listing live",IF(Y84&lt;&gt;"","10 Profile complete",IF(X84&lt;&gt;"","9 Approved",IF(W84&lt;&gt;"","8 KYC submitted",IF(V84&lt;&gt;"","7 Registered",IF(T84&lt;&gt;"","5 Interested",IF(R84&lt;&gt;"","4 Responded",IF(O84&lt;&gt;"","2 Contacted","1 Not yet contacted")))))))))))))</f>
        <v/>
      </c>
      <c r="AK84" s="10">
        <f>IF(AF84&lt;&gt;"",AF84,IF(OR(O84="",R84&lt;&gt;"",LEFT(AJ84,1)="X"),"",IF(Q84&lt;&gt;"","",IF(P84&lt;&gt;"",P84+SETTINGS!$B$4,O84+SETTINGS!$B$3))))</f>
        <v/>
      </c>
      <c r="AL84">
        <f>IF(AJ84="","",IF(LEFT(AJ84,1)="X","None — do not contact",IF(AJ84="1 Not yet contacted","Verify route today, then send M1",IF(AND(R84="",Q84&lt;&gt;""),"Sequence complete — no contact before "&amp;TEXT(Q84+SETTINGS!$B$5,"yyyy-mm-dd"),IF(AND(R84="",P84&lt;&gt;""),"Send final note (M4)",IF(R84="","Send follow-up (M2)",IF(AJ84="12 ACTIVATED","7-day check-in; consent &amp; referral soft ask",IF(AJ84="13 Transacting","Repeat-activity support","Onboarding: move to next stage (see playbook §6)"))))))))</f>
        <v/>
      </c>
      <c r="AM84">
        <f>IF(ISNUMBER(AK84),IF(AK84&lt;=TODAY(),"DUE",""),"")</f>
        <v/>
      </c>
      <c r="AN84">
        <f>IF(COUNT(O84,P84,Q84,R84,T84,V84,W84,X84,Y84,Z84,AA84,AC84)=0,"",TODAY()-MAX(O84,P84,Q84,R84,T84,V84,W84,X84,Y84,Z84,AA84,AC84))</f>
        <v/>
      </c>
      <c r="AO84">
        <f>IF(AJ84="","",IF(AND(T84&lt;&gt;"",U84&lt;&gt;"Active (verified)"),"GST: escalate (no tax advice)",IF(AND(IFERROR(VALUE(LEFT(AJ84,2)),0)&gt;=5,AH84&lt;&gt;"YES",ISNUMBER(AN84),AN84&gt;SETTINGS!$B$14),"STUCK in onboarding","")))</f>
        <v/>
      </c>
    </row>
    <row r="85">
      <c r="A85" t="n">
        <v>84</v>
      </c>
      <c r="B85" t="inlineStr">
        <is>
          <t>UPK2-BM-252</t>
        </is>
      </c>
      <c r="C85" t="inlineStr">
        <is>
          <t>Raj Mehandi Designer</t>
        </is>
      </c>
      <c r="D85" t="inlineStr">
        <is>
          <t>Beauty &amp; Makeup</t>
        </is>
      </c>
      <c r="E85" t="inlineStr">
        <is>
          <t>BM-MEHENDI</t>
        </is>
      </c>
      <c r="F85" t="inlineStr">
        <is>
          <t>Delhi NCR</t>
        </is>
      </c>
      <c r="G85" t="inlineStr">
        <is>
          <t>B</t>
        </is>
      </c>
      <c r="H85" t="inlineStr">
        <is>
          <t>P0</t>
        </is>
      </c>
      <c r="I85" t="inlineStr"/>
      <c r="J85" t="inlineStr">
        <is>
          <t>Personal 1:1 email from founder/team to published business email</t>
        </is>
      </c>
      <c r="K85" t="inlineStr">
        <is>
          <t>https://www.rajmehandidesigner.com/</t>
        </is>
      </c>
      <c r="L85" t="inlineStr">
        <is>
          <t>W1 Founding cohort</t>
        </is>
      </c>
      <c r="M85" t="inlineStr"/>
      <c r="N85" t="inlineStr"/>
      <c r="O85" s="10" t="inlineStr"/>
      <c r="P85" s="10" t="inlineStr"/>
      <c r="Q85" s="10" t="inlineStr"/>
      <c r="R85" s="10" t="inlineStr"/>
      <c r="S85" t="inlineStr"/>
      <c r="T85" s="10" t="inlineStr"/>
      <c r="U85" t="inlineStr"/>
      <c r="V85" s="10" t="inlineStr"/>
      <c r="W85" s="10" t="inlineStr"/>
      <c r="X85" s="10" t="inlineStr"/>
      <c r="Y85" s="10" t="inlineStr"/>
      <c r="Z85" s="10" t="inlineStr"/>
      <c r="AA85" s="10" t="inlineStr"/>
      <c r="AB85" t="inlineStr"/>
      <c r="AC85" s="10" t="inlineStr"/>
      <c r="AD85" t="inlineStr"/>
      <c r="AE85" t="inlineStr"/>
      <c r="AF85" s="10" t="inlineStr"/>
      <c r="AG85" t="inlineStr"/>
      <c r="AH85">
        <f>IF(AND(B85="",C85=""),"",IF(AND(X85&lt;&gt;"",Y85&lt;&gt;"",Z85&lt;&gt;"",AA85&lt;&gt;"",AB85="Y"),"YES","no"))</f>
        <v/>
      </c>
      <c r="AI85" s="10">
        <f>IF(AH85="YES",MAX(X85,Y85,Z85,AA85),"")</f>
        <v/>
      </c>
      <c r="AJ85">
        <f>IF(AND(B85="",C85=""),"",IF(OR(S85="Not interested",S85="Opt-out / do not contact"),"X Declined / suppressed",IF(S85="Bounced / undeliverable","X Bounced — research",IF(AC85&lt;&gt;"","13 Transacting",IF(AH85="YES","12 ACTIVATED",IF(Z85&lt;&gt;"","11 Listing live",IF(Y85&lt;&gt;"","10 Profile complete",IF(X85&lt;&gt;"","9 Approved",IF(W85&lt;&gt;"","8 KYC submitted",IF(V85&lt;&gt;"","7 Registered",IF(T85&lt;&gt;"","5 Interested",IF(R85&lt;&gt;"","4 Responded",IF(O85&lt;&gt;"","2 Contacted","1 Not yet contacted")))))))))))))</f>
        <v/>
      </c>
      <c r="AK85" s="10">
        <f>IF(AF85&lt;&gt;"",AF85,IF(OR(O85="",R85&lt;&gt;"",LEFT(AJ85,1)="X"),"",IF(Q85&lt;&gt;"","",IF(P85&lt;&gt;"",P85+SETTINGS!$B$4,O85+SETTINGS!$B$3))))</f>
        <v/>
      </c>
      <c r="AL85">
        <f>IF(AJ85="","",IF(LEFT(AJ85,1)="X","None — do not contact",IF(AJ85="1 Not yet contacted","Verify route today, then send M1",IF(AND(R85="",Q85&lt;&gt;""),"Sequence complete — no contact before "&amp;TEXT(Q85+SETTINGS!$B$5,"yyyy-mm-dd"),IF(AND(R85="",P85&lt;&gt;""),"Send final note (M4)",IF(R85="","Send follow-up (M2)",IF(AJ85="12 ACTIVATED","7-day check-in; consent &amp; referral soft ask",IF(AJ85="13 Transacting","Repeat-activity support","Onboarding: move to next stage (see playbook §6)"))))))))</f>
        <v/>
      </c>
      <c r="AM85">
        <f>IF(ISNUMBER(AK85),IF(AK85&lt;=TODAY(),"DUE",""),"")</f>
        <v/>
      </c>
      <c r="AN85">
        <f>IF(COUNT(O85,P85,Q85,R85,T85,V85,W85,X85,Y85,Z85,AA85,AC85)=0,"",TODAY()-MAX(O85,P85,Q85,R85,T85,V85,W85,X85,Y85,Z85,AA85,AC85))</f>
        <v/>
      </c>
      <c r="AO85">
        <f>IF(AJ85="","",IF(AND(T85&lt;&gt;"",U85&lt;&gt;"Active (verified)"),"GST: escalate (no tax advice)",IF(AND(IFERROR(VALUE(LEFT(AJ85,2)),0)&gt;=5,AH85&lt;&gt;"YES",ISNUMBER(AN85),AN85&gt;SETTINGS!$B$14),"STUCK in onboarding","")))</f>
        <v/>
      </c>
    </row>
    <row r="86">
      <c r="A86" t="n">
        <v>85</v>
      </c>
      <c r="B86" t="inlineStr">
        <is>
          <t>UPK2-LM-245</t>
        </is>
      </c>
      <c r="C86" t="inlineStr">
        <is>
          <t>Infini Studios</t>
        </is>
      </c>
      <c r="D86" t="inlineStr">
        <is>
          <t>Lens &amp; Motion</t>
        </is>
      </c>
      <c r="E86" t="inlineStr">
        <is>
          <t>LM-WEDDING</t>
        </is>
      </c>
      <c r="F86" t="inlineStr">
        <is>
          <t>Bengaluru</t>
        </is>
      </c>
      <c r="G86" t="inlineStr">
        <is>
          <t>A</t>
        </is>
      </c>
      <c r="H86" t="inlineStr">
        <is>
          <t>P0</t>
        </is>
      </c>
      <c r="I86" t="inlineStr">
        <is>
          <t>under-discovered</t>
        </is>
      </c>
      <c r="J86" t="inlineStr">
        <is>
          <t>Personal 1:1 email from founder/team to published business email</t>
        </is>
      </c>
      <c r="K86" t="inlineStr">
        <is>
          <t>https://infinistudios.in/en/events</t>
        </is>
      </c>
      <c r="L86" t="inlineStr">
        <is>
          <t>W1 Founding cohort</t>
        </is>
      </c>
      <c r="M86" t="inlineStr"/>
      <c r="N86" t="inlineStr"/>
      <c r="O86" s="10" t="inlineStr"/>
      <c r="P86" s="10" t="inlineStr"/>
      <c r="Q86" s="10" t="inlineStr"/>
      <c r="R86" s="10" t="inlineStr"/>
      <c r="S86" t="inlineStr"/>
      <c r="T86" s="10" t="inlineStr"/>
      <c r="U86" t="inlineStr"/>
      <c r="V86" s="10" t="inlineStr"/>
      <c r="W86" s="10" t="inlineStr"/>
      <c r="X86" s="10" t="inlineStr"/>
      <c r="Y86" s="10" t="inlineStr"/>
      <c r="Z86" s="10" t="inlineStr"/>
      <c r="AA86" s="10" t="inlineStr"/>
      <c r="AB86" t="inlineStr"/>
      <c r="AC86" s="10" t="inlineStr"/>
      <c r="AD86" t="inlineStr"/>
      <c r="AE86" t="inlineStr"/>
      <c r="AF86" s="10" t="inlineStr"/>
      <c r="AG86" t="inlineStr"/>
      <c r="AH86">
        <f>IF(AND(B86="",C86=""),"",IF(AND(X86&lt;&gt;"",Y86&lt;&gt;"",Z86&lt;&gt;"",AA86&lt;&gt;"",AB86="Y"),"YES","no"))</f>
        <v/>
      </c>
      <c r="AI86" s="10">
        <f>IF(AH86="YES",MAX(X86,Y86,Z86,AA86),"")</f>
        <v/>
      </c>
      <c r="AJ86">
        <f>IF(AND(B86="",C86=""),"",IF(OR(S86="Not interested",S86="Opt-out / do not contact"),"X Declined / suppressed",IF(S86="Bounced / undeliverable","X Bounced — research",IF(AC86&lt;&gt;"","13 Transacting",IF(AH86="YES","12 ACTIVATED",IF(Z86&lt;&gt;"","11 Listing live",IF(Y86&lt;&gt;"","10 Profile complete",IF(X86&lt;&gt;"","9 Approved",IF(W86&lt;&gt;"","8 KYC submitted",IF(V86&lt;&gt;"","7 Registered",IF(T86&lt;&gt;"","5 Interested",IF(R86&lt;&gt;"","4 Responded",IF(O86&lt;&gt;"","2 Contacted","1 Not yet contacted")))))))))))))</f>
        <v/>
      </c>
      <c r="AK86" s="10">
        <f>IF(AF86&lt;&gt;"",AF86,IF(OR(O86="",R86&lt;&gt;"",LEFT(AJ86,1)="X"),"",IF(Q86&lt;&gt;"","",IF(P86&lt;&gt;"",P86+SETTINGS!$B$4,O86+SETTINGS!$B$3))))</f>
        <v/>
      </c>
      <c r="AL86">
        <f>IF(AJ86="","",IF(LEFT(AJ86,1)="X","None — do not contact",IF(AJ86="1 Not yet contacted","Verify route today, then send M1",IF(AND(R86="",Q86&lt;&gt;""),"Sequence complete — no contact before "&amp;TEXT(Q86+SETTINGS!$B$5,"yyyy-mm-dd"),IF(AND(R86="",P86&lt;&gt;""),"Send final note (M4)",IF(R86="","Send follow-up (M2)",IF(AJ86="12 ACTIVATED","7-day check-in; consent &amp; referral soft ask",IF(AJ86="13 Transacting","Repeat-activity support","Onboarding: move to next stage (see playbook §6)"))))))))</f>
        <v/>
      </c>
      <c r="AM86">
        <f>IF(ISNUMBER(AK86),IF(AK86&lt;=TODAY(),"DUE",""),"")</f>
        <v/>
      </c>
      <c r="AN86">
        <f>IF(COUNT(O86,P86,Q86,R86,T86,V86,W86,X86,Y86,Z86,AA86,AC86)=0,"",TODAY()-MAX(O86,P86,Q86,R86,T86,V86,W86,X86,Y86,Z86,AA86,AC86))</f>
        <v/>
      </c>
      <c r="AO86">
        <f>IF(AJ86="","",IF(AND(T86&lt;&gt;"",U86&lt;&gt;"Active (verified)"),"GST: escalate (no tax advice)",IF(AND(IFERROR(VALUE(LEFT(AJ86,2)),0)&gt;=5,AH86&lt;&gt;"YES",ISNUMBER(AN86),AN86&gt;SETTINGS!$B$14),"STUCK in onboarding","")))</f>
        <v/>
      </c>
    </row>
    <row r="87">
      <c r="A87" t="n">
        <v>86</v>
      </c>
      <c r="B87" t="inlineStr">
        <is>
          <t>UPK2-LM-249</t>
        </is>
      </c>
      <c r="C87" t="inlineStr">
        <is>
          <t>SunGlam Films</t>
        </is>
      </c>
      <c r="D87" t="inlineStr">
        <is>
          <t>Lens &amp; Motion</t>
        </is>
      </c>
      <c r="E87" t="inlineStr">
        <is>
          <t>LM-WEDDING</t>
        </is>
      </c>
      <c r="F87" t="inlineStr">
        <is>
          <t>Bengaluru</t>
        </is>
      </c>
      <c r="G87" t="inlineStr">
        <is>
          <t>A</t>
        </is>
      </c>
      <c r="H87" t="inlineStr">
        <is>
          <t>P0</t>
        </is>
      </c>
      <c r="I87" t="inlineStr">
        <is>
          <t>under-discovered</t>
        </is>
      </c>
      <c r="J87" t="inlineStr">
        <is>
          <t>Personal 1:1 email from founder/team to published business email</t>
        </is>
      </c>
      <c r="K87" t="inlineStr">
        <is>
          <t>https://www.sunglamfilms.com/</t>
        </is>
      </c>
      <c r="L87" t="inlineStr">
        <is>
          <t>W1 Founding cohort</t>
        </is>
      </c>
      <c r="M87" t="inlineStr"/>
      <c r="N87" t="inlineStr"/>
      <c r="O87" s="10" t="inlineStr"/>
      <c r="P87" s="10" t="inlineStr"/>
      <c r="Q87" s="10" t="inlineStr"/>
      <c r="R87" s="10" t="inlineStr"/>
      <c r="S87" t="inlineStr"/>
      <c r="T87" s="10" t="inlineStr"/>
      <c r="U87" t="inlineStr"/>
      <c r="V87" s="10" t="inlineStr"/>
      <c r="W87" s="10" t="inlineStr"/>
      <c r="X87" s="10" t="inlineStr"/>
      <c r="Y87" s="10" t="inlineStr"/>
      <c r="Z87" s="10" t="inlineStr"/>
      <c r="AA87" s="10" t="inlineStr"/>
      <c r="AB87" t="inlineStr"/>
      <c r="AC87" s="10" t="inlineStr"/>
      <c r="AD87" t="inlineStr"/>
      <c r="AE87" t="inlineStr"/>
      <c r="AF87" s="10" t="inlineStr"/>
      <c r="AG87" t="inlineStr"/>
      <c r="AH87">
        <f>IF(AND(B87="",C87=""),"",IF(AND(X87&lt;&gt;"",Y87&lt;&gt;"",Z87&lt;&gt;"",AA87&lt;&gt;"",AB87="Y"),"YES","no"))</f>
        <v/>
      </c>
      <c r="AI87" s="10">
        <f>IF(AH87="YES",MAX(X87,Y87,Z87,AA87),"")</f>
        <v/>
      </c>
      <c r="AJ87">
        <f>IF(AND(B87="",C87=""),"",IF(OR(S87="Not interested",S87="Opt-out / do not contact"),"X Declined / suppressed",IF(S87="Bounced / undeliverable","X Bounced — research",IF(AC87&lt;&gt;"","13 Transacting",IF(AH87="YES","12 ACTIVATED",IF(Z87&lt;&gt;"","11 Listing live",IF(Y87&lt;&gt;"","10 Profile complete",IF(X87&lt;&gt;"","9 Approved",IF(W87&lt;&gt;"","8 KYC submitted",IF(V87&lt;&gt;"","7 Registered",IF(T87&lt;&gt;"","5 Interested",IF(R87&lt;&gt;"","4 Responded",IF(O87&lt;&gt;"","2 Contacted","1 Not yet contacted")))))))))))))</f>
        <v/>
      </c>
      <c r="AK87" s="10">
        <f>IF(AF87&lt;&gt;"",AF87,IF(OR(O87="",R87&lt;&gt;"",LEFT(AJ87,1)="X"),"",IF(Q87&lt;&gt;"","",IF(P87&lt;&gt;"",P87+SETTINGS!$B$4,O87+SETTINGS!$B$3))))</f>
        <v/>
      </c>
      <c r="AL87">
        <f>IF(AJ87="","",IF(LEFT(AJ87,1)="X","None — do not contact",IF(AJ87="1 Not yet contacted","Verify route today, then send M1",IF(AND(R87="",Q87&lt;&gt;""),"Sequence complete — no contact before "&amp;TEXT(Q87+SETTINGS!$B$5,"yyyy-mm-dd"),IF(AND(R87="",P87&lt;&gt;""),"Send final note (M4)",IF(R87="","Send follow-up (M2)",IF(AJ87="12 ACTIVATED","7-day check-in; consent &amp; referral soft ask",IF(AJ87="13 Transacting","Repeat-activity support","Onboarding: move to next stage (see playbook §6)"))))))))</f>
        <v/>
      </c>
      <c r="AM87">
        <f>IF(ISNUMBER(AK87),IF(AK87&lt;=TODAY(),"DUE",""),"")</f>
        <v/>
      </c>
      <c r="AN87">
        <f>IF(COUNT(O87,P87,Q87,R87,T87,V87,W87,X87,Y87,Z87,AA87,AC87)=0,"",TODAY()-MAX(O87,P87,Q87,R87,T87,V87,W87,X87,Y87,Z87,AA87,AC87))</f>
        <v/>
      </c>
      <c r="AO87">
        <f>IF(AJ87="","",IF(AND(T87&lt;&gt;"",U87&lt;&gt;"Active (verified)"),"GST: escalate (no tax advice)",IF(AND(IFERROR(VALUE(LEFT(AJ87,2)),0)&gt;=5,AH87&lt;&gt;"YES",ISNUMBER(AN87),AN87&gt;SETTINGS!$B$14),"STUCK in onboarding","")))</f>
        <v/>
      </c>
    </row>
    <row r="88">
      <c r="A88" t="n">
        <v>87</v>
      </c>
      <c r="B88" t="inlineStr">
        <is>
          <t>UPK2-LM-425</t>
        </is>
      </c>
      <c r="C88" t="inlineStr">
        <is>
          <t>The Chronicle Weddings</t>
        </is>
      </c>
      <c r="D88" t="inlineStr">
        <is>
          <t>Lens &amp; Motion</t>
        </is>
      </c>
      <c r="E88" t="inlineStr">
        <is>
          <t>LM-WEDDING</t>
        </is>
      </c>
      <c r="F88" t="inlineStr">
        <is>
          <t>Bengaluru</t>
        </is>
      </c>
      <c r="G88" t="inlineStr">
        <is>
          <t>A</t>
        </is>
      </c>
      <c r="H88" t="inlineStr">
        <is>
          <t>P1</t>
        </is>
      </c>
      <c r="I88" t="inlineStr">
        <is>
          <t>under-discovered</t>
        </is>
      </c>
      <c r="J88" t="inlineStr">
        <is>
          <t>1:1 message via own-website contact form</t>
        </is>
      </c>
      <c r="K88" t="inlineStr">
        <is>
          <t>https://thechronicleweddings.com/contacts</t>
        </is>
      </c>
      <c r="L88" t="inlineStr">
        <is>
          <t>W1 Founding cohort</t>
        </is>
      </c>
      <c r="M88" t="inlineStr"/>
      <c r="N88" t="inlineStr"/>
      <c r="O88" s="10" t="inlineStr"/>
      <c r="P88" s="10" t="inlineStr"/>
      <c r="Q88" s="10" t="inlineStr"/>
      <c r="R88" s="10" t="inlineStr"/>
      <c r="S88" t="inlineStr"/>
      <c r="T88" s="10" t="inlineStr"/>
      <c r="U88" t="inlineStr"/>
      <c r="V88" s="10" t="inlineStr"/>
      <c r="W88" s="10" t="inlineStr"/>
      <c r="X88" s="10" t="inlineStr"/>
      <c r="Y88" s="10" t="inlineStr"/>
      <c r="Z88" s="10" t="inlineStr"/>
      <c r="AA88" s="10" t="inlineStr"/>
      <c r="AB88" t="inlineStr"/>
      <c r="AC88" s="10" t="inlineStr"/>
      <c r="AD88" t="inlineStr"/>
      <c r="AE88" t="inlineStr"/>
      <c r="AF88" s="10" t="inlineStr"/>
      <c r="AG88" t="inlineStr"/>
      <c r="AH88">
        <f>IF(AND(B88="",C88=""),"",IF(AND(X88&lt;&gt;"",Y88&lt;&gt;"",Z88&lt;&gt;"",AA88&lt;&gt;"",AB88="Y"),"YES","no"))</f>
        <v/>
      </c>
      <c r="AI88" s="10">
        <f>IF(AH88="YES",MAX(X88,Y88,Z88,AA88),"")</f>
        <v/>
      </c>
      <c r="AJ88">
        <f>IF(AND(B88="",C88=""),"",IF(OR(S88="Not interested",S88="Opt-out / do not contact"),"X Declined / suppressed",IF(S88="Bounced / undeliverable","X Bounced — research",IF(AC88&lt;&gt;"","13 Transacting",IF(AH88="YES","12 ACTIVATED",IF(Z88&lt;&gt;"","11 Listing live",IF(Y88&lt;&gt;"","10 Profile complete",IF(X88&lt;&gt;"","9 Approved",IF(W88&lt;&gt;"","8 KYC submitted",IF(V88&lt;&gt;"","7 Registered",IF(T88&lt;&gt;"","5 Interested",IF(R88&lt;&gt;"","4 Responded",IF(O88&lt;&gt;"","2 Contacted","1 Not yet contacted")))))))))))))</f>
        <v/>
      </c>
      <c r="AK88" s="10">
        <f>IF(AF88&lt;&gt;"",AF88,IF(OR(O88="",R88&lt;&gt;"",LEFT(AJ88,1)="X"),"",IF(Q88&lt;&gt;"","",IF(P88&lt;&gt;"",P88+SETTINGS!$B$4,O88+SETTINGS!$B$3))))</f>
        <v/>
      </c>
      <c r="AL88">
        <f>IF(AJ88="","",IF(LEFT(AJ88,1)="X","None — do not contact",IF(AJ88="1 Not yet contacted","Verify route today, then send M1",IF(AND(R88="",Q88&lt;&gt;""),"Sequence complete — no contact before "&amp;TEXT(Q88+SETTINGS!$B$5,"yyyy-mm-dd"),IF(AND(R88="",P88&lt;&gt;""),"Send final note (M4)",IF(R88="","Send follow-up (M2)",IF(AJ88="12 ACTIVATED","7-day check-in; consent &amp; referral soft ask",IF(AJ88="13 Transacting","Repeat-activity support","Onboarding: move to next stage (see playbook §6)"))))))))</f>
        <v/>
      </c>
      <c r="AM88">
        <f>IF(ISNUMBER(AK88),IF(AK88&lt;=TODAY(),"DUE",""),"")</f>
        <v/>
      </c>
      <c r="AN88">
        <f>IF(COUNT(O88,P88,Q88,R88,T88,V88,W88,X88,Y88,Z88,AA88,AC88)=0,"",TODAY()-MAX(O88,P88,Q88,R88,T88,V88,W88,X88,Y88,Z88,AA88,AC88))</f>
        <v/>
      </c>
      <c r="AO88">
        <f>IF(AJ88="","",IF(AND(T88&lt;&gt;"",U88&lt;&gt;"Active (verified)"),"GST: escalate (no tax advice)",IF(AND(IFERROR(VALUE(LEFT(AJ88,2)),0)&gt;=5,AH88&lt;&gt;"YES",ISNUMBER(AN88),AN88&gt;SETTINGS!$B$14),"STUCK in onboarding","")))</f>
        <v/>
      </c>
    </row>
    <row r="89">
      <c r="A89" t="n">
        <v>88</v>
      </c>
      <c r="B89" t="inlineStr">
        <is>
          <t>UPK2-LM-209</t>
        </is>
      </c>
      <c r="C89" t="inlineStr">
        <is>
          <t>Dee Color Photography</t>
        </is>
      </c>
      <c r="D89" t="inlineStr">
        <is>
          <t>Lens &amp; Motion</t>
        </is>
      </c>
      <c r="E89" t="inlineStr">
        <is>
          <t>LM-WEDDING</t>
        </is>
      </c>
      <c r="F89" t="inlineStr">
        <is>
          <t>Delhi NCR</t>
        </is>
      </c>
      <c r="G89" t="inlineStr">
        <is>
          <t>B</t>
        </is>
      </c>
      <c r="H89" t="inlineStr">
        <is>
          <t>P0</t>
        </is>
      </c>
      <c r="I89" t="inlineStr"/>
      <c r="J89" t="inlineStr">
        <is>
          <t>Personal 1:1 email from founder/team to published business email</t>
        </is>
      </c>
      <c r="K89" t="inlineStr">
        <is>
          <t>https://deecolor.com/</t>
        </is>
      </c>
      <c r="L89" t="inlineStr">
        <is>
          <t>W1 Founding cohort</t>
        </is>
      </c>
      <c r="M89" t="inlineStr"/>
      <c r="N89" t="inlineStr"/>
      <c r="O89" s="10" t="inlineStr"/>
      <c r="P89" s="10" t="inlineStr"/>
      <c r="Q89" s="10" t="inlineStr"/>
      <c r="R89" s="10" t="inlineStr"/>
      <c r="S89" t="inlineStr"/>
      <c r="T89" s="10" t="inlineStr"/>
      <c r="U89" t="inlineStr"/>
      <c r="V89" s="10" t="inlineStr"/>
      <c r="W89" s="10" t="inlineStr"/>
      <c r="X89" s="10" t="inlineStr"/>
      <c r="Y89" s="10" t="inlineStr"/>
      <c r="Z89" s="10" t="inlineStr"/>
      <c r="AA89" s="10" t="inlineStr"/>
      <c r="AB89" t="inlineStr"/>
      <c r="AC89" s="10" t="inlineStr"/>
      <c r="AD89" t="inlineStr"/>
      <c r="AE89" t="inlineStr"/>
      <c r="AF89" s="10" t="inlineStr"/>
      <c r="AG89" t="inlineStr"/>
      <c r="AH89">
        <f>IF(AND(B89="",C89=""),"",IF(AND(X89&lt;&gt;"",Y89&lt;&gt;"",Z89&lt;&gt;"",AA89&lt;&gt;"",AB89="Y"),"YES","no"))</f>
        <v/>
      </c>
      <c r="AI89" s="10">
        <f>IF(AH89="YES",MAX(X89,Y89,Z89,AA89),"")</f>
        <v/>
      </c>
      <c r="AJ89">
        <f>IF(AND(B89="",C89=""),"",IF(OR(S89="Not interested",S89="Opt-out / do not contact"),"X Declined / suppressed",IF(S89="Bounced / undeliverable","X Bounced — research",IF(AC89&lt;&gt;"","13 Transacting",IF(AH89="YES","12 ACTIVATED",IF(Z89&lt;&gt;"","11 Listing live",IF(Y89&lt;&gt;"","10 Profile complete",IF(X89&lt;&gt;"","9 Approved",IF(W89&lt;&gt;"","8 KYC submitted",IF(V89&lt;&gt;"","7 Registered",IF(T89&lt;&gt;"","5 Interested",IF(R89&lt;&gt;"","4 Responded",IF(O89&lt;&gt;"","2 Contacted","1 Not yet contacted")))))))))))))</f>
        <v/>
      </c>
      <c r="AK89" s="10">
        <f>IF(AF89&lt;&gt;"",AF89,IF(OR(O89="",R89&lt;&gt;"",LEFT(AJ89,1)="X"),"",IF(Q89&lt;&gt;"","",IF(P89&lt;&gt;"",P89+SETTINGS!$B$4,O89+SETTINGS!$B$3))))</f>
        <v/>
      </c>
      <c r="AL89">
        <f>IF(AJ89="","",IF(LEFT(AJ89,1)="X","None — do not contact",IF(AJ89="1 Not yet contacted","Verify route today, then send M1",IF(AND(R89="",Q89&lt;&gt;""),"Sequence complete — no contact before "&amp;TEXT(Q89+SETTINGS!$B$5,"yyyy-mm-dd"),IF(AND(R89="",P89&lt;&gt;""),"Send final note (M4)",IF(R89="","Send follow-up (M2)",IF(AJ89="12 ACTIVATED","7-day check-in; consent &amp; referral soft ask",IF(AJ89="13 Transacting","Repeat-activity support","Onboarding: move to next stage (see playbook §6)"))))))))</f>
        <v/>
      </c>
      <c r="AM89">
        <f>IF(ISNUMBER(AK89),IF(AK89&lt;=TODAY(),"DUE",""),"")</f>
        <v/>
      </c>
      <c r="AN89">
        <f>IF(COUNT(O89,P89,Q89,R89,T89,V89,W89,X89,Y89,Z89,AA89,AC89)=0,"",TODAY()-MAX(O89,P89,Q89,R89,T89,V89,W89,X89,Y89,Z89,AA89,AC89))</f>
        <v/>
      </c>
      <c r="AO89">
        <f>IF(AJ89="","",IF(AND(T89&lt;&gt;"",U89&lt;&gt;"Active (verified)"),"GST: escalate (no tax advice)",IF(AND(IFERROR(VALUE(LEFT(AJ89,2)),0)&gt;=5,AH89&lt;&gt;"YES",ISNUMBER(AN89),AN89&gt;SETTINGS!$B$14),"STUCK in onboarding","")))</f>
        <v/>
      </c>
    </row>
    <row r="90">
      <c r="A90" t="n">
        <v>89</v>
      </c>
      <c r="B90" t="inlineStr">
        <is>
          <t>UPK2-LM-220</t>
        </is>
      </c>
      <c r="C90" t="inlineStr">
        <is>
          <t>Aureate Weddings</t>
        </is>
      </c>
      <c r="D90" t="inlineStr">
        <is>
          <t>Lens &amp; Motion</t>
        </is>
      </c>
      <c r="E90" t="inlineStr">
        <is>
          <t>LM-WEDDING</t>
        </is>
      </c>
      <c r="F90" t="inlineStr">
        <is>
          <t>Delhi NCR</t>
        </is>
      </c>
      <c r="G90" t="inlineStr">
        <is>
          <t>B</t>
        </is>
      </c>
      <c r="H90" t="inlineStr">
        <is>
          <t>P0</t>
        </is>
      </c>
      <c r="I90" t="inlineStr"/>
      <c r="J90" t="inlineStr">
        <is>
          <t>Personal 1:1 email from founder/team to published business email</t>
        </is>
      </c>
      <c r="K90" t="inlineStr">
        <is>
          <t>https://aureateweddings.com/</t>
        </is>
      </c>
      <c r="L90" t="inlineStr">
        <is>
          <t>W1 Founding cohort</t>
        </is>
      </c>
      <c r="M90" t="inlineStr"/>
      <c r="N90" t="inlineStr"/>
      <c r="O90" s="10" t="inlineStr"/>
      <c r="P90" s="10" t="inlineStr"/>
      <c r="Q90" s="10" t="inlineStr"/>
      <c r="R90" s="10" t="inlineStr"/>
      <c r="S90" t="inlineStr"/>
      <c r="T90" s="10" t="inlineStr"/>
      <c r="U90" t="inlineStr"/>
      <c r="V90" s="10" t="inlineStr"/>
      <c r="W90" s="10" t="inlineStr"/>
      <c r="X90" s="10" t="inlineStr"/>
      <c r="Y90" s="10" t="inlineStr"/>
      <c r="Z90" s="10" t="inlineStr"/>
      <c r="AA90" s="10" t="inlineStr"/>
      <c r="AB90" t="inlineStr"/>
      <c r="AC90" s="10" t="inlineStr"/>
      <c r="AD90" t="inlineStr"/>
      <c r="AE90" t="inlineStr"/>
      <c r="AF90" s="10" t="inlineStr"/>
      <c r="AG90" t="inlineStr"/>
      <c r="AH90">
        <f>IF(AND(B90="",C90=""),"",IF(AND(X90&lt;&gt;"",Y90&lt;&gt;"",Z90&lt;&gt;"",AA90&lt;&gt;"",AB90="Y"),"YES","no"))</f>
        <v/>
      </c>
      <c r="AI90" s="10">
        <f>IF(AH90="YES",MAX(X90,Y90,Z90,AA90),"")</f>
        <v/>
      </c>
      <c r="AJ90">
        <f>IF(AND(B90="",C90=""),"",IF(OR(S90="Not interested",S90="Opt-out / do not contact"),"X Declined / suppressed",IF(S90="Bounced / undeliverable","X Bounced — research",IF(AC90&lt;&gt;"","13 Transacting",IF(AH90="YES","12 ACTIVATED",IF(Z90&lt;&gt;"","11 Listing live",IF(Y90&lt;&gt;"","10 Profile complete",IF(X90&lt;&gt;"","9 Approved",IF(W90&lt;&gt;"","8 KYC submitted",IF(V90&lt;&gt;"","7 Registered",IF(T90&lt;&gt;"","5 Interested",IF(R90&lt;&gt;"","4 Responded",IF(O90&lt;&gt;"","2 Contacted","1 Not yet contacted")))))))))))))</f>
        <v/>
      </c>
      <c r="AK90" s="10">
        <f>IF(AF90&lt;&gt;"",AF90,IF(OR(O90="",R90&lt;&gt;"",LEFT(AJ90,1)="X"),"",IF(Q90&lt;&gt;"","",IF(P90&lt;&gt;"",P90+SETTINGS!$B$4,O90+SETTINGS!$B$3))))</f>
        <v/>
      </c>
      <c r="AL90">
        <f>IF(AJ90="","",IF(LEFT(AJ90,1)="X","None — do not contact",IF(AJ90="1 Not yet contacted","Verify route today, then send M1",IF(AND(R90="",Q90&lt;&gt;""),"Sequence complete — no contact before "&amp;TEXT(Q90+SETTINGS!$B$5,"yyyy-mm-dd"),IF(AND(R90="",P90&lt;&gt;""),"Send final note (M4)",IF(R90="","Send follow-up (M2)",IF(AJ90="12 ACTIVATED","7-day check-in; consent &amp; referral soft ask",IF(AJ90="13 Transacting","Repeat-activity support","Onboarding: move to next stage (see playbook §6)"))))))))</f>
        <v/>
      </c>
      <c r="AM90">
        <f>IF(ISNUMBER(AK90),IF(AK90&lt;=TODAY(),"DUE",""),"")</f>
        <v/>
      </c>
      <c r="AN90">
        <f>IF(COUNT(O90,P90,Q90,R90,T90,V90,W90,X90,Y90,Z90,AA90,AC90)=0,"",TODAY()-MAX(O90,P90,Q90,R90,T90,V90,W90,X90,Y90,Z90,AA90,AC90))</f>
        <v/>
      </c>
      <c r="AO90">
        <f>IF(AJ90="","",IF(AND(T90&lt;&gt;"",U90&lt;&gt;"Active (verified)"),"GST: escalate (no tax advice)",IF(AND(IFERROR(VALUE(LEFT(AJ90,2)),0)&gt;=5,AH90&lt;&gt;"YES",ISNUMBER(AN90),AN90&gt;SETTINGS!$B$14),"STUCK in onboarding","")))</f>
        <v/>
      </c>
    </row>
    <row r="91">
      <c r="A91" t="n">
        <v>90</v>
      </c>
      <c r="B91" t="inlineStr">
        <is>
          <t>UPK2-LM-223</t>
        </is>
      </c>
      <c r="C91" t="inlineStr">
        <is>
          <t>Bombay Paparazzi</t>
        </is>
      </c>
      <c r="D91" t="inlineStr">
        <is>
          <t>Lens &amp; Motion</t>
        </is>
      </c>
      <c r="E91" t="inlineStr">
        <is>
          <t>LM-WEDDING</t>
        </is>
      </c>
      <c r="F91" t="inlineStr">
        <is>
          <t>Mumbai</t>
        </is>
      </c>
      <c r="G91" t="inlineStr">
        <is>
          <t>B</t>
        </is>
      </c>
      <c r="H91" t="inlineStr">
        <is>
          <t>P0</t>
        </is>
      </c>
      <c r="I91" t="inlineStr"/>
      <c r="J91" t="inlineStr">
        <is>
          <t>Personal 1:1 email from founder/team to published business email</t>
        </is>
      </c>
      <c r="K91" t="inlineStr">
        <is>
          <t>https://bombaypaparazzi.com/</t>
        </is>
      </c>
      <c r="L91" t="inlineStr">
        <is>
          <t>W1 Founding cohort</t>
        </is>
      </c>
      <c r="M91" t="inlineStr"/>
      <c r="N91" t="inlineStr"/>
      <c r="O91" s="10" t="inlineStr"/>
      <c r="P91" s="10" t="inlineStr"/>
      <c r="Q91" s="10" t="inlineStr"/>
      <c r="R91" s="10" t="inlineStr"/>
      <c r="S91" t="inlineStr"/>
      <c r="T91" s="10" t="inlineStr"/>
      <c r="U91" t="inlineStr"/>
      <c r="V91" s="10" t="inlineStr"/>
      <c r="W91" s="10" t="inlineStr"/>
      <c r="X91" s="10" t="inlineStr"/>
      <c r="Y91" s="10" t="inlineStr"/>
      <c r="Z91" s="10" t="inlineStr"/>
      <c r="AA91" s="10" t="inlineStr"/>
      <c r="AB91" t="inlineStr"/>
      <c r="AC91" s="10" t="inlineStr"/>
      <c r="AD91" t="inlineStr"/>
      <c r="AE91" t="inlineStr"/>
      <c r="AF91" s="10" t="inlineStr"/>
      <c r="AG91" t="inlineStr"/>
      <c r="AH91">
        <f>IF(AND(B91="",C91=""),"",IF(AND(X91&lt;&gt;"",Y91&lt;&gt;"",Z91&lt;&gt;"",AA91&lt;&gt;"",AB91="Y"),"YES","no"))</f>
        <v/>
      </c>
      <c r="AI91" s="10">
        <f>IF(AH91="YES",MAX(X91,Y91,Z91,AA91),"")</f>
        <v/>
      </c>
      <c r="AJ91">
        <f>IF(AND(B91="",C91=""),"",IF(OR(S91="Not interested",S91="Opt-out / do not contact"),"X Declined / suppressed",IF(S91="Bounced / undeliverable","X Bounced — research",IF(AC91&lt;&gt;"","13 Transacting",IF(AH91="YES","12 ACTIVATED",IF(Z91&lt;&gt;"","11 Listing live",IF(Y91&lt;&gt;"","10 Profile complete",IF(X91&lt;&gt;"","9 Approved",IF(W91&lt;&gt;"","8 KYC submitted",IF(V91&lt;&gt;"","7 Registered",IF(T91&lt;&gt;"","5 Interested",IF(R91&lt;&gt;"","4 Responded",IF(O91&lt;&gt;"","2 Contacted","1 Not yet contacted")))))))))))))</f>
        <v/>
      </c>
      <c r="AK91" s="10">
        <f>IF(AF91&lt;&gt;"",AF91,IF(OR(O91="",R91&lt;&gt;"",LEFT(AJ91,1)="X"),"",IF(Q91&lt;&gt;"","",IF(P91&lt;&gt;"",P91+SETTINGS!$B$4,O91+SETTINGS!$B$3))))</f>
        <v/>
      </c>
      <c r="AL91">
        <f>IF(AJ91="","",IF(LEFT(AJ91,1)="X","None — do not contact",IF(AJ91="1 Not yet contacted","Verify route today, then send M1",IF(AND(R91="",Q91&lt;&gt;""),"Sequence complete — no contact before "&amp;TEXT(Q91+SETTINGS!$B$5,"yyyy-mm-dd"),IF(AND(R91="",P91&lt;&gt;""),"Send final note (M4)",IF(R91="","Send follow-up (M2)",IF(AJ91="12 ACTIVATED","7-day check-in; consent &amp; referral soft ask",IF(AJ91="13 Transacting","Repeat-activity support","Onboarding: move to next stage (see playbook §6)"))))))))</f>
        <v/>
      </c>
      <c r="AM91">
        <f>IF(ISNUMBER(AK91),IF(AK91&lt;=TODAY(),"DUE",""),"")</f>
        <v/>
      </c>
      <c r="AN91">
        <f>IF(COUNT(O91,P91,Q91,R91,T91,V91,W91,X91,Y91,Z91,AA91,AC91)=0,"",TODAY()-MAX(O91,P91,Q91,R91,T91,V91,W91,X91,Y91,Z91,AA91,AC91))</f>
        <v/>
      </c>
      <c r="AO91">
        <f>IF(AJ91="","",IF(AND(T91&lt;&gt;"",U91&lt;&gt;"Active (verified)"),"GST: escalate (no tax advice)",IF(AND(IFERROR(VALUE(LEFT(AJ91,2)),0)&gt;=5,AH91&lt;&gt;"YES",ISNUMBER(AN91),AN91&gt;SETTINGS!$B$14),"STUCK in onboarding","")))</f>
        <v/>
      </c>
    </row>
    <row r="92">
      <c r="A92" t="n">
        <v>91</v>
      </c>
      <c r="B92" t="inlineStr">
        <is>
          <t>UPK2-LM-356</t>
        </is>
      </c>
      <c r="C92" t="inlineStr">
        <is>
          <t>Ashish Sahi</t>
        </is>
      </c>
      <c r="D92" t="inlineStr">
        <is>
          <t>Lens &amp; Motion</t>
        </is>
      </c>
      <c r="E92" t="inlineStr">
        <is>
          <t>LM-ARCH-INTERIOR</t>
        </is>
      </c>
      <c r="F92" t="inlineStr">
        <is>
          <t>Mumbai</t>
        </is>
      </c>
      <c r="G92" t="inlineStr">
        <is>
          <t>C</t>
        </is>
      </c>
      <c r="H92" t="inlineStr">
        <is>
          <t>P0</t>
        </is>
      </c>
      <c r="I92" t="inlineStr">
        <is>
          <t>under-discovered</t>
        </is>
      </c>
      <c r="J92" t="inlineStr">
        <is>
          <t>Personal 1:1 email from founder/team to published business email</t>
        </is>
      </c>
      <c r="K92" t="inlineStr">
        <is>
          <t>https://www.ashishsahi.com/</t>
        </is>
      </c>
      <c r="L92" t="inlineStr">
        <is>
          <t>W1 Founding cohort</t>
        </is>
      </c>
      <c r="M92" t="inlineStr"/>
      <c r="N92" t="inlineStr"/>
      <c r="O92" s="10" t="inlineStr"/>
      <c r="P92" s="10" t="inlineStr"/>
      <c r="Q92" s="10" t="inlineStr"/>
      <c r="R92" s="10" t="inlineStr"/>
      <c r="S92" t="inlineStr"/>
      <c r="T92" s="10" t="inlineStr"/>
      <c r="U92" t="inlineStr"/>
      <c r="V92" s="10" t="inlineStr"/>
      <c r="W92" s="10" t="inlineStr"/>
      <c r="X92" s="10" t="inlineStr"/>
      <c r="Y92" s="10" t="inlineStr"/>
      <c r="Z92" s="10" t="inlineStr"/>
      <c r="AA92" s="10" t="inlineStr"/>
      <c r="AB92" t="inlineStr"/>
      <c r="AC92" s="10" t="inlineStr"/>
      <c r="AD92" t="inlineStr"/>
      <c r="AE92" t="inlineStr"/>
      <c r="AF92" s="10" t="inlineStr"/>
      <c r="AG92" t="inlineStr"/>
      <c r="AH92">
        <f>IF(AND(B92="",C92=""),"",IF(AND(X92&lt;&gt;"",Y92&lt;&gt;"",Z92&lt;&gt;"",AA92&lt;&gt;"",AB92="Y"),"YES","no"))</f>
        <v/>
      </c>
      <c r="AI92" s="10">
        <f>IF(AH92="YES",MAX(X92,Y92,Z92,AA92),"")</f>
        <v/>
      </c>
      <c r="AJ92">
        <f>IF(AND(B92="",C92=""),"",IF(OR(S92="Not interested",S92="Opt-out / do not contact"),"X Declined / suppressed",IF(S92="Bounced / undeliverable","X Bounced — research",IF(AC92&lt;&gt;"","13 Transacting",IF(AH92="YES","12 ACTIVATED",IF(Z92&lt;&gt;"","11 Listing live",IF(Y92&lt;&gt;"","10 Profile complete",IF(X92&lt;&gt;"","9 Approved",IF(W92&lt;&gt;"","8 KYC submitted",IF(V92&lt;&gt;"","7 Registered",IF(T92&lt;&gt;"","5 Interested",IF(R92&lt;&gt;"","4 Responded",IF(O92&lt;&gt;"","2 Contacted","1 Not yet contacted")))))))))))))</f>
        <v/>
      </c>
      <c r="AK92" s="10">
        <f>IF(AF92&lt;&gt;"",AF92,IF(OR(O92="",R92&lt;&gt;"",LEFT(AJ92,1)="X"),"",IF(Q92&lt;&gt;"","",IF(P92&lt;&gt;"",P92+SETTINGS!$B$4,O92+SETTINGS!$B$3))))</f>
        <v/>
      </c>
      <c r="AL92">
        <f>IF(AJ92="","",IF(LEFT(AJ92,1)="X","None — do not contact",IF(AJ92="1 Not yet contacted","Verify route today, then send M1",IF(AND(R92="",Q92&lt;&gt;""),"Sequence complete — no contact before "&amp;TEXT(Q92+SETTINGS!$B$5,"yyyy-mm-dd"),IF(AND(R92="",P92&lt;&gt;""),"Send final note (M4)",IF(R92="","Send follow-up (M2)",IF(AJ92="12 ACTIVATED","7-day check-in; consent &amp; referral soft ask",IF(AJ92="13 Transacting","Repeat-activity support","Onboarding: move to next stage (see playbook §6)"))))))))</f>
        <v/>
      </c>
      <c r="AM92">
        <f>IF(ISNUMBER(AK92),IF(AK92&lt;=TODAY(),"DUE",""),"")</f>
        <v/>
      </c>
      <c r="AN92">
        <f>IF(COUNT(O92,P92,Q92,R92,T92,V92,W92,X92,Y92,Z92,AA92,AC92)=0,"",TODAY()-MAX(O92,P92,Q92,R92,T92,V92,W92,X92,Y92,Z92,AA92,AC92))</f>
        <v/>
      </c>
      <c r="AO92">
        <f>IF(AJ92="","",IF(AND(T92&lt;&gt;"",U92&lt;&gt;"Active (verified)"),"GST: escalate (no tax advice)",IF(AND(IFERROR(VALUE(LEFT(AJ92,2)),0)&gt;=5,AH92&lt;&gt;"YES",ISNUMBER(AN92),AN92&gt;SETTINGS!$B$14),"STUCK in onboarding","")))</f>
        <v/>
      </c>
    </row>
    <row r="93">
      <c r="A93" t="n">
        <v>92</v>
      </c>
      <c r="B93" t="inlineStr">
        <is>
          <t>UPK-LM-003</t>
        </is>
      </c>
      <c r="C93" t="inlineStr">
        <is>
          <t>Two Faces Media</t>
        </is>
      </c>
      <c r="D93" t="inlineStr">
        <is>
          <t>Lens &amp; Motion</t>
        </is>
      </c>
      <c r="E93" t="inlineStr">
        <is>
          <t>LM-COMMERCIAL-FASHION</t>
        </is>
      </c>
      <c r="F93" t="inlineStr">
        <is>
          <t>Mumbai</t>
        </is>
      </c>
      <c r="G93" t="inlineStr">
        <is>
          <t>A</t>
        </is>
      </c>
      <c r="H93" t="inlineStr">
        <is>
          <t>P0</t>
        </is>
      </c>
      <c r="I93" t="inlineStr">
        <is>
          <t>under-discovered</t>
        </is>
      </c>
      <c r="J93" t="inlineStr">
        <is>
          <t>Personal 1:1 email from founder/team to published business email</t>
        </is>
      </c>
      <c r="K93" t="inlineStr">
        <is>
          <t>https://twofacesmedia.com/</t>
        </is>
      </c>
      <c r="L93" t="inlineStr">
        <is>
          <t>W1 Founding cohort</t>
        </is>
      </c>
      <c r="M93" t="inlineStr"/>
      <c r="N93" t="inlineStr"/>
      <c r="O93" s="10" t="inlineStr"/>
      <c r="P93" s="10" t="inlineStr"/>
      <c r="Q93" s="10" t="inlineStr"/>
      <c r="R93" s="10" t="inlineStr"/>
      <c r="S93" t="inlineStr"/>
      <c r="T93" s="10" t="inlineStr"/>
      <c r="U93" t="inlineStr"/>
      <c r="V93" s="10" t="inlineStr"/>
      <c r="W93" s="10" t="inlineStr"/>
      <c r="X93" s="10" t="inlineStr"/>
      <c r="Y93" s="10" t="inlineStr"/>
      <c r="Z93" s="10" t="inlineStr"/>
      <c r="AA93" s="10" t="inlineStr"/>
      <c r="AB93" t="inlineStr"/>
      <c r="AC93" s="10" t="inlineStr"/>
      <c r="AD93" t="inlineStr"/>
      <c r="AE93" t="inlineStr"/>
      <c r="AF93" s="10" t="inlineStr"/>
      <c r="AG93" t="inlineStr"/>
      <c r="AH93">
        <f>IF(AND(B93="",C93=""),"",IF(AND(X93&lt;&gt;"",Y93&lt;&gt;"",Z93&lt;&gt;"",AA93&lt;&gt;"",AB93="Y"),"YES","no"))</f>
        <v/>
      </c>
      <c r="AI93" s="10">
        <f>IF(AH93="YES",MAX(X93,Y93,Z93,AA93),"")</f>
        <v/>
      </c>
      <c r="AJ93">
        <f>IF(AND(B93="",C93=""),"",IF(OR(S93="Not interested",S93="Opt-out / do not contact"),"X Declined / suppressed",IF(S93="Bounced / undeliverable","X Bounced — research",IF(AC93&lt;&gt;"","13 Transacting",IF(AH93="YES","12 ACTIVATED",IF(Z93&lt;&gt;"","11 Listing live",IF(Y93&lt;&gt;"","10 Profile complete",IF(X93&lt;&gt;"","9 Approved",IF(W93&lt;&gt;"","8 KYC submitted",IF(V93&lt;&gt;"","7 Registered",IF(T93&lt;&gt;"","5 Interested",IF(R93&lt;&gt;"","4 Responded",IF(O93&lt;&gt;"","2 Contacted","1 Not yet contacted")))))))))))))</f>
        <v/>
      </c>
      <c r="AK93" s="10">
        <f>IF(AF93&lt;&gt;"",AF93,IF(OR(O93="",R93&lt;&gt;"",LEFT(AJ93,1)="X"),"",IF(Q93&lt;&gt;"","",IF(P93&lt;&gt;"",P93+SETTINGS!$B$4,O93+SETTINGS!$B$3))))</f>
        <v/>
      </c>
      <c r="AL93">
        <f>IF(AJ93="","",IF(LEFT(AJ93,1)="X","None — do not contact",IF(AJ93="1 Not yet contacted","Verify route today, then send M1",IF(AND(R93="",Q93&lt;&gt;""),"Sequence complete — no contact before "&amp;TEXT(Q93+SETTINGS!$B$5,"yyyy-mm-dd"),IF(AND(R93="",P93&lt;&gt;""),"Send final note (M4)",IF(R93="","Send follow-up (M2)",IF(AJ93="12 ACTIVATED","7-day check-in; consent &amp; referral soft ask",IF(AJ93="13 Transacting","Repeat-activity support","Onboarding: move to next stage (see playbook §6)"))))))))</f>
        <v/>
      </c>
      <c r="AM93">
        <f>IF(ISNUMBER(AK93),IF(AK93&lt;=TODAY(),"DUE",""),"")</f>
        <v/>
      </c>
      <c r="AN93">
        <f>IF(COUNT(O93,P93,Q93,R93,T93,V93,W93,X93,Y93,Z93,AA93,AC93)=0,"",TODAY()-MAX(O93,P93,Q93,R93,T93,V93,W93,X93,Y93,Z93,AA93,AC93))</f>
        <v/>
      </c>
      <c r="AO93">
        <f>IF(AJ93="","",IF(AND(T93&lt;&gt;"",U93&lt;&gt;"Active (verified)"),"GST: escalate (no tax advice)",IF(AND(IFERROR(VALUE(LEFT(AJ93,2)),0)&gt;=5,AH93&lt;&gt;"YES",ISNUMBER(AN93),AN93&gt;SETTINGS!$B$14),"STUCK in onboarding","")))</f>
        <v/>
      </c>
    </row>
    <row r="94">
      <c r="A94" t="n">
        <v>93</v>
      </c>
      <c r="B94" t="inlineStr">
        <is>
          <t>UPK2-LM-238</t>
        </is>
      </c>
      <c r="C94" t="inlineStr">
        <is>
          <t>North Light Studio</t>
        </is>
      </c>
      <c r="D94" t="inlineStr">
        <is>
          <t>Lens &amp; Motion</t>
        </is>
      </c>
      <c r="E94" t="inlineStr">
        <is>
          <t>LM-ARCH-INTERIOR</t>
        </is>
      </c>
      <c r="F94" t="inlineStr">
        <is>
          <t>Mumbai</t>
        </is>
      </c>
      <c r="G94" t="inlineStr">
        <is>
          <t>B</t>
        </is>
      </c>
      <c r="H94" t="inlineStr">
        <is>
          <t>P0</t>
        </is>
      </c>
      <c r="I94" t="inlineStr">
        <is>
          <t>under-discovered</t>
        </is>
      </c>
      <c r="J94" t="inlineStr">
        <is>
          <t>Personal 1:1 email from founder/team to published business email</t>
        </is>
      </c>
      <c r="K94" t="inlineStr">
        <is>
          <t>https://www.northlightstudio.in/</t>
        </is>
      </c>
      <c r="L94" t="inlineStr">
        <is>
          <t>W1 Founding cohort</t>
        </is>
      </c>
      <c r="M94" t="inlineStr"/>
      <c r="N94" t="inlineStr"/>
      <c r="O94" s="10" t="inlineStr"/>
      <c r="P94" s="10" t="inlineStr"/>
      <c r="Q94" s="10" t="inlineStr"/>
      <c r="R94" s="10" t="inlineStr"/>
      <c r="S94" t="inlineStr"/>
      <c r="T94" s="10" t="inlineStr"/>
      <c r="U94" t="inlineStr"/>
      <c r="V94" s="10" t="inlineStr"/>
      <c r="W94" s="10" t="inlineStr"/>
      <c r="X94" s="10" t="inlineStr"/>
      <c r="Y94" s="10" t="inlineStr"/>
      <c r="Z94" s="10" t="inlineStr"/>
      <c r="AA94" s="10" t="inlineStr"/>
      <c r="AB94" t="inlineStr"/>
      <c r="AC94" s="10" t="inlineStr"/>
      <c r="AD94" t="inlineStr"/>
      <c r="AE94" t="inlineStr"/>
      <c r="AF94" s="10" t="inlineStr"/>
      <c r="AG94" t="inlineStr"/>
      <c r="AH94">
        <f>IF(AND(B94="",C94=""),"",IF(AND(X94&lt;&gt;"",Y94&lt;&gt;"",Z94&lt;&gt;"",AA94&lt;&gt;"",AB94="Y"),"YES","no"))</f>
        <v/>
      </c>
      <c r="AI94" s="10">
        <f>IF(AH94="YES",MAX(X94,Y94,Z94,AA94),"")</f>
        <v/>
      </c>
      <c r="AJ94">
        <f>IF(AND(B94="",C94=""),"",IF(OR(S94="Not interested",S94="Opt-out / do not contact"),"X Declined / suppressed",IF(S94="Bounced / undeliverable","X Bounced — research",IF(AC94&lt;&gt;"","13 Transacting",IF(AH94="YES","12 ACTIVATED",IF(Z94&lt;&gt;"","11 Listing live",IF(Y94&lt;&gt;"","10 Profile complete",IF(X94&lt;&gt;"","9 Approved",IF(W94&lt;&gt;"","8 KYC submitted",IF(V94&lt;&gt;"","7 Registered",IF(T94&lt;&gt;"","5 Interested",IF(R94&lt;&gt;"","4 Responded",IF(O94&lt;&gt;"","2 Contacted","1 Not yet contacted")))))))))))))</f>
        <v/>
      </c>
      <c r="AK94" s="10">
        <f>IF(AF94&lt;&gt;"",AF94,IF(OR(O94="",R94&lt;&gt;"",LEFT(AJ94,1)="X"),"",IF(Q94&lt;&gt;"","",IF(P94&lt;&gt;"",P94+SETTINGS!$B$4,O94+SETTINGS!$B$3))))</f>
        <v/>
      </c>
      <c r="AL94">
        <f>IF(AJ94="","",IF(LEFT(AJ94,1)="X","None — do not contact",IF(AJ94="1 Not yet contacted","Verify route today, then send M1",IF(AND(R94="",Q94&lt;&gt;""),"Sequence complete — no contact before "&amp;TEXT(Q94+SETTINGS!$B$5,"yyyy-mm-dd"),IF(AND(R94="",P94&lt;&gt;""),"Send final note (M4)",IF(R94="","Send follow-up (M2)",IF(AJ94="12 ACTIVATED","7-day check-in; consent &amp; referral soft ask",IF(AJ94="13 Transacting","Repeat-activity support","Onboarding: move to next stage (see playbook §6)"))))))))</f>
        <v/>
      </c>
      <c r="AM94">
        <f>IF(ISNUMBER(AK94),IF(AK94&lt;=TODAY(),"DUE",""),"")</f>
        <v/>
      </c>
      <c r="AN94">
        <f>IF(COUNT(O94,P94,Q94,R94,T94,V94,W94,X94,Y94,Z94,AA94,AC94)=0,"",TODAY()-MAX(O94,P94,Q94,R94,T94,V94,W94,X94,Y94,Z94,AA94,AC94))</f>
        <v/>
      </c>
      <c r="AO94">
        <f>IF(AJ94="","",IF(AND(T94&lt;&gt;"",U94&lt;&gt;"Active (verified)"),"GST: escalate (no tax advice)",IF(AND(IFERROR(VALUE(LEFT(AJ94,2)),0)&gt;=5,AH94&lt;&gt;"YES",ISNUMBER(AN94),AN94&gt;SETTINGS!$B$14),"STUCK in onboarding","")))</f>
        <v/>
      </c>
    </row>
    <row r="95">
      <c r="A95" t="n">
        <v>94</v>
      </c>
      <c r="B95" t="inlineStr">
        <is>
          <t>UPK2-LM-278</t>
        </is>
      </c>
      <c r="C95" t="inlineStr">
        <is>
          <t>Sameer Belvalkar Photography</t>
        </is>
      </c>
      <c r="D95" t="inlineStr">
        <is>
          <t>Lens &amp; Motion</t>
        </is>
      </c>
      <c r="E95" t="inlineStr">
        <is>
          <t>LM-COMMERCIAL-FASHION</t>
        </is>
      </c>
      <c r="F95" t="inlineStr">
        <is>
          <t>Mumbai</t>
        </is>
      </c>
      <c r="G95" t="inlineStr">
        <is>
          <t>C</t>
        </is>
      </c>
      <c r="H95" t="inlineStr">
        <is>
          <t>P0</t>
        </is>
      </c>
      <c r="I95" t="inlineStr">
        <is>
          <t>under-discovered</t>
        </is>
      </c>
      <c r="J95" t="inlineStr">
        <is>
          <t>Personal 1:1 email from founder/team to published business email</t>
        </is>
      </c>
      <c r="K95" t="inlineStr">
        <is>
          <t>https://sameerbelvalkar.com/</t>
        </is>
      </c>
      <c r="L95" t="inlineStr">
        <is>
          <t>W1 Founding cohort</t>
        </is>
      </c>
      <c r="M95" t="inlineStr"/>
      <c r="N95" t="inlineStr"/>
      <c r="O95" s="10" t="inlineStr"/>
      <c r="P95" s="10" t="inlineStr"/>
      <c r="Q95" s="10" t="inlineStr"/>
      <c r="R95" s="10" t="inlineStr"/>
      <c r="S95" t="inlineStr"/>
      <c r="T95" s="10" t="inlineStr"/>
      <c r="U95" t="inlineStr"/>
      <c r="V95" s="10" t="inlineStr"/>
      <c r="W95" s="10" t="inlineStr"/>
      <c r="X95" s="10" t="inlineStr"/>
      <c r="Y95" s="10" t="inlineStr"/>
      <c r="Z95" s="10" t="inlineStr"/>
      <c r="AA95" s="10" t="inlineStr"/>
      <c r="AB95" t="inlineStr"/>
      <c r="AC95" s="10" t="inlineStr"/>
      <c r="AD95" t="inlineStr"/>
      <c r="AE95" t="inlineStr"/>
      <c r="AF95" s="10" t="inlineStr"/>
      <c r="AG95" t="inlineStr"/>
      <c r="AH95">
        <f>IF(AND(B95="",C95=""),"",IF(AND(X95&lt;&gt;"",Y95&lt;&gt;"",Z95&lt;&gt;"",AA95&lt;&gt;"",AB95="Y"),"YES","no"))</f>
        <v/>
      </c>
      <c r="AI95" s="10">
        <f>IF(AH95="YES",MAX(X95,Y95,Z95,AA95),"")</f>
        <v/>
      </c>
      <c r="AJ95">
        <f>IF(AND(B95="",C95=""),"",IF(OR(S95="Not interested",S95="Opt-out / do not contact"),"X Declined / suppressed",IF(S95="Bounced / undeliverable","X Bounced — research",IF(AC95&lt;&gt;"","13 Transacting",IF(AH95="YES","12 ACTIVATED",IF(Z95&lt;&gt;"","11 Listing live",IF(Y95&lt;&gt;"","10 Profile complete",IF(X95&lt;&gt;"","9 Approved",IF(W95&lt;&gt;"","8 KYC submitted",IF(V95&lt;&gt;"","7 Registered",IF(T95&lt;&gt;"","5 Interested",IF(R95&lt;&gt;"","4 Responded",IF(O95&lt;&gt;"","2 Contacted","1 Not yet contacted")))))))))))))</f>
        <v/>
      </c>
      <c r="AK95" s="10">
        <f>IF(AF95&lt;&gt;"",AF95,IF(OR(O95="",R95&lt;&gt;"",LEFT(AJ95,1)="X"),"",IF(Q95&lt;&gt;"","",IF(P95&lt;&gt;"",P95+SETTINGS!$B$4,O95+SETTINGS!$B$3))))</f>
        <v/>
      </c>
      <c r="AL95">
        <f>IF(AJ95="","",IF(LEFT(AJ95,1)="X","None — do not contact",IF(AJ95="1 Not yet contacted","Verify route today, then send M1",IF(AND(R95="",Q95&lt;&gt;""),"Sequence complete — no contact before "&amp;TEXT(Q95+SETTINGS!$B$5,"yyyy-mm-dd"),IF(AND(R95="",P95&lt;&gt;""),"Send final note (M4)",IF(R95="","Send follow-up (M2)",IF(AJ95="12 ACTIVATED","7-day check-in; consent &amp; referral soft ask",IF(AJ95="13 Transacting","Repeat-activity support","Onboarding: move to next stage (see playbook §6)"))))))))</f>
        <v/>
      </c>
      <c r="AM95">
        <f>IF(ISNUMBER(AK95),IF(AK95&lt;=TODAY(),"DUE",""),"")</f>
        <v/>
      </c>
      <c r="AN95">
        <f>IF(COUNT(O95,P95,Q95,R95,T95,V95,W95,X95,Y95,Z95,AA95,AC95)=0,"",TODAY()-MAX(O95,P95,Q95,R95,T95,V95,W95,X95,Y95,Z95,AA95,AC95))</f>
        <v/>
      </c>
      <c r="AO95">
        <f>IF(AJ95="","",IF(AND(T95&lt;&gt;"",U95&lt;&gt;"Active (verified)"),"GST: escalate (no tax advice)",IF(AND(IFERROR(VALUE(LEFT(AJ95,2)),0)&gt;=5,AH95&lt;&gt;"YES",ISNUMBER(AN95),AN95&gt;SETTINGS!$B$14),"STUCK in onboarding","")))</f>
        <v/>
      </c>
    </row>
    <row r="96">
      <c r="A96" t="n">
        <v>95</v>
      </c>
      <c r="B96" t="inlineStr">
        <is>
          <t>UPK2-LM-277</t>
        </is>
      </c>
      <c r="C96" t="inlineStr">
        <is>
          <t>Mohsin Taha Photography</t>
        </is>
      </c>
      <c r="D96" t="inlineStr">
        <is>
          <t>Lens &amp; Motion</t>
        </is>
      </c>
      <c r="E96" t="inlineStr">
        <is>
          <t>LM-ARCH-INTERIOR</t>
        </is>
      </c>
      <c r="F96" t="inlineStr">
        <is>
          <t>Mumbai</t>
        </is>
      </c>
      <c r="G96" t="inlineStr">
        <is>
          <t>B</t>
        </is>
      </c>
      <c r="H96" t="inlineStr">
        <is>
          <t>P0</t>
        </is>
      </c>
      <c r="I96" t="inlineStr">
        <is>
          <t>under-discovered</t>
        </is>
      </c>
      <c r="J96" t="inlineStr">
        <is>
          <t>Personal 1:1 email from founder/team to published business email</t>
        </is>
      </c>
      <c r="K96" t="inlineStr">
        <is>
          <t>https://www.mohsintaha.com/</t>
        </is>
      </c>
      <c r="L96" t="inlineStr">
        <is>
          <t>W1 Founding cohort</t>
        </is>
      </c>
      <c r="M96" t="inlineStr"/>
      <c r="N96" t="inlineStr"/>
      <c r="O96" s="10" t="inlineStr"/>
      <c r="P96" s="10" t="inlineStr"/>
      <c r="Q96" s="10" t="inlineStr"/>
      <c r="R96" s="10" t="inlineStr"/>
      <c r="S96" t="inlineStr"/>
      <c r="T96" s="10" t="inlineStr"/>
      <c r="U96" t="inlineStr"/>
      <c r="V96" s="10" t="inlineStr"/>
      <c r="W96" s="10" t="inlineStr"/>
      <c r="X96" s="10" t="inlineStr"/>
      <c r="Y96" s="10" t="inlineStr"/>
      <c r="Z96" s="10" t="inlineStr"/>
      <c r="AA96" s="10" t="inlineStr"/>
      <c r="AB96" t="inlineStr"/>
      <c r="AC96" s="10" t="inlineStr"/>
      <c r="AD96" t="inlineStr"/>
      <c r="AE96" t="inlineStr"/>
      <c r="AF96" s="10" t="inlineStr"/>
      <c r="AG96" t="inlineStr"/>
      <c r="AH96">
        <f>IF(AND(B96="",C96=""),"",IF(AND(X96&lt;&gt;"",Y96&lt;&gt;"",Z96&lt;&gt;"",AA96&lt;&gt;"",AB96="Y"),"YES","no"))</f>
        <v/>
      </c>
      <c r="AI96" s="10">
        <f>IF(AH96="YES",MAX(X96,Y96,Z96,AA96),"")</f>
        <v/>
      </c>
      <c r="AJ96">
        <f>IF(AND(B96="",C96=""),"",IF(OR(S96="Not interested",S96="Opt-out / do not contact"),"X Declined / suppressed",IF(S96="Bounced / undeliverable","X Bounced — research",IF(AC96&lt;&gt;"","13 Transacting",IF(AH96="YES","12 ACTIVATED",IF(Z96&lt;&gt;"","11 Listing live",IF(Y96&lt;&gt;"","10 Profile complete",IF(X96&lt;&gt;"","9 Approved",IF(W96&lt;&gt;"","8 KYC submitted",IF(V96&lt;&gt;"","7 Registered",IF(T96&lt;&gt;"","5 Interested",IF(R96&lt;&gt;"","4 Responded",IF(O96&lt;&gt;"","2 Contacted","1 Not yet contacted")))))))))))))</f>
        <v/>
      </c>
      <c r="AK96" s="10">
        <f>IF(AF96&lt;&gt;"",AF96,IF(OR(O96="",R96&lt;&gt;"",LEFT(AJ96,1)="X"),"",IF(Q96&lt;&gt;"","",IF(P96&lt;&gt;"",P96+SETTINGS!$B$4,O96+SETTINGS!$B$3))))</f>
        <v/>
      </c>
      <c r="AL96">
        <f>IF(AJ96="","",IF(LEFT(AJ96,1)="X","None — do not contact",IF(AJ96="1 Not yet contacted","Verify route today, then send M1",IF(AND(R96="",Q96&lt;&gt;""),"Sequence complete — no contact before "&amp;TEXT(Q96+SETTINGS!$B$5,"yyyy-mm-dd"),IF(AND(R96="",P96&lt;&gt;""),"Send final note (M4)",IF(R96="","Send follow-up (M2)",IF(AJ96="12 ACTIVATED","7-day check-in; consent &amp; referral soft ask",IF(AJ96="13 Transacting","Repeat-activity support","Onboarding: move to next stage (see playbook §6)"))))))))</f>
        <v/>
      </c>
      <c r="AM96">
        <f>IF(ISNUMBER(AK96),IF(AK96&lt;=TODAY(),"DUE",""),"")</f>
        <v/>
      </c>
      <c r="AN96">
        <f>IF(COUNT(O96,P96,Q96,R96,T96,V96,W96,X96,Y96,Z96,AA96,AC96)=0,"",TODAY()-MAX(O96,P96,Q96,R96,T96,V96,W96,X96,Y96,Z96,AA96,AC96))</f>
        <v/>
      </c>
      <c r="AO96">
        <f>IF(AJ96="","",IF(AND(T96&lt;&gt;"",U96&lt;&gt;"Active (verified)"),"GST: escalate (no tax advice)",IF(AND(IFERROR(VALUE(LEFT(AJ96,2)),0)&gt;=5,AH96&lt;&gt;"YES",ISNUMBER(AN96),AN96&gt;SETTINGS!$B$14),"STUCK in onboarding","")))</f>
        <v/>
      </c>
    </row>
    <row r="97">
      <c r="A97" t="n">
        <v>96</v>
      </c>
      <c r="B97" t="inlineStr">
        <is>
          <t>UPK2-LM-353</t>
        </is>
      </c>
      <c r="C97" t="inlineStr">
        <is>
          <t>The Endless Forms</t>
        </is>
      </c>
      <c r="D97" t="inlineStr">
        <is>
          <t>Lens &amp; Motion</t>
        </is>
      </c>
      <c r="E97" t="inlineStr">
        <is>
          <t>LM-ARCH-INTERIOR</t>
        </is>
      </c>
      <c r="F97" t="inlineStr">
        <is>
          <t>Mumbai</t>
        </is>
      </c>
      <c r="G97" t="inlineStr">
        <is>
          <t>B</t>
        </is>
      </c>
      <c r="H97" t="inlineStr">
        <is>
          <t>P0</t>
        </is>
      </c>
      <c r="I97" t="inlineStr">
        <is>
          <t>under-discovered</t>
        </is>
      </c>
      <c r="J97" t="inlineStr">
        <is>
          <t>Personal 1:1 email from founder/team to published business email</t>
        </is>
      </c>
      <c r="K97" t="inlineStr">
        <is>
          <t>https://yadnyeshjoshi.com/contact</t>
        </is>
      </c>
      <c r="L97" t="inlineStr">
        <is>
          <t>W1 Founding cohort</t>
        </is>
      </c>
      <c r="M97" t="inlineStr"/>
      <c r="N97" t="inlineStr"/>
      <c r="O97" s="10" t="inlineStr"/>
      <c r="P97" s="10" t="inlineStr"/>
      <c r="Q97" s="10" t="inlineStr"/>
      <c r="R97" s="10" t="inlineStr"/>
      <c r="S97" t="inlineStr"/>
      <c r="T97" s="10" t="inlineStr"/>
      <c r="U97" t="inlineStr"/>
      <c r="V97" s="10" t="inlineStr"/>
      <c r="W97" s="10" t="inlineStr"/>
      <c r="X97" s="10" t="inlineStr"/>
      <c r="Y97" s="10" t="inlineStr"/>
      <c r="Z97" s="10" t="inlineStr"/>
      <c r="AA97" s="10" t="inlineStr"/>
      <c r="AB97" t="inlineStr"/>
      <c r="AC97" s="10" t="inlineStr"/>
      <c r="AD97" t="inlineStr"/>
      <c r="AE97" t="inlineStr"/>
      <c r="AF97" s="10" t="inlineStr"/>
      <c r="AG97" t="inlineStr"/>
      <c r="AH97">
        <f>IF(AND(B97="",C97=""),"",IF(AND(X97&lt;&gt;"",Y97&lt;&gt;"",Z97&lt;&gt;"",AA97&lt;&gt;"",AB97="Y"),"YES","no"))</f>
        <v/>
      </c>
      <c r="AI97" s="10">
        <f>IF(AH97="YES",MAX(X97,Y97,Z97,AA97),"")</f>
        <v/>
      </c>
      <c r="AJ97">
        <f>IF(AND(B97="",C97=""),"",IF(OR(S97="Not interested",S97="Opt-out / do not contact"),"X Declined / suppressed",IF(S97="Bounced / undeliverable","X Bounced — research",IF(AC97&lt;&gt;"","13 Transacting",IF(AH97="YES","12 ACTIVATED",IF(Z97&lt;&gt;"","11 Listing live",IF(Y97&lt;&gt;"","10 Profile complete",IF(X97&lt;&gt;"","9 Approved",IF(W97&lt;&gt;"","8 KYC submitted",IF(V97&lt;&gt;"","7 Registered",IF(T97&lt;&gt;"","5 Interested",IF(R97&lt;&gt;"","4 Responded",IF(O97&lt;&gt;"","2 Contacted","1 Not yet contacted")))))))))))))</f>
        <v/>
      </c>
      <c r="AK97" s="10">
        <f>IF(AF97&lt;&gt;"",AF97,IF(OR(O97="",R97&lt;&gt;"",LEFT(AJ97,1)="X"),"",IF(Q97&lt;&gt;"","",IF(P97&lt;&gt;"",P97+SETTINGS!$B$4,O97+SETTINGS!$B$3))))</f>
        <v/>
      </c>
      <c r="AL97">
        <f>IF(AJ97="","",IF(LEFT(AJ97,1)="X","None — do not contact",IF(AJ97="1 Not yet contacted","Verify route today, then send M1",IF(AND(R97="",Q97&lt;&gt;""),"Sequence complete — no contact before "&amp;TEXT(Q97+SETTINGS!$B$5,"yyyy-mm-dd"),IF(AND(R97="",P97&lt;&gt;""),"Send final note (M4)",IF(R97="","Send follow-up (M2)",IF(AJ97="12 ACTIVATED","7-day check-in; consent &amp; referral soft ask",IF(AJ97="13 Transacting","Repeat-activity support","Onboarding: move to next stage (see playbook §6)"))))))))</f>
        <v/>
      </c>
      <c r="AM97">
        <f>IF(ISNUMBER(AK97),IF(AK97&lt;=TODAY(),"DUE",""),"")</f>
        <v/>
      </c>
      <c r="AN97">
        <f>IF(COUNT(O97,P97,Q97,R97,T97,V97,W97,X97,Y97,Z97,AA97,AC97)=0,"",TODAY()-MAX(O97,P97,Q97,R97,T97,V97,W97,X97,Y97,Z97,AA97,AC97))</f>
        <v/>
      </c>
      <c r="AO97">
        <f>IF(AJ97="","",IF(AND(T97&lt;&gt;"",U97&lt;&gt;"Active (verified)"),"GST: escalate (no tax advice)",IF(AND(IFERROR(VALUE(LEFT(AJ97,2)),0)&gt;=5,AH97&lt;&gt;"YES",ISNUMBER(AN97),AN97&gt;SETTINGS!$B$14),"STUCK in onboarding","")))</f>
        <v/>
      </c>
    </row>
    <row r="98">
      <c r="A98" t="n">
        <v>97</v>
      </c>
      <c r="B98" t="inlineStr">
        <is>
          <t>UPK2-CM-050</t>
        </is>
      </c>
      <c r="C98" t="inlineStr">
        <is>
          <t>Kunal Jessani</t>
        </is>
      </c>
      <c r="D98" t="inlineStr">
        <is>
          <t>Content &amp; Media</t>
        </is>
      </c>
      <c r="E98" t="inlineStr">
        <is>
          <t>CM-EMCEE-HOST</t>
        </is>
      </c>
      <c r="F98" t="inlineStr">
        <is>
          <t>Mumbai</t>
        </is>
      </c>
      <c r="G98" t="inlineStr">
        <is>
          <t>A</t>
        </is>
      </c>
      <c r="H98" t="inlineStr">
        <is>
          <t>P0</t>
        </is>
      </c>
      <c r="I98" t="inlineStr"/>
      <c r="J98" t="inlineStr">
        <is>
          <t>Personal 1:1 email from founder/team to published business email</t>
        </is>
      </c>
      <c r="K98" t="inlineStr">
        <is>
          <t>https://kunaljessani.com/connect-with-us/</t>
        </is>
      </c>
      <c r="L98" t="inlineStr">
        <is>
          <t>W1 Founding cohort</t>
        </is>
      </c>
      <c r="M98" t="inlineStr"/>
      <c r="N98" t="inlineStr"/>
      <c r="O98" s="10" t="inlineStr"/>
      <c r="P98" s="10" t="inlineStr"/>
      <c r="Q98" s="10" t="inlineStr"/>
      <c r="R98" s="10" t="inlineStr"/>
      <c r="S98" t="inlineStr"/>
      <c r="T98" s="10" t="inlineStr"/>
      <c r="U98" t="inlineStr"/>
      <c r="V98" s="10" t="inlineStr"/>
      <c r="W98" s="10" t="inlineStr"/>
      <c r="X98" s="10" t="inlineStr"/>
      <c r="Y98" s="10" t="inlineStr"/>
      <c r="Z98" s="10" t="inlineStr"/>
      <c r="AA98" s="10" t="inlineStr"/>
      <c r="AB98" t="inlineStr"/>
      <c r="AC98" s="10" t="inlineStr"/>
      <c r="AD98" t="inlineStr"/>
      <c r="AE98" t="inlineStr"/>
      <c r="AF98" s="10" t="inlineStr"/>
      <c r="AG98" t="inlineStr"/>
      <c r="AH98">
        <f>IF(AND(B98="",C98=""),"",IF(AND(X98&lt;&gt;"",Y98&lt;&gt;"",Z98&lt;&gt;"",AA98&lt;&gt;"",AB98="Y"),"YES","no"))</f>
        <v/>
      </c>
      <c r="AI98" s="10">
        <f>IF(AH98="YES",MAX(X98,Y98,Z98,AA98),"")</f>
        <v/>
      </c>
      <c r="AJ98">
        <f>IF(AND(B98="",C98=""),"",IF(OR(S98="Not interested",S98="Opt-out / do not contact"),"X Declined / suppressed",IF(S98="Bounced / undeliverable","X Bounced — research",IF(AC98&lt;&gt;"","13 Transacting",IF(AH98="YES","12 ACTIVATED",IF(Z98&lt;&gt;"","11 Listing live",IF(Y98&lt;&gt;"","10 Profile complete",IF(X98&lt;&gt;"","9 Approved",IF(W98&lt;&gt;"","8 KYC submitted",IF(V98&lt;&gt;"","7 Registered",IF(T98&lt;&gt;"","5 Interested",IF(R98&lt;&gt;"","4 Responded",IF(O98&lt;&gt;"","2 Contacted","1 Not yet contacted")))))))))))))</f>
        <v/>
      </c>
      <c r="AK98" s="10">
        <f>IF(AF98&lt;&gt;"",AF98,IF(OR(O98="",R98&lt;&gt;"",LEFT(AJ98,1)="X"),"",IF(Q98&lt;&gt;"","",IF(P98&lt;&gt;"",P98+SETTINGS!$B$4,O98+SETTINGS!$B$3))))</f>
        <v/>
      </c>
      <c r="AL98">
        <f>IF(AJ98="","",IF(LEFT(AJ98,1)="X","None — do not contact",IF(AJ98="1 Not yet contacted","Verify route today, then send M1",IF(AND(R98="",Q98&lt;&gt;""),"Sequence complete — no contact before "&amp;TEXT(Q98+SETTINGS!$B$5,"yyyy-mm-dd"),IF(AND(R98="",P98&lt;&gt;""),"Send final note (M4)",IF(R98="","Send follow-up (M2)",IF(AJ98="12 ACTIVATED","7-day check-in; consent &amp; referral soft ask",IF(AJ98="13 Transacting","Repeat-activity support","Onboarding: move to next stage (see playbook §6)"))))))))</f>
        <v/>
      </c>
      <c r="AM98">
        <f>IF(ISNUMBER(AK98),IF(AK98&lt;=TODAY(),"DUE",""),"")</f>
        <v/>
      </c>
      <c r="AN98">
        <f>IF(COUNT(O98,P98,Q98,R98,T98,V98,W98,X98,Y98,Z98,AA98,AC98)=0,"",TODAY()-MAX(O98,P98,Q98,R98,T98,V98,W98,X98,Y98,Z98,AA98,AC98))</f>
        <v/>
      </c>
      <c r="AO98">
        <f>IF(AJ98="","",IF(AND(T98&lt;&gt;"",U98&lt;&gt;"Active (verified)"),"GST: escalate (no tax advice)",IF(AND(IFERROR(VALUE(LEFT(AJ98,2)),0)&gt;=5,AH98&lt;&gt;"YES",ISNUMBER(AN98),AN98&gt;SETTINGS!$B$14),"STUCK in onboarding","")))</f>
        <v/>
      </c>
    </row>
    <row r="99">
      <c r="A99" t="n">
        <v>98</v>
      </c>
      <c r="B99" t="inlineStr">
        <is>
          <t>UPK2-CM-051</t>
        </is>
      </c>
      <c r="C99" t="inlineStr">
        <is>
          <t>Ansh Chaudhary</t>
        </is>
      </c>
      <c r="D99" t="inlineStr">
        <is>
          <t>Content &amp; Media</t>
        </is>
      </c>
      <c r="E99" t="inlineStr">
        <is>
          <t>CM-EMCEE-HOST</t>
        </is>
      </c>
      <c r="F99" t="inlineStr">
        <is>
          <t>Delhi NCR</t>
        </is>
      </c>
      <c r="G99" t="inlineStr">
        <is>
          <t>A</t>
        </is>
      </c>
      <c r="H99" t="inlineStr">
        <is>
          <t>P0</t>
        </is>
      </c>
      <c r="I99" t="inlineStr"/>
      <c r="J99" t="inlineStr">
        <is>
          <t>Personal 1:1 email from founder/team to published business email</t>
        </is>
      </c>
      <c r="K99" t="inlineStr">
        <is>
          <t>https://anchoransh.com</t>
        </is>
      </c>
      <c r="L99" t="inlineStr">
        <is>
          <t>W1 Founding cohort</t>
        </is>
      </c>
      <c r="M99" t="inlineStr"/>
      <c r="N99" t="inlineStr"/>
      <c r="O99" s="10" t="inlineStr"/>
      <c r="P99" s="10" t="inlineStr"/>
      <c r="Q99" s="10" t="inlineStr"/>
      <c r="R99" s="10" t="inlineStr"/>
      <c r="S99" t="inlineStr"/>
      <c r="T99" s="10" t="inlineStr"/>
      <c r="U99" t="inlineStr"/>
      <c r="V99" s="10" t="inlineStr"/>
      <c r="W99" s="10" t="inlineStr"/>
      <c r="X99" s="10" t="inlineStr"/>
      <c r="Y99" s="10" t="inlineStr"/>
      <c r="Z99" s="10" t="inlineStr"/>
      <c r="AA99" s="10" t="inlineStr"/>
      <c r="AB99" t="inlineStr"/>
      <c r="AC99" s="10" t="inlineStr"/>
      <c r="AD99" t="inlineStr"/>
      <c r="AE99" t="inlineStr"/>
      <c r="AF99" s="10" t="inlineStr"/>
      <c r="AG99" t="inlineStr"/>
      <c r="AH99">
        <f>IF(AND(B99="",C99=""),"",IF(AND(X99&lt;&gt;"",Y99&lt;&gt;"",Z99&lt;&gt;"",AA99&lt;&gt;"",AB99="Y"),"YES","no"))</f>
        <v/>
      </c>
      <c r="AI99" s="10">
        <f>IF(AH99="YES",MAX(X99,Y99,Z99,AA99),"")</f>
        <v/>
      </c>
      <c r="AJ99">
        <f>IF(AND(B99="",C99=""),"",IF(OR(S99="Not interested",S99="Opt-out / do not contact"),"X Declined / suppressed",IF(S99="Bounced / undeliverable","X Bounced — research",IF(AC99&lt;&gt;"","13 Transacting",IF(AH99="YES","12 ACTIVATED",IF(Z99&lt;&gt;"","11 Listing live",IF(Y99&lt;&gt;"","10 Profile complete",IF(X99&lt;&gt;"","9 Approved",IF(W99&lt;&gt;"","8 KYC submitted",IF(V99&lt;&gt;"","7 Registered",IF(T99&lt;&gt;"","5 Interested",IF(R99&lt;&gt;"","4 Responded",IF(O99&lt;&gt;"","2 Contacted","1 Not yet contacted")))))))))))))</f>
        <v/>
      </c>
      <c r="AK99" s="10">
        <f>IF(AF99&lt;&gt;"",AF99,IF(OR(O99="",R99&lt;&gt;"",LEFT(AJ99,1)="X"),"",IF(Q99&lt;&gt;"","",IF(P99&lt;&gt;"",P99+SETTINGS!$B$4,O99+SETTINGS!$B$3))))</f>
        <v/>
      </c>
      <c r="AL99">
        <f>IF(AJ99="","",IF(LEFT(AJ99,1)="X","None — do not contact",IF(AJ99="1 Not yet contacted","Verify route today, then send M1",IF(AND(R99="",Q99&lt;&gt;""),"Sequence complete — no contact before "&amp;TEXT(Q99+SETTINGS!$B$5,"yyyy-mm-dd"),IF(AND(R99="",P99&lt;&gt;""),"Send final note (M4)",IF(R99="","Send follow-up (M2)",IF(AJ99="12 ACTIVATED","7-day check-in; consent &amp; referral soft ask",IF(AJ99="13 Transacting","Repeat-activity support","Onboarding: move to next stage (see playbook §6)"))))))))</f>
        <v/>
      </c>
      <c r="AM99">
        <f>IF(ISNUMBER(AK99),IF(AK99&lt;=TODAY(),"DUE",""),"")</f>
        <v/>
      </c>
      <c r="AN99">
        <f>IF(COUNT(O99,P99,Q99,R99,T99,V99,W99,X99,Y99,Z99,AA99,AC99)=0,"",TODAY()-MAX(O99,P99,Q99,R99,T99,V99,W99,X99,Y99,Z99,AA99,AC99))</f>
        <v/>
      </c>
      <c r="AO99">
        <f>IF(AJ99="","",IF(AND(T99&lt;&gt;"",U99&lt;&gt;"Active (verified)"),"GST: escalate (no tax advice)",IF(AND(IFERROR(VALUE(LEFT(AJ99,2)),0)&gt;=5,AH99&lt;&gt;"YES",ISNUMBER(AN99),AN99&gt;SETTINGS!$B$14),"STUCK in onboarding","")))</f>
        <v/>
      </c>
    </row>
    <row r="100">
      <c r="A100" t="n">
        <v>99</v>
      </c>
      <c r="B100" t="inlineStr">
        <is>
          <t>UPK2-CM-052</t>
        </is>
      </c>
      <c r="C100" t="inlineStr">
        <is>
          <t>Tina Behl</t>
        </is>
      </c>
      <c r="D100" t="inlineStr">
        <is>
          <t>Content &amp; Media</t>
        </is>
      </c>
      <c r="E100" t="inlineStr">
        <is>
          <t>CM-EMCEE-HOST</t>
        </is>
      </c>
      <c r="F100" t="inlineStr">
        <is>
          <t>Delhi NCR</t>
        </is>
      </c>
      <c r="G100" t="inlineStr">
        <is>
          <t>A</t>
        </is>
      </c>
      <c r="H100" t="inlineStr">
        <is>
          <t>P0</t>
        </is>
      </c>
      <c r="I100" t="inlineStr"/>
      <c r="J100" t="inlineStr">
        <is>
          <t>1:1 Instagram DM from Uepaki professional account</t>
        </is>
      </c>
      <c r="K100" t="inlineStr">
        <is>
          <t>https://www.instagram.com/tina.behl</t>
        </is>
      </c>
      <c r="L100" t="inlineStr">
        <is>
          <t>W1 Founding cohort</t>
        </is>
      </c>
      <c r="M100" t="inlineStr"/>
      <c r="N100" t="inlineStr"/>
      <c r="O100" s="10" t="inlineStr"/>
      <c r="P100" s="10" t="inlineStr"/>
      <c r="Q100" s="10" t="inlineStr"/>
      <c r="R100" s="10" t="inlineStr"/>
      <c r="S100" t="inlineStr"/>
      <c r="T100" s="10" t="inlineStr"/>
      <c r="U10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t="inlineStr"/>
      <c r="AC100" s="10" t="inlineStr"/>
      <c r="AD100" t="inlineStr"/>
      <c r="AE100" t="inlineStr"/>
      <c r="AF100" s="10" t="inlineStr"/>
      <c r="AG100" t="inlineStr"/>
      <c r="AH100">
        <f>IF(AND(B100="",C100=""),"",IF(AND(X100&lt;&gt;"",Y100&lt;&gt;"",Z100&lt;&gt;"",AA100&lt;&gt;"",AB100="Y"),"YES","no"))</f>
        <v/>
      </c>
      <c r="AI100" s="10">
        <f>IF(AH100="YES",MAX(X100,Y100,Z100,AA100),"")</f>
        <v/>
      </c>
      <c r="AJ100">
        <f>IF(AND(B100="",C100=""),"",IF(OR(S100="Not interested",S100="Opt-out / do not contact"),"X Declined / suppressed",IF(S100="Bounced / undeliverable","X Bounced — research",IF(AC100&lt;&gt;"","13 Transacting",IF(AH100="YES","12 ACTIVATED",IF(Z100&lt;&gt;"","11 Listing live",IF(Y100&lt;&gt;"","10 Profile complete",IF(X100&lt;&gt;"","9 Approved",IF(W100&lt;&gt;"","8 KYC submitted",IF(V100&lt;&gt;"","7 Registered",IF(T100&lt;&gt;"","5 Interested",IF(R100&lt;&gt;"","4 Responded",IF(O100&lt;&gt;"","2 Contacted","1 Not yet contacted")))))))))))))</f>
        <v/>
      </c>
      <c r="AK100" s="10">
        <f>IF(AF100&lt;&gt;"",AF100,IF(OR(O100="",R100&lt;&gt;"",LEFT(AJ100,1)="X"),"",IF(Q100&lt;&gt;"","",IF(P100&lt;&gt;"",P100+SETTINGS!$B$4,O100+SETTINGS!$B$3))))</f>
        <v/>
      </c>
      <c r="AL100">
        <f>IF(AJ100="","",IF(LEFT(AJ100,1)="X","None — do not contact",IF(AJ100="1 Not yet contacted","Verify route today, then send M1",IF(AND(R100="",Q100&lt;&gt;""),"Sequence complete — no contact before "&amp;TEXT(Q100+SETTINGS!$B$5,"yyyy-mm-dd"),IF(AND(R100="",P100&lt;&gt;""),"Send final note (M4)",IF(R100="","Send follow-up (M2)",IF(AJ100="12 ACTIVATED","7-day check-in; consent &amp; referral soft ask",IF(AJ100="13 Transacting","Repeat-activity support","Onboarding: move to next stage (see playbook §6)"))))))))</f>
        <v/>
      </c>
      <c r="AM100">
        <f>IF(ISNUMBER(AK100),IF(AK100&lt;=TODAY(),"DUE",""),"")</f>
        <v/>
      </c>
      <c r="AN100">
        <f>IF(COUNT(O100,P100,Q100,R100,T100,V100,W100,X100,Y100,Z100,AA100,AC100)=0,"",TODAY()-MAX(O100,P100,Q100,R100,T100,V100,W100,X100,Y100,Z100,AA100,AC100))</f>
        <v/>
      </c>
      <c r="AO100">
        <f>IF(AJ100="","",IF(AND(T100&lt;&gt;"",U100&lt;&gt;"Active (verified)"),"GST: escalate (no tax advice)",IF(AND(IFERROR(VALUE(LEFT(AJ100,2)),0)&gt;=5,AH100&lt;&gt;"YES",ISNUMBER(AN100),AN100&gt;SETTINGS!$B$14),"STUCK in onboarding","")))</f>
        <v/>
      </c>
    </row>
    <row r="101">
      <c r="A101" t="n">
        <v>100</v>
      </c>
      <c r="B101" t="inlineStr">
        <is>
          <t>UPK2-CM-045</t>
        </is>
      </c>
      <c r="C101" t="inlineStr">
        <is>
          <t>Krishna (Emcee Krishna)</t>
        </is>
      </c>
      <c r="D101" t="inlineStr">
        <is>
          <t>Content &amp; Media</t>
        </is>
      </c>
      <c r="E101" t="inlineStr">
        <is>
          <t>CM-EMCEE-HOST</t>
        </is>
      </c>
      <c r="F101" t="inlineStr">
        <is>
          <t>Mumbai</t>
        </is>
      </c>
      <c r="G101" t="inlineStr">
        <is>
          <t>B</t>
        </is>
      </c>
      <c r="H101" t="inlineStr">
        <is>
          <t>P0</t>
        </is>
      </c>
      <c r="I101" t="inlineStr"/>
      <c r="J101" t="inlineStr">
        <is>
          <t>1:1 Instagram DM from Uepaki professional account</t>
        </is>
      </c>
      <c r="K101" t="inlineStr">
        <is>
          <t>https://www.instagram.com/emceekrishna</t>
        </is>
      </c>
      <c r="L101" t="inlineStr">
        <is>
          <t>W1 Founding cohort</t>
        </is>
      </c>
      <c r="M101" t="inlineStr"/>
      <c r="N101" t="inlineStr"/>
      <c r="O101" s="10" t="inlineStr"/>
      <c r="P101" s="10" t="inlineStr"/>
      <c r="Q101" s="10" t="inlineStr"/>
      <c r="R101" s="10" t="inlineStr"/>
      <c r="S101" t="inlineStr"/>
      <c r="T101" s="10" t="inlineStr"/>
      <c r="U101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t="inlineStr"/>
      <c r="AC101" s="10" t="inlineStr"/>
      <c r="AD101" t="inlineStr"/>
      <c r="AE101" t="inlineStr"/>
      <c r="AF101" s="10" t="inlineStr"/>
      <c r="AG101" t="inlineStr"/>
      <c r="AH101">
        <f>IF(AND(B101="",C101=""),"",IF(AND(X101&lt;&gt;"",Y101&lt;&gt;"",Z101&lt;&gt;"",AA101&lt;&gt;"",AB101="Y"),"YES","no"))</f>
        <v/>
      </c>
      <c r="AI101" s="10">
        <f>IF(AH101="YES",MAX(X101,Y101,Z101,AA101),"")</f>
        <v/>
      </c>
      <c r="AJ101">
        <f>IF(AND(B101="",C101=""),"",IF(OR(S101="Not interested",S101="Opt-out / do not contact"),"X Declined / suppressed",IF(S101="Bounced / undeliverable","X Bounced — research",IF(AC101&lt;&gt;"","13 Transacting",IF(AH101="YES","12 ACTIVATED",IF(Z101&lt;&gt;"","11 Listing live",IF(Y101&lt;&gt;"","10 Profile complete",IF(X101&lt;&gt;"","9 Approved",IF(W101&lt;&gt;"","8 KYC submitted",IF(V101&lt;&gt;"","7 Registered",IF(T101&lt;&gt;"","5 Interested",IF(R101&lt;&gt;"","4 Responded",IF(O101&lt;&gt;"","2 Contacted","1 Not yet contacted")))))))))))))</f>
        <v/>
      </c>
      <c r="AK101" s="10">
        <f>IF(AF101&lt;&gt;"",AF101,IF(OR(O101="",R101&lt;&gt;"",LEFT(AJ101,1)="X"),"",IF(Q101&lt;&gt;"","",IF(P101&lt;&gt;"",P101+SETTINGS!$B$4,O101+SETTINGS!$B$3))))</f>
        <v/>
      </c>
      <c r="AL101">
        <f>IF(AJ101="","",IF(LEFT(AJ101,1)="X","None — do not contact",IF(AJ101="1 Not yet contacted","Verify route today, then send M1",IF(AND(R101="",Q101&lt;&gt;""),"Sequence complete — no contact before "&amp;TEXT(Q101+SETTINGS!$B$5,"yyyy-mm-dd"),IF(AND(R101="",P101&lt;&gt;""),"Send final note (M4)",IF(R101="","Send follow-up (M2)",IF(AJ101="12 ACTIVATED","7-day check-in; consent &amp; referral soft ask",IF(AJ101="13 Transacting","Repeat-activity support","Onboarding: move to next stage (see playbook §6)"))))))))</f>
        <v/>
      </c>
      <c r="AM101">
        <f>IF(ISNUMBER(AK101),IF(AK101&lt;=TODAY(),"DUE",""),"")</f>
        <v/>
      </c>
      <c r="AN101">
        <f>IF(COUNT(O101,P101,Q101,R101,T101,V101,W101,X101,Y101,Z101,AA101,AC101)=0,"",TODAY()-MAX(O101,P101,Q101,R101,T101,V101,W101,X101,Y101,Z101,AA101,AC101))</f>
        <v/>
      </c>
      <c r="AO101">
        <f>IF(AJ101="","",IF(AND(T101&lt;&gt;"",U101&lt;&gt;"Active (verified)"),"GST: escalate (no tax advice)",IF(AND(IFERROR(VALUE(LEFT(AJ101,2)),0)&gt;=5,AH101&lt;&gt;"YES",ISNUMBER(AN101),AN101&gt;SETTINGS!$B$14),"STUCK in onboarding","")))</f>
        <v/>
      </c>
    </row>
    <row r="102">
      <c r="A102" t="n">
        <v>101</v>
      </c>
      <c r="B102" t="inlineStr">
        <is>
          <t>UPK2-FL-209</t>
        </is>
      </c>
      <c r="C102" t="inlineStr">
        <is>
          <t>Chotibuti</t>
        </is>
      </c>
      <c r="D102" t="inlineStr">
        <is>
          <t>Fashion &amp; Lifestyle</t>
        </is>
      </c>
      <c r="E102" t="inlineStr">
        <is>
          <t>FL-OCCASION-BRIDAL</t>
        </is>
      </c>
      <c r="F102" t="inlineStr">
        <is>
          <t>Delhi NCR</t>
        </is>
      </c>
      <c r="G102" t="inlineStr">
        <is>
          <t>A</t>
        </is>
      </c>
      <c r="H102" t="inlineStr">
        <is>
          <t>P0</t>
        </is>
      </c>
      <c r="I102" t="inlineStr">
        <is>
          <t>stockist-listed</t>
        </is>
      </c>
      <c r="J102" t="inlineStr">
        <is>
          <t>Personal 1:1 email from founder/team to published business email</t>
        </is>
      </c>
      <c r="K102" t="inlineStr">
        <is>
          <t>https://chotibuti.com/</t>
        </is>
      </c>
      <c r="L102" t="inlineStr">
        <is>
          <t>W2 Expansion</t>
        </is>
      </c>
      <c r="M102" t="inlineStr"/>
      <c r="N102" t="inlineStr"/>
      <c r="O102" s="10" t="inlineStr"/>
      <c r="P102" s="10" t="inlineStr"/>
      <c r="Q102" s="10" t="inlineStr"/>
      <c r="R102" s="10" t="inlineStr"/>
      <c r="S102" t="inlineStr"/>
      <c r="T102" s="10" t="inlineStr"/>
      <c r="U102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t="inlineStr"/>
      <c r="AC102" s="10" t="inlineStr"/>
      <c r="AD102" t="inlineStr"/>
      <c r="AE102" t="inlineStr"/>
      <c r="AF102" s="10" t="inlineStr"/>
      <c r="AG102" t="inlineStr"/>
      <c r="AH102">
        <f>IF(AND(B102="",C102=""),"",IF(AND(X102&lt;&gt;"",Y102&lt;&gt;"",Z102&lt;&gt;"",AA102&lt;&gt;"",AB102="Y"),"YES","no"))</f>
        <v/>
      </c>
      <c r="AI102" s="10">
        <f>IF(AH102="YES",MAX(X102,Y102,Z102,AA102),"")</f>
        <v/>
      </c>
      <c r="AJ102">
        <f>IF(AND(B102="",C102=""),"",IF(OR(S102="Not interested",S102="Opt-out / do not contact"),"X Declined / suppressed",IF(S102="Bounced / undeliverable","X Bounced — research",IF(AC102&lt;&gt;"","13 Transacting",IF(AH102="YES","12 ACTIVATED",IF(Z102&lt;&gt;"","11 Listing live",IF(Y102&lt;&gt;"","10 Profile complete",IF(X102&lt;&gt;"","9 Approved",IF(W102&lt;&gt;"","8 KYC submitted",IF(V102&lt;&gt;"","7 Registered",IF(T102&lt;&gt;"","5 Interested",IF(R102&lt;&gt;"","4 Responded",IF(O102&lt;&gt;"","2 Contacted","1 Not yet contacted")))))))))))))</f>
        <v/>
      </c>
      <c r="AK102" s="10">
        <f>IF(AF102&lt;&gt;"",AF102,IF(OR(O102="",R102&lt;&gt;"",LEFT(AJ102,1)="X"),"",IF(Q102&lt;&gt;"","",IF(P102&lt;&gt;"",P102+SETTINGS!$B$4,O102+SETTINGS!$B$3))))</f>
        <v/>
      </c>
      <c r="AL102">
        <f>IF(AJ102="","",IF(LEFT(AJ102,1)="X","None — do not contact",IF(AJ102="1 Not yet contacted","Verify route today, then send M1",IF(AND(R102="",Q102&lt;&gt;""),"Sequence complete — no contact before "&amp;TEXT(Q102+SETTINGS!$B$5,"yyyy-mm-dd"),IF(AND(R102="",P102&lt;&gt;""),"Send final note (M4)",IF(R102="","Send follow-up (M2)",IF(AJ102="12 ACTIVATED","7-day check-in; consent &amp; referral soft ask",IF(AJ102="13 Transacting","Repeat-activity support","Onboarding: move to next stage (see playbook §6)"))))))))</f>
        <v/>
      </c>
      <c r="AM102">
        <f>IF(ISNUMBER(AK102),IF(AK102&lt;=TODAY(),"DUE",""),"")</f>
        <v/>
      </c>
      <c r="AN102">
        <f>IF(COUNT(O102,P102,Q102,R102,T102,V102,W102,X102,Y102,Z102,AA102,AC102)=0,"",TODAY()-MAX(O102,P102,Q102,R102,T102,V102,W102,X102,Y102,Z102,AA102,AC102))</f>
        <v/>
      </c>
      <c r="AO102">
        <f>IF(AJ102="","",IF(AND(T102&lt;&gt;"",U102&lt;&gt;"Active (verified)"),"GST: escalate (no tax advice)",IF(AND(IFERROR(VALUE(LEFT(AJ102,2)),0)&gt;=5,AH102&lt;&gt;"YES",ISNUMBER(AN102),AN102&gt;SETTINGS!$B$14),"STUCK in onboarding","")))</f>
        <v/>
      </c>
    </row>
    <row r="103">
      <c r="A103" t="n">
        <v>102</v>
      </c>
      <c r="B103" t="inlineStr">
        <is>
          <t>UPK2-FL-197</t>
        </is>
      </c>
      <c r="C103" t="inlineStr">
        <is>
          <t>Sica Jewellery</t>
        </is>
      </c>
      <c r="D103" t="inlineStr">
        <is>
          <t>Fashion &amp; Lifestyle</t>
        </is>
      </c>
      <c r="E103" t="inlineStr">
        <is>
          <t>FL-JEWELLERY</t>
        </is>
      </c>
      <c r="F103" t="inlineStr">
        <is>
          <t>Mumbai</t>
        </is>
      </c>
      <c r="G103" t="inlineStr">
        <is>
          <t>A</t>
        </is>
      </c>
      <c r="H103" t="inlineStr">
        <is>
          <t>P0</t>
        </is>
      </c>
      <c r="I103" t="inlineStr">
        <is>
          <t>stockist-listed|large catalogue</t>
        </is>
      </c>
      <c r="J103" t="inlineStr">
        <is>
          <t>Personal 1:1 email from founder/team to published business email</t>
        </is>
      </c>
      <c r="K103" t="inlineStr">
        <is>
          <t>https://sicajewellery.com/pages/contact-us</t>
        </is>
      </c>
      <c r="L103" t="inlineStr">
        <is>
          <t>W2 Expansion</t>
        </is>
      </c>
      <c r="M103" t="inlineStr"/>
      <c r="N103" t="inlineStr"/>
      <c r="O103" s="10" t="inlineStr"/>
      <c r="P103" s="10" t="inlineStr"/>
      <c r="Q103" s="10" t="inlineStr"/>
      <c r="R103" s="10" t="inlineStr"/>
      <c r="S103" t="inlineStr"/>
      <c r="T103" s="10" t="inlineStr"/>
      <c r="U103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t="inlineStr"/>
      <c r="AC103" s="10" t="inlineStr"/>
      <c r="AD103" t="inlineStr"/>
      <c r="AE103" t="inlineStr"/>
      <c r="AF103" s="10" t="inlineStr"/>
      <c r="AG103" t="inlineStr"/>
      <c r="AH103">
        <f>IF(AND(B103="",C103=""),"",IF(AND(X103&lt;&gt;"",Y103&lt;&gt;"",Z103&lt;&gt;"",AA103&lt;&gt;"",AB103="Y"),"YES","no"))</f>
        <v/>
      </c>
      <c r="AI103" s="10">
        <f>IF(AH103="YES",MAX(X103,Y103,Z103,AA103),"")</f>
        <v/>
      </c>
      <c r="AJ103">
        <f>IF(AND(B103="",C103=""),"",IF(OR(S103="Not interested",S103="Opt-out / do not contact"),"X Declined / suppressed",IF(S103="Bounced / undeliverable","X Bounced — research",IF(AC103&lt;&gt;"","13 Transacting",IF(AH103="YES","12 ACTIVATED",IF(Z103&lt;&gt;"","11 Listing live",IF(Y103&lt;&gt;"","10 Profile complete",IF(X103&lt;&gt;"","9 Approved",IF(W103&lt;&gt;"","8 KYC submitted",IF(V103&lt;&gt;"","7 Registered",IF(T103&lt;&gt;"","5 Interested",IF(R103&lt;&gt;"","4 Responded",IF(O103&lt;&gt;"","2 Contacted","1 Not yet contacted")))))))))))))</f>
        <v/>
      </c>
      <c r="AK103" s="10">
        <f>IF(AF103&lt;&gt;"",AF103,IF(OR(O103="",R103&lt;&gt;"",LEFT(AJ103,1)="X"),"",IF(Q103&lt;&gt;"","",IF(P103&lt;&gt;"",P103+SETTINGS!$B$4,O103+SETTINGS!$B$3))))</f>
        <v/>
      </c>
      <c r="AL103">
        <f>IF(AJ103="","",IF(LEFT(AJ103,1)="X","None — do not contact",IF(AJ103="1 Not yet contacted","Verify route today, then send M1",IF(AND(R103="",Q103&lt;&gt;""),"Sequence complete — no contact before "&amp;TEXT(Q103+SETTINGS!$B$5,"yyyy-mm-dd"),IF(AND(R103="",P103&lt;&gt;""),"Send final note (M4)",IF(R103="","Send follow-up (M2)",IF(AJ103="12 ACTIVATED","7-day check-in; consent &amp; referral soft ask",IF(AJ103="13 Transacting","Repeat-activity support","Onboarding: move to next stage (see playbook §6)"))))))))</f>
        <v/>
      </c>
      <c r="AM103">
        <f>IF(ISNUMBER(AK103),IF(AK103&lt;=TODAY(),"DUE",""),"")</f>
        <v/>
      </c>
      <c r="AN103">
        <f>IF(COUNT(O103,P103,Q103,R103,T103,V103,W103,X103,Y103,Z103,AA103,AC103)=0,"",TODAY()-MAX(O103,P103,Q103,R103,T103,V103,W103,X103,Y103,Z103,AA103,AC103))</f>
        <v/>
      </c>
      <c r="AO103">
        <f>IF(AJ103="","",IF(AND(T103&lt;&gt;"",U103&lt;&gt;"Active (verified)"),"GST: escalate (no tax advice)",IF(AND(IFERROR(VALUE(LEFT(AJ103,2)),0)&gt;=5,AH103&lt;&gt;"YES",ISNUMBER(AN103),AN103&gt;SETTINGS!$B$14),"STUCK in onboarding","")))</f>
        <v/>
      </c>
    </row>
    <row r="104">
      <c r="A104" t="n">
        <v>103</v>
      </c>
      <c r="B104" t="inlineStr">
        <is>
          <t>UPK2-FL-190</t>
        </is>
      </c>
      <c r="C104" t="inlineStr">
        <is>
          <t>Ankit V Kapoor</t>
        </is>
      </c>
      <c r="D104" t="inlineStr">
        <is>
          <t>Fashion &amp; Lifestyle</t>
        </is>
      </c>
      <c r="E104" t="inlineStr">
        <is>
          <t>FL-ACCESSORIES</t>
        </is>
      </c>
      <c r="F104" t="inlineStr">
        <is>
          <t>Delhi NCR</t>
        </is>
      </c>
      <c r="G104" t="inlineStr">
        <is>
          <t>A</t>
        </is>
      </c>
      <c r="H104" t="inlineStr">
        <is>
          <t>P0</t>
        </is>
      </c>
      <c r="I104" t="inlineStr">
        <is>
          <t>stockist-listed|large catalogue</t>
        </is>
      </c>
      <c r="J104" t="inlineStr">
        <is>
          <t>Personal 1:1 email from founder/team to published business email</t>
        </is>
      </c>
      <c r="K104" t="inlineStr">
        <is>
          <t>https://www.ankitvkapoor.com/pages/contact</t>
        </is>
      </c>
      <c r="L104" t="inlineStr">
        <is>
          <t>W2 Expansion</t>
        </is>
      </c>
      <c r="M104" t="inlineStr"/>
      <c r="N104" t="inlineStr"/>
      <c r="O104" s="10" t="inlineStr"/>
      <c r="P104" s="10" t="inlineStr"/>
      <c r="Q104" s="10" t="inlineStr"/>
      <c r="R104" s="10" t="inlineStr"/>
      <c r="S104" t="inlineStr"/>
      <c r="T104" s="10" t="inlineStr"/>
      <c r="U104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t="inlineStr"/>
      <c r="AC104" s="10" t="inlineStr"/>
      <c r="AD104" t="inlineStr"/>
      <c r="AE104" t="inlineStr"/>
      <c r="AF104" s="10" t="inlineStr"/>
      <c r="AG104" t="inlineStr"/>
      <c r="AH104">
        <f>IF(AND(B104="",C104=""),"",IF(AND(X104&lt;&gt;"",Y104&lt;&gt;"",Z104&lt;&gt;"",AA104&lt;&gt;"",AB104="Y"),"YES","no"))</f>
        <v/>
      </c>
      <c r="AI104" s="10">
        <f>IF(AH104="YES",MAX(X104,Y104,Z104,AA104),"")</f>
        <v/>
      </c>
      <c r="AJ104">
        <f>IF(AND(B104="",C104=""),"",IF(OR(S104="Not interested",S104="Opt-out / do not contact"),"X Declined / suppressed",IF(S104="Bounced / undeliverable","X Bounced — research",IF(AC104&lt;&gt;"","13 Transacting",IF(AH104="YES","12 ACTIVATED",IF(Z104&lt;&gt;"","11 Listing live",IF(Y104&lt;&gt;"","10 Profile complete",IF(X104&lt;&gt;"","9 Approved",IF(W104&lt;&gt;"","8 KYC submitted",IF(V104&lt;&gt;"","7 Registered",IF(T104&lt;&gt;"","5 Interested",IF(R104&lt;&gt;"","4 Responded",IF(O104&lt;&gt;"","2 Contacted","1 Not yet contacted")))))))))))))</f>
        <v/>
      </c>
      <c r="AK104" s="10">
        <f>IF(AF104&lt;&gt;"",AF104,IF(OR(O104="",R104&lt;&gt;"",LEFT(AJ104,1)="X"),"",IF(Q104&lt;&gt;"","",IF(P104&lt;&gt;"",P104+SETTINGS!$B$4,O104+SETTINGS!$B$3))))</f>
        <v/>
      </c>
      <c r="AL104">
        <f>IF(AJ104="","",IF(LEFT(AJ104,1)="X","None — do not contact",IF(AJ104="1 Not yet contacted","Verify route today, then send M1",IF(AND(R104="",Q104&lt;&gt;""),"Sequence complete — no contact before "&amp;TEXT(Q104+SETTINGS!$B$5,"yyyy-mm-dd"),IF(AND(R104="",P104&lt;&gt;""),"Send final note (M4)",IF(R104="","Send follow-up (M2)",IF(AJ104="12 ACTIVATED","7-day check-in; consent &amp; referral soft ask",IF(AJ104="13 Transacting","Repeat-activity support","Onboarding: move to next stage (see playbook §6)"))))))))</f>
        <v/>
      </c>
      <c r="AM104">
        <f>IF(ISNUMBER(AK104),IF(AK104&lt;=TODAY(),"DUE",""),"")</f>
        <v/>
      </c>
      <c r="AN104">
        <f>IF(COUNT(O104,P104,Q104,R104,T104,V104,W104,X104,Y104,Z104,AA104,AC104)=0,"",TODAY()-MAX(O104,P104,Q104,R104,T104,V104,W104,X104,Y104,Z104,AA104,AC104))</f>
        <v/>
      </c>
      <c r="AO104">
        <f>IF(AJ104="","",IF(AND(T104&lt;&gt;"",U104&lt;&gt;"Active (verified)"),"GST: escalate (no tax advice)",IF(AND(IFERROR(VALUE(LEFT(AJ104,2)),0)&gt;=5,AH104&lt;&gt;"YES",ISNUMBER(AN104),AN104&gt;SETTINGS!$B$14),"STUCK in onboarding","")))</f>
        <v/>
      </c>
    </row>
    <row r="105">
      <c r="A105" t="n">
        <v>104</v>
      </c>
      <c r="B105" t="inlineStr">
        <is>
          <t>UPK2-FL-198</t>
        </is>
      </c>
      <c r="C105" t="inlineStr">
        <is>
          <t>Silky Bindra</t>
        </is>
      </c>
      <c r="D105" t="inlineStr">
        <is>
          <t>Fashion &amp; Lifestyle</t>
        </is>
      </c>
      <c r="E105" t="inlineStr">
        <is>
          <t>FL-OCCASION-BRIDAL</t>
        </is>
      </c>
      <c r="F105" t="inlineStr">
        <is>
          <t>Delhi NCR</t>
        </is>
      </c>
      <c r="G105" t="inlineStr">
        <is>
          <t>A</t>
        </is>
      </c>
      <c r="H105" t="inlineStr">
        <is>
          <t>P0</t>
        </is>
      </c>
      <c r="I105" t="inlineStr">
        <is>
          <t>stockist-listed|large catalogue</t>
        </is>
      </c>
      <c r="J105" t="inlineStr">
        <is>
          <t>Personal 1:1 email from founder/team to published business email</t>
        </is>
      </c>
      <c r="K105" t="inlineStr">
        <is>
          <t>https://www.silkybindra.com/pages/contact</t>
        </is>
      </c>
      <c r="L105" t="inlineStr">
        <is>
          <t>W2 Expansion</t>
        </is>
      </c>
      <c r="M105" t="inlineStr"/>
      <c r="N105" t="inlineStr"/>
      <c r="O105" s="10" t="inlineStr"/>
      <c r="P105" s="10" t="inlineStr"/>
      <c r="Q105" s="10" t="inlineStr"/>
      <c r="R105" s="10" t="inlineStr"/>
      <c r="S105" t="inlineStr"/>
      <c r="T105" s="10" t="inlineStr"/>
      <c r="U105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t="inlineStr"/>
      <c r="AC105" s="10" t="inlineStr"/>
      <c r="AD105" t="inlineStr"/>
      <c r="AE105" t="inlineStr"/>
      <c r="AF105" s="10" t="inlineStr"/>
      <c r="AG105" t="inlineStr"/>
      <c r="AH105">
        <f>IF(AND(B105="",C105=""),"",IF(AND(X105&lt;&gt;"",Y105&lt;&gt;"",Z105&lt;&gt;"",AA105&lt;&gt;"",AB105="Y"),"YES","no"))</f>
        <v/>
      </c>
      <c r="AI105" s="10">
        <f>IF(AH105="YES",MAX(X105,Y105,Z105,AA105),"")</f>
        <v/>
      </c>
      <c r="AJ105">
        <f>IF(AND(B105="",C105=""),"",IF(OR(S105="Not interested",S105="Opt-out / do not contact"),"X Declined / suppressed",IF(S105="Bounced / undeliverable","X Bounced — research",IF(AC105&lt;&gt;"","13 Transacting",IF(AH105="YES","12 ACTIVATED",IF(Z105&lt;&gt;"","11 Listing live",IF(Y105&lt;&gt;"","10 Profile complete",IF(X105&lt;&gt;"","9 Approved",IF(W105&lt;&gt;"","8 KYC submitted",IF(V105&lt;&gt;"","7 Registered",IF(T105&lt;&gt;"","5 Interested",IF(R105&lt;&gt;"","4 Responded",IF(O105&lt;&gt;"","2 Contacted","1 Not yet contacted")))))))))))))</f>
        <v/>
      </c>
      <c r="AK105" s="10">
        <f>IF(AF105&lt;&gt;"",AF105,IF(OR(O105="",R105&lt;&gt;"",LEFT(AJ105,1)="X"),"",IF(Q105&lt;&gt;"","",IF(P105&lt;&gt;"",P105+SETTINGS!$B$4,O105+SETTINGS!$B$3))))</f>
        <v/>
      </c>
      <c r="AL105">
        <f>IF(AJ105="","",IF(LEFT(AJ105,1)="X","None — do not contact",IF(AJ105="1 Not yet contacted","Verify route today, then send M1",IF(AND(R105="",Q105&lt;&gt;""),"Sequence complete — no contact before "&amp;TEXT(Q105+SETTINGS!$B$5,"yyyy-mm-dd"),IF(AND(R105="",P105&lt;&gt;""),"Send final note (M4)",IF(R105="","Send follow-up (M2)",IF(AJ105="12 ACTIVATED","7-day check-in; consent &amp; referral soft ask",IF(AJ105="13 Transacting","Repeat-activity support","Onboarding: move to next stage (see playbook §6)"))))))))</f>
        <v/>
      </c>
      <c r="AM105">
        <f>IF(ISNUMBER(AK105),IF(AK105&lt;=TODAY(),"DUE",""),"")</f>
        <v/>
      </c>
      <c r="AN105">
        <f>IF(COUNT(O105,P105,Q105,R105,T105,V105,W105,X105,Y105,Z105,AA105,AC105)=0,"",TODAY()-MAX(O105,P105,Q105,R105,T105,V105,W105,X105,Y105,Z105,AA105,AC105))</f>
        <v/>
      </c>
      <c r="AO105">
        <f>IF(AJ105="","",IF(AND(T105&lt;&gt;"",U105&lt;&gt;"Active (verified)"),"GST: escalate (no tax advice)",IF(AND(IFERROR(VALUE(LEFT(AJ105,2)),0)&gt;=5,AH105&lt;&gt;"YES",ISNUMBER(AN105),AN105&gt;SETTINGS!$B$14),"STUCK in onboarding","")))</f>
        <v/>
      </c>
    </row>
    <row r="106">
      <c r="A106" t="n">
        <v>105</v>
      </c>
      <c r="B106" t="inlineStr">
        <is>
          <t>UPK2-FL-309</t>
        </is>
      </c>
      <c r="C106" t="inlineStr">
        <is>
          <t>The Slow Studio</t>
        </is>
      </c>
      <c r="D106" t="inlineStr">
        <is>
          <t>Fashion &amp; Lifestyle</t>
        </is>
      </c>
      <c r="E106" t="inlineStr">
        <is>
          <t>FL-JEWELLERY</t>
        </is>
      </c>
      <c r="F106" t="inlineStr">
        <is>
          <t>Delhi NCR</t>
        </is>
      </c>
      <c r="G106" t="inlineStr">
        <is>
          <t>A</t>
        </is>
      </c>
      <c r="H106" t="inlineStr">
        <is>
          <t>P0</t>
        </is>
      </c>
      <c r="I106" t="inlineStr">
        <is>
          <t>stockist-listed</t>
        </is>
      </c>
      <c r="J106" t="inlineStr">
        <is>
          <t>Personal 1:1 email from founder/team to published business email</t>
        </is>
      </c>
      <c r="K106" t="inlineStr">
        <is>
          <t>https://theslowstudio.com/pages/contact</t>
        </is>
      </c>
      <c r="L106" t="inlineStr">
        <is>
          <t>W2 Expansion</t>
        </is>
      </c>
      <c r="M106" t="inlineStr"/>
      <c r="N106" t="inlineStr"/>
      <c r="O106" s="10" t="inlineStr"/>
      <c r="P106" s="10" t="inlineStr"/>
      <c r="Q106" s="10" t="inlineStr"/>
      <c r="R106" s="10" t="inlineStr"/>
      <c r="S106" t="inlineStr"/>
      <c r="T106" s="10" t="inlineStr"/>
      <c r="U106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t="inlineStr"/>
      <c r="AC106" s="10" t="inlineStr"/>
      <c r="AD106" t="inlineStr"/>
      <c r="AE106" t="inlineStr"/>
      <c r="AF106" s="10" t="inlineStr"/>
      <c r="AG106" t="inlineStr"/>
      <c r="AH106">
        <f>IF(AND(B106="",C106=""),"",IF(AND(X106&lt;&gt;"",Y106&lt;&gt;"",Z106&lt;&gt;"",AA106&lt;&gt;"",AB106="Y"),"YES","no"))</f>
        <v/>
      </c>
      <c r="AI106" s="10">
        <f>IF(AH106="YES",MAX(X106,Y106,Z106,AA106),"")</f>
        <v/>
      </c>
      <c r="AJ106">
        <f>IF(AND(B106="",C106=""),"",IF(OR(S106="Not interested",S106="Opt-out / do not contact"),"X Declined / suppressed",IF(S106="Bounced / undeliverable","X Bounced — research",IF(AC106&lt;&gt;"","13 Transacting",IF(AH106="YES","12 ACTIVATED",IF(Z106&lt;&gt;"","11 Listing live",IF(Y106&lt;&gt;"","10 Profile complete",IF(X106&lt;&gt;"","9 Approved",IF(W106&lt;&gt;"","8 KYC submitted",IF(V106&lt;&gt;"","7 Registered",IF(T106&lt;&gt;"","5 Interested",IF(R106&lt;&gt;"","4 Responded",IF(O106&lt;&gt;"","2 Contacted","1 Not yet contacted")))))))))))))</f>
        <v/>
      </c>
      <c r="AK106" s="10">
        <f>IF(AF106&lt;&gt;"",AF106,IF(OR(O106="",R106&lt;&gt;"",LEFT(AJ106,1)="X"),"",IF(Q106&lt;&gt;"","",IF(P106&lt;&gt;"",P106+SETTINGS!$B$4,O106+SETTINGS!$B$3))))</f>
        <v/>
      </c>
      <c r="AL106">
        <f>IF(AJ106="","",IF(LEFT(AJ106,1)="X","None — do not contact",IF(AJ106="1 Not yet contacted","Verify route today, then send M1",IF(AND(R106="",Q106&lt;&gt;""),"Sequence complete — no contact before "&amp;TEXT(Q106+SETTINGS!$B$5,"yyyy-mm-dd"),IF(AND(R106="",P106&lt;&gt;""),"Send final note (M4)",IF(R106="","Send follow-up (M2)",IF(AJ106="12 ACTIVATED","7-day check-in; consent &amp; referral soft ask",IF(AJ106="13 Transacting","Repeat-activity support","Onboarding: move to next stage (see playbook §6)"))))))))</f>
        <v/>
      </c>
      <c r="AM106">
        <f>IF(ISNUMBER(AK106),IF(AK106&lt;=TODAY(),"DUE",""),"")</f>
        <v/>
      </c>
      <c r="AN106">
        <f>IF(COUNT(O106,P106,Q106,R106,T106,V106,W106,X106,Y106,Z106,AA106,AC106)=0,"",TODAY()-MAX(O106,P106,Q106,R106,T106,V106,W106,X106,Y106,Z106,AA106,AC106))</f>
        <v/>
      </c>
      <c r="AO106">
        <f>IF(AJ106="","",IF(AND(T106&lt;&gt;"",U106&lt;&gt;"Active (verified)"),"GST: escalate (no tax advice)",IF(AND(IFERROR(VALUE(LEFT(AJ106,2)),0)&gt;=5,AH106&lt;&gt;"YES",ISNUMBER(AN106),AN106&gt;SETTINGS!$B$14),"STUCK in onboarding","")))</f>
        <v/>
      </c>
    </row>
    <row r="107">
      <c r="A107" t="n">
        <v>106</v>
      </c>
      <c r="B107" t="inlineStr">
        <is>
          <t>UPK2-FL-343</t>
        </is>
      </c>
      <c r="C107" t="inlineStr">
        <is>
          <t>Label Niyami</t>
        </is>
      </c>
      <c r="D107" t="inlineStr">
        <is>
          <t>Fashion &amp; Lifestyle</t>
        </is>
      </c>
      <c r="E107" t="inlineStr">
        <is>
          <t>FL-CONTEMPORARY</t>
        </is>
      </c>
      <c r="F107" t="inlineStr">
        <is>
          <t>Mumbai</t>
        </is>
      </c>
      <c r="G107" t="inlineStr">
        <is>
          <t>A</t>
        </is>
      </c>
      <c r="H107" t="inlineStr">
        <is>
          <t>P0</t>
        </is>
      </c>
      <c r="I107" t="inlineStr">
        <is>
          <t>stockist-listed</t>
        </is>
      </c>
      <c r="J107" t="inlineStr">
        <is>
          <t>Personal 1:1 email from founder/team to published business email</t>
        </is>
      </c>
      <c r="K107" t="inlineStr">
        <is>
          <t>https://labelniyami.com/pages/contact</t>
        </is>
      </c>
      <c r="L107" t="inlineStr">
        <is>
          <t>W2 Expansion</t>
        </is>
      </c>
      <c r="M107" t="inlineStr"/>
      <c r="N107" t="inlineStr"/>
      <c r="O107" s="10" t="inlineStr"/>
      <c r="P107" s="10" t="inlineStr"/>
      <c r="Q107" s="10" t="inlineStr"/>
      <c r="R107" s="10" t="inlineStr"/>
      <c r="S107" t="inlineStr"/>
      <c r="T107" s="10" t="inlineStr"/>
      <c r="U107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t="inlineStr"/>
      <c r="AC107" s="10" t="inlineStr"/>
      <c r="AD107" t="inlineStr"/>
      <c r="AE107" t="inlineStr"/>
      <c r="AF107" s="10" t="inlineStr"/>
      <c r="AG107" t="inlineStr"/>
      <c r="AH107">
        <f>IF(AND(B107="",C107=""),"",IF(AND(X107&lt;&gt;"",Y107&lt;&gt;"",Z107&lt;&gt;"",AA107&lt;&gt;"",AB107="Y"),"YES","no"))</f>
        <v/>
      </c>
      <c r="AI107" s="10">
        <f>IF(AH107="YES",MAX(X107,Y107,Z107,AA107),"")</f>
        <v/>
      </c>
      <c r="AJ107">
        <f>IF(AND(B107="",C107=""),"",IF(OR(S107="Not interested",S107="Opt-out / do not contact"),"X Declined / suppressed",IF(S107="Bounced / undeliverable","X Bounced — research",IF(AC107&lt;&gt;"","13 Transacting",IF(AH107="YES","12 ACTIVATED",IF(Z107&lt;&gt;"","11 Listing live",IF(Y107&lt;&gt;"","10 Profile complete",IF(X107&lt;&gt;"","9 Approved",IF(W107&lt;&gt;"","8 KYC submitted",IF(V107&lt;&gt;"","7 Registered",IF(T107&lt;&gt;"","5 Interested",IF(R107&lt;&gt;"","4 Responded",IF(O107&lt;&gt;"","2 Contacted","1 Not yet contacted")))))))))))))</f>
        <v/>
      </c>
      <c r="AK107" s="10">
        <f>IF(AF107&lt;&gt;"",AF107,IF(OR(O107="",R107&lt;&gt;"",LEFT(AJ107,1)="X"),"",IF(Q107&lt;&gt;"","",IF(P107&lt;&gt;"",P107+SETTINGS!$B$4,O107+SETTINGS!$B$3))))</f>
        <v/>
      </c>
      <c r="AL107">
        <f>IF(AJ107="","",IF(LEFT(AJ107,1)="X","None — do not contact",IF(AJ107="1 Not yet contacted","Verify route today, then send M1",IF(AND(R107="",Q107&lt;&gt;""),"Sequence complete — no contact before "&amp;TEXT(Q107+SETTINGS!$B$5,"yyyy-mm-dd"),IF(AND(R107="",P107&lt;&gt;""),"Send final note (M4)",IF(R107="","Send follow-up (M2)",IF(AJ107="12 ACTIVATED","7-day check-in; consent &amp; referral soft ask",IF(AJ107="13 Transacting","Repeat-activity support","Onboarding: move to next stage (see playbook §6)"))))))))</f>
        <v/>
      </c>
      <c r="AM107">
        <f>IF(ISNUMBER(AK107),IF(AK107&lt;=TODAY(),"DUE",""),"")</f>
        <v/>
      </c>
      <c r="AN107">
        <f>IF(COUNT(O107,P107,Q107,R107,T107,V107,W107,X107,Y107,Z107,AA107,AC107)=0,"",TODAY()-MAX(O107,P107,Q107,R107,T107,V107,W107,X107,Y107,Z107,AA107,AC107))</f>
        <v/>
      </c>
      <c r="AO107">
        <f>IF(AJ107="","",IF(AND(T107&lt;&gt;"",U107&lt;&gt;"Active (verified)"),"GST: escalate (no tax advice)",IF(AND(IFERROR(VALUE(LEFT(AJ107,2)),0)&gt;=5,AH107&lt;&gt;"YES",ISNUMBER(AN107),AN107&gt;SETTINGS!$B$14),"STUCK in onboarding","")))</f>
        <v/>
      </c>
    </row>
    <row r="108">
      <c r="A108" t="n">
        <v>107</v>
      </c>
      <c r="B108" t="inlineStr">
        <is>
          <t>UPK2-FL-322</t>
        </is>
      </c>
      <c r="C108" t="inlineStr">
        <is>
          <t>Asaga</t>
        </is>
      </c>
      <c r="D108" t="inlineStr">
        <is>
          <t>Fashion &amp; Lifestyle</t>
        </is>
      </c>
      <c r="E108" t="inlineStr">
        <is>
          <t>FL-OCCASION-BRIDAL</t>
        </is>
      </c>
      <c r="F108" t="inlineStr">
        <is>
          <t>Mumbai</t>
        </is>
      </c>
      <c r="G108" t="inlineStr">
        <is>
          <t>A</t>
        </is>
      </c>
      <c r="H108" t="inlineStr">
        <is>
          <t>P0</t>
        </is>
      </c>
      <c r="I108" t="inlineStr">
        <is>
          <t>stockist-listed|large catalogue</t>
        </is>
      </c>
      <c r="J108" t="inlineStr">
        <is>
          <t>1:1 message via own-website contact form</t>
        </is>
      </c>
      <c r="K108" t="inlineStr">
        <is>
          <t>https://www.asaga.in/pages/contact-us</t>
        </is>
      </c>
      <c r="L108" t="inlineStr">
        <is>
          <t>W2 Expansion</t>
        </is>
      </c>
      <c r="M108" t="inlineStr"/>
      <c r="N108" t="inlineStr"/>
      <c r="O108" s="10" t="inlineStr"/>
      <c r="P108" s="10" t="inlineStr"/>
      <c r="Q108" s="10" t="inlineStr"/>
      <c r="R108" s="10" t="inlineStr"/>
      <c r="S108" t="inlineStr"/>
      <c r="T108" s="10" t="inlineStr"/>
      <c r="U108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t="inlineStr"/>
      <c r="AC108" s="10" t="inlineStr"/>
      <c r="AD108" t="inlineStr"/>
      <c r="AE108" t="inlineStr"/>
      <c r="AF108" s="10" t="inlineStr"/>
      <c r="AG108" t="inlineStr"/>
      <c r="AH108">
        <f>IF(AND(B108="",C108=""),"",IF(AND(X108&lt;&gt;"",Y108&lt;&gt;"",Z108&lt;&gt;"",AA108&lt;&gt;"",AB108="Y"),"YES","no"))</f>
        <v/>
      </c>
      <c r="AI108" s="10">
        <f>IF(AH108="YES",MAX(X108,Y108,Z108,AA108),"")</f>
        <v/>
      </c>
      <c r="AJ108">
        <f>IF(AND(B108="",C108=""),"",IF(OR(S108="Not interested",S108="Opt-out / do not contact"),"X Declined / suppressed",IF(S108="Bounced / undeliverable","X Bounced — research",IF(AC108&lt;&gt;"","13 Transacting",IF(AH108="YES","12 ACTIVATED",IF(Z108&lt;&gt;"","11 Listing live",IF(Y108&lt;&gt;"","10 Profile complete",IF(X108&lt;&gt;"","9 Approved",IF(W108&lt;&gt;"","8 KYC submitted",IF(V108&lt;&gt;"","7 Registered",IF(T108&lt;&gt;"","5 Interested",IF(R108&lt;&gt;"","4 Responded",IF(O108&lt;&gt;"","2 Contacted","1 Not yet contacted")))))))))))))</f>
        <v/>
      </c>
      <c r="AK108" s="10">
        <f>IF(AF108&lt;&gt;"",AF108,IF(OR(O108="",R108&lt;&gt;"",LEFT(AJ108,1)="X"),"",IF(Q108&lt;&gt;"","",IF(P108&lt;&gt;"",P108+SETTINGS!$B$4,O108+SETTINGS!$B$3))))</f>
        <v/>
      </c>
      <c r="AL108">
        <f>IF(AJ108="","",IF(LEFT(AJ108,1)="X","None — do not contact",IF(AJ108="1 Not yet contacted","Verify route today, then send M1",IF(AND(R108="",Q108&lt;&gt;""),"Sequence complete — no contact before "&amp;TEXT(Q108+SETTINGS!$B$5,"yyyy-mm-dd"),IF(AND(R108="",P108&lt;&gt;""),"Send final note (M4)",IF(R108="","Send follow-up (M2)",IF(AJ108="12 ACTIVATED","7-day check-in; consent &amp; referral soft ask",IF(AJ108="13 Transacting","Repeat-activity support","Onboarding: move to next stage (see playbook §6)"))))))))</f>
        <v/>
      </c>
      <c r="AM108">
        <f>IF(ISNUMBER(AK108),IF(AK108&lt;=TODAY(),"DUE",""),"")</f>
        <v/>
      </c>
      <c r="AN108">
        <f>IF(COUNT(O108,P108,Q108,R108,T108,V108,W108,X108,Y108,Z108,AA108,AC108)=0,"",TODAY()-MAX(O108,P108,Q108,R108,T108,V108,W108,X108,Y108,Z108,AA108,AC108))</f>
        <v/>
      </c>
      <c r="AO108">
        <f>IF(AJ108="","",IF(AND(T108&lt;&gt;"",U108&lt;&gt;"Active (verified)"),"GST: escalate (no tax advice)",IF(AND(IFERROR(VALUE(LEFT(AJ108,2)),0)&gt;=5,AH108&lt;&gt;"YES",ISNUMBER(AN108),AN108&gt;SETTINGS!$B$14),"STUCK in onboarding","")))</f>
        <v/>
      </c>
    </row>
    <row r="109">
      <c r="A109" t="n">
        <v>108</v>
      </c>
      <c r="B109" t="inlineStr">
        <is>
          <t>UPK2-FL-325</t>
        </is>
      </c>
      <c r="C109" t="inlineStr">
        <is>
          <t>Banana Labs</t>
        </is>
      </c>
      <c r="D109" t="inlineStr">
        <is>
          <t>Fashion &amp; Lifestyle</t>
        </is>
      </c>
      <c r="E109" t="inlineStr">
        <is>
          <t>FL-CONTEMPORARY</t>
        </is>
      </c>
      <c r="F109" t="inlineStr">
        <is>
          <t>Delhi NCR</t>
        </is>
      </c>
      <c r="G109" t="inlineStr">
        <is>
          <t>A</t>
        </is>
      </c>
      <c r="H109" t="inlineStr">
        <is>
          <t>P0</t>
        </is>
      </c>
      <c r="I109" t="inlineStr">
        <is>
          <t>stockist-listed|large catalogue</t>
        </is>
      </c>
      <c r="J109" t="inlineStr">
        <is>
          <t>1:1 message via own-website contact form</t>
        </is>
      </c>
      <c r="K109" t="inlineStr">
        <is>
          <t>https://bananalabs.in/pages/contact-us</t>
        </is>
      </c>
      <c r="L109" t="inlineStr">
        <is>
          <t>W2 Expansion</t>
        </is>
      </c>
      <c r="M109" t="inlineStr"/>
      <c r="N109" t="inlineStr"/>
      <c r="O109" s="10" t="inlineStr"/>
      <c r="P109" s="10" t="inlineStr"/>
      <c r="Q109" s="10" t="inlineStr"/>
      <c r="R109" s="10" t="inlineStr"/>
      <c r="S109" t="inlineStr"/>
      <c r="T109" s="10" t="inlineStr"/>
      <c r="U109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t="inlineStr"/>
      <c r="AC109" s="10" t="inlineStr"/>
      <c r="AD109" t="inlineStr"/>
      <c r="AE109" t="inlineStr"/>
      <c r="AF109" s="10" t="inlineStr"/>
      <c r="AG109" t="inlineStr"/>
      <c r="AH109">
        <f>IF(AND(B109="",C109=""),"",IF(AND(X109&lt;&gt;"",Y109&lt;&gt;"",Z109&lt;&gt;"",AA109&lt;&gt;"",AB109="Y"),"YES","no"))</f>
        <v/>
      </c>
      <c r="AI109" s="10">
        <f>IF(AH109="YES",MAX(X109,Y109,Z109,AA109),"")</f>
        <v/>
      </c>
      <c r="AJ109">
        <f>IF(AND(B109="",C109=""),"",IF(OR(S109="Not interested",S109="Opt-out / do not contact"),"X Declined / suppressed",IF(S109="Bounced / undeliverable","X Bounced — research",IF(AC109&lt;&gt;"","13 Transacting",IF(AH109="YES","12 ACTIVATED",IF(Z109&lt;&gt;"","11 Listing live",IF(Y109&lt;&gt;"","10 Profile complete",IF(X109&lt;&gt;"","9 Approved",IF(W109&lt;&gt;"","8 KYC submitted",IF(V109&lt;&gt;"","7 Registered",IF(T109&lt;&gt;"","5 Interested",IF(R109&lt;&gt;"","4 Responded",IF(O109&lt;&gt;"","2 Contacted","1 Not yet contacted")))))))))))))</f>
        <v/>
      </c>
      <c r="AK109" s="10">
        <f>IF(AF109&lt;&gt;"",AF109,IF(OR(O109="",R109&lt;&gt;"",LEFT(AJ109,1)="X"),"",IF(Q109&lt;&gt;"","",IF(P109&lt;&gt;"",P109+SETTINGS!$B$4,O109+SETTINGS!$B$3))))</f>
        <v/>
      </c>
      <c r="AL109">
        <f>IF(AJ109="","",IF(LEFT(AJ109,1)="X","None — do not contact",IF(AJ109="1 Not yet contacted","Verify route today, then send M1",IF(AND(R109="",Q109&lt;&gt;""),"Sequence complete — no contact before "&amp;TEXT(Q109+SETTINGS!$B$5,"yyyy-mm-dd"),IF(AND(R109="",P109&lt;&gt;""),"Send final note (M4)",IF(R109="","Send follow-up (M2)",IF(AJ109="12 ACTIVATED","7-day check-in; consent &amp; referral soft ask",IF(AJ109="13 Transacting","Repeat-activity support","Onboarding: move to next stage (see playbook §6)"))))))))</f>
        <v/>
      </c>
      <c r="AM109">
        <f>IF(ISNUMBER(AK109),IF(AK109&lt;=TODAY(),"DUE",""),"")</f>
        <v/>
      </c>
      <c r="AN109">
        <f>IF(COUNT(O109,P109,Q109,R109,T109,V109,W109,X109,Y109,Z109,AA109,AC109)=0,"",TODAY()-MAX(O109,P109,Q109,R109,T109,V109,W109,X109,Y109,Z109,AA109,AC109))</f>
        <v/>
      </c>
      <c r="AO109">
        <f>IF(AJ109="","",IF(AND(T109&lt;&gt;"",U109&lt;&gt;"Active (verified)"),"GST: escalate (no tax advice)",IF(AND(IFERROR(VALUE(LEFT(AJ109,2)),0)&gt;=5,AH109&lt;&gt;"YES",ISNUMBER(AN109),AN109&gt;SETTINGS!$B$14),"STUCK in onboarding","")))</f>
        <v/>
      </c>
    </row>
    <row r="110">
      <c r="A110" t="n">
        <v>109</v>
      </c>
      <c r="B110" t="inlineStr">
        <is>
          <t>UPK2-FL-372</t>
        </is>
      </c>
      <c r="C110" t="inlineStr">
        <is>
          <t>Simone Handcrafted</t>
        </is>
      </c>
      <c r="D110" t="inlineStr">
        <is>
          <t>Fashion &amp; Lifestyle</t>
        </is>
      </c>
      <c r="E110" t="inlineStr">
        <is>
          <t>FL-OCCASION-BRIDAL</t>
        </is>
      </c>
      <c r="F110" t="inlineStr">
        <is>
          <t>Mumbai</t>
        </is>
      </c>
      <c r="G110" t="inlineStr">
        <is>
          <t>A</t>
        </is>
      </c>
      <c r="H110" t="inlineStr">
        <is>
          <t>P0</t>
        </is>
      </c>
      <c r="I110" t="inlineStr">
        <is>
          <t>stockist-listed</t>
        </is>
      </c>
      <c r="J110" t="inlineStr">
        <is>
          <t>Personal 1:1 email from founder/team to published business email</t>
        </is>
      </c>
      <c r="K110" t="inlineStr">
        <is>
          <t>https://simonehandcrafted.com/</t>
        </is>
      </c>
      <c r="L110" t="inlineStr">
        <is>
          <t>W2 Expansion</t>
        </is>
      </c>
      <c r="M110" t="inlineStr"/>
      <c r="N110" t="inlineStr"/>
      <c r="O110" s="10" t="inlineStr"/>
      <c r="P110" s="10" t="inlineStr"/>
      <c r="Q110" s="10" t="inlineStr"/>
      <c r="R110" s="10" t="inlineStr"/>
      <c r="S110" t="inlineStr"/>
      <c r="T110" s="10" t="inlineStr"/>
      <c r="U1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t="inlineStr"/>
      <c r="AC110" s="10" t="inlineStr"/>
      <c r="AD110" t="inlineStr"/>
      <c r="AE110" t="inlineStr"/>
      <c r="AF110" s="10" t="inlineStr"/>
      <c r="AG110" t="inlineStr"/>
      <c r="AH110">
        <f>IF(AND(B110="",C110=""),"",IF(AND(X110&lt;&gt;"",Y110&lt;&gt;"",Z110&lt;&gt;"",AA110&lt;&gt;"",AB110="Y"),"YES","no"))</f>
        <v/>
      </c>
      <c r="AI110" s="10">
        <f>IF(AH110="YES",MAX(X110,Y110,Z110,AA110),"")</f>
        <v/>
      </c>
      <c r="AJ110">
        <f>IF(AND(B110="",C110=""),"",IF(OR(S110="Not interested",S110="Opt-out / do not contact"),"X Declined / suppressed",IF(S110="Bounced / undeliverable","X Bounced — research",IF(AC110&lt;&gt;"","13 Transacting",IF(AH110="YES","12 ACTIVATED",IF(Z110&lt;&gt;"","11 Listing live",IF(Y110&lt;&gt;"","10 Profile complete",IF(X110&lt;&gt;"","9 Approved",IF(W110&lt;&gt;"","8 KYC submitted",IF(V110&lt;&gt;"","7 Registered",IF(T110&lt;&gt;"","5 Interested",IF(R110&lt;&gt;"","4 Responded",IF(O110&lt;&gt;"","2 Contacted","1 Not yet contacted")))))))))))))</f>
        <v/>
      </c>
      <c r="AK110" s="10">
        <f>IF(AF110&lt;&gt;"",AF110,IF(OR(O110="",R110&lt;&gt;"",LEFT(AJ110,1)="X"),"",IF(Q110&lt;&gt;"","",IF(P110&lt;&gt;"",P110+SETTINGS!$B$4,O110+SETTINGS!$B$3))))</f>
        <v/>
      </c>
      <c r="AL110">
        <f>IF(AJ110="","",IF(LEFT(AJ110,1)="X","None — do not contact",IF(AJ110="1 Not yet contacted","Verify route today, then send M1",IF(AND(R110="",Q110&lt;&gt;""),"Sequence complete — no contact before "&amp;TEXT(Q110+SETTINGS!$B$5,"yyyy-mm-dd"),IF(AND(R110="",P110&lt;&gt;""),"Send final note (M4)",IF(R110="","Send follow-up (M2)",IF(AJ110="12 ACTIVATED","7-day check-in; consent &amp; referral soft ask",IF(AJ110="13 Transacting","Repeat-activity support","Onboarding: move to next stage (see playbook §6)"))))))))</f>
        <v/>
      </c>
      <c r="AM110">
        <f>IF(ISNUMBER(AK110),IF(AK110&lt;=TODAY(),"DUE",""),"")</f>
        <v/>
      </c>
      <c r="AN110">
        <f>IF(COUNT(O110,P110,Q110,R110,T110,V110,W110,X110,Y110,Z110,AA110,AC110)=0,"",TODAY()-MAX(O110,P110,Q110,R110,T110,V110,W110,X110,Y110,Z110,AA110,AC110))</f>
        <v/>
      </c>
      <c r="AO110">
        <f>IF(AJ110="","",IF(AND(T110&lt;&gt;"",U110&lt;&gt;"Active (verified)"),"GST: escalate (no tax advice)",IF(AND(IFERROR(VALUE(LEFT(AJ110,2)),0)&gt;=5,AH110&lt;&gt;"YES",ISNUMBER(AN110),AN110&gt;SETTINGS!$B$14),"STUCK in onboarding","")))</f>
        <v/>
      </c>
    </row>
    <row r="111">
      <c r="A111" t="n">
        <v>110</v>
      </c>
      <c r="B111" t="inlineStr">
        <is>
          <t>UPK2-FL-184</t>
        </is>
      </c>
      <c r="C111" t="inlineStr">
        <is>
          <t>Mahima Mahajan</t>
        </is>
      </c>
      <c r="D111" t="inlineStr">
        <is>
          <t>Fashion &amp; Lifestyle</t>
        </is>
      </c>
      <c r="E111" t="inlineStr">
        <is>
          <t>FL-OCCASION-BRIDAL</t>
        </is>
      </c>
      <c r="F111" t="inlineStr">
        <is>
          <t>Delhi NCR</t>
        </is>
      </c>
      <c r="G111" t="inlineStr">
        <is>
          <t>B</t>
        </is>
      </c>
      <c r="H111" t="inlineStr">
        <is>
          <t>P0</t>
        </is>
      </c>
      <c r="I111" t="inlineStr">
        <is>
          <t>stockist-listed|large catalogue</t>
        </is>
      </c>
      <c r="J111" t="inlineStr">
        <is>
          <t>Personal 1:1 email from founder/team to published business email</t>
        </is>
      </c>
      <c r="K111" t="inlineStr">
        <is>
          <t>https://www.mahimamahajan.in/pages/contact-us</t>
        </is>
      </c>
      <c r="L111" t="inlineStr">
        <is>
          <t>W2 Expansion</t>
        </is>
      </c>
      <c r="M111" t="inlineStr"/>
      <c r="N111" t="inlineStr"/>
      <c r="O111" s="10" t="inlineStr"/>
      <c r="P111" s="10" t="inlineStr"/>
      <c r="Q111" s="10" t="inlineStr"/>
      <c r="R111" s="10" t="inlineStr"/>
      <c r="S111" t="inlineStr"/>
      <c r="T111" s="10" t="inlineStr"/>
      <c r="U111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t="inlineStr"/>
      <c r="AC111" s="10" t="inlineStr"/>
      <c r="AD111" t="inlineStr"/>
      <c r="AE111" t="inlineStr"/>
      <c r="AF111" s="10" t="inlineStr"/>
      <c r="AG111" t="inlineStr"/>
      <c r="AH111">
        <f>IF(AND(B111="",C111=""),"",IF(AND(X111&lt;&gt;"",Y111&lt;&gt;"",Z111&lt;&gt;"",AA111&lt;&gt;"",AB111="Y"),"YES","no"))</f>
        <v/>
      </c>
      <c r="AI111" s="10">
        <f>IF(AH111="YES",MAX(X111,Y111,Z111,AA111),"")</f>
        <v/>
      </c>
      <c r="AJ111">
        <f>IF(AND(B111="",C111=""),"",IF(OR(S111="Not interested",S111="Opt-out / do not contact"),"X Declined / suppressed",IF(S111="Bounced / undeliverable","X Bounced — research",IF(AC111&lt;&gt;"","13 Transacting",IF(AH111="YES","12 ACTIVATED",IF(Z111&lt;&gt;"","11 Listing live",IF(Y111&lt;&gt;"","10 Profile complete",IF(X111&lt;&gt;"","9 Approved",IF(W111&lt;&gt;"","8 KYC submitted",IF(V111&lt;&gt;"","7 Registered",IF(T111&lt;&gt;"","5 Interested",IF(R111&lt;&gt;"","4 Responded",IF(O111&lt;&gt;"","2 Contacted","1 Not yet contacted")))))))))))))</f>
        <v/>
      </c>
      <c r="AK111" s="10">
        <f>IF(AF111&lt;&gt;"",AF111,IF(OR(O111="",R111&lt;&gt;"",LEFT(AJ111,1)="X"),"",IF(Q111&lt;&gt;"","",IF(P111&lt;&gt;"",P111+SETTINGS!$B$4,O111+SETTINGS!$B$3))))</f>
        <v/>
      </c>
      <c r="AL111">
        <f>IF(AJ111="","",IF(LEFT(AJ111,1)="X","None — do not contact",IF(AJ111="1 Not yet contacted","Verify route today, then send M1",IF(AND(R111="",Q111&lt;&gt;""),"Sequence complete — no contact before "&amp;TEXT(Q111+SETTINGS!$B$5,"yyyy-mm-dd"),IF(AND(R111="",P111&lt;&gt;""),"Send final note (M4)",IF(R111="","Send follow-up (M2)",IF(AJ111="12 ACTIVATED","7-day check-in; consent &amp; referral soft ask",IF(AJ111="13 Transacting","Repeat-activity support","Onboarding: move to next stage (see playbook §6)"))))))))</f>
        <v/>
      </c>
      <c r="AM111">
        <f>IF(ISNUMBER(AK111),IF(AK111&lt;=TODAY(),"DUE",""),"")</f>
        <v/>
      </c>
      <c r="AN111">
        <f>IF(COUNT(O111,P111,Q111,R111,T111,V111,W111,X111,Y111,Z111,AA111,AC111)=0,"",TODAY()-MAX(O111,P111,Q111,R111,T111,V111,W111,X111,Y111,Z111,AA111,AC111))</f>
        <v/>
      </c>
      <c r="AO111">
        <f>IF(AJ111="","",IF(AND(T111&lt;&gt;"",U111&lt;&gt;"Active (verified)"),"GST: escalate (no tax advice)",IF(AND(IFERROR(VALUE(LEFT(AJ111,2)),0)&gt;=5,AH111&lt;&gt;"YES",ISNUMBER(AN111),AN111&gt;SETTINGS!$B$14),"STUCK in onboarding","")))</f>
        <v/>
      </c>
    </row>
    <row r="112">
      <c r="A112" t="n">
        <v>111</v>
      </c>
      <c r="B112" t="inlineStr">
        <is>
          <t>UPK2-FL-245</t>
        </is>
      </c>
      <c r="C112" t="inlineStr">
        <is>
          <t>Sole House</t>
        </is>
      </c>
      <c r="D112" t="inlineStr">
        <is>
          <t>Fashion &amp; Lifestyle</t>
        </is>
      </c>
      <c r="E112" t="inlineStr">
        <is>
          <t>FL-JEWELLERY</t>
        </is>
      </c>
      <c r="F112" t="inlineStr">
        <is>
          <t>Delhi NCR</t>
        </is>
      </c>
      <c r="G112" t="inlineStr">
        <is>
          <t>B</t>
        </is>
      </c>
      <c r="H112" t="inlineStr">
        <is>
          <t>P0</t>
        </is>
      </c>
      <c r="I112" t="inlineStr">
        <is>
          <t>stockist-listed</t>
        </is>
      </c>
      <c r="J112" t="inlineStr">
        <is>
          <t>Personal 1:1 email from founder/team to published business email</t>
        </is>
      </c>
      <c r="K112" t="inlineStr">
        <is>
          <t>https://solehouse.in/pages/contact</t>
        </is>
      </c>
      <c r="L112" t="inlineStr">
        <is>
          <t>W2 Expansion</t>
        </is>
      </c>
      <c r="M112" t="inlineStr"/>
      <c r="N112" t="inlineStr"/>
      <c r="O112" s="10" t="inlineStr"/>
      <c r="P112" s="10" t="inlineStr"/>
      <c r="Q112" s="10" t="inlineStr"/>
      <c r="R112" s="10" t="inlineStr"/>
      <c r="S112" t="inlineStr"/>
      <c r="T112" s="10" t="inlineStr"/>
      <c r="U112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t="inlineStr"/>
      <c r="AC112" s="10" t="inlineStr"/>
      <c r="AD112" t="inlineStr"/>
      <c r="AE112" t="inlineStr"/>
      <c r="AF112" s="10" t="inlineStr"/>
      <c r="AG112" t="inlineStr"/>
      <c r="AH112">
        <f>IF(AND(B112="",C112=""),"",IF(AND(X112&lt;&gt;"",Y112&lt;&gt;"",Z112&lt;&gt;"",AA112&lt;&gt;"",AB112="Y"),"YES","no"))</f>
        <v/>
      </c>
      <c r="AI112" s="10">
        <f>IF(AH112="YES",MAX(X112,Y112,Z112,AA112),"")</f>
        <v/>
      </c>
      <c r="AJ112">
        <f>IF(AND(B112="",C112=""),"",IF(OR(S112="Not interested",S112="Opt-out / do not contact"),"X Declined / suppressed",IF(S112="Bounced / undeliverable","X Bounced — research",IF(AC112&lt;&gt;"","13 Transacting",IF(AH112="YES","12 ACTIVATED",IF(Z112&lt;&gt;"","11 Listing live",IF(Y112&lt;&gt;"","10 Profile complete",IF(X112&lt;&gt;"","9 Approved",IF(W112&lt;&gt;"","8 KYC submitted",IF(V112&lt;&gt;"","7 Registered",IF(T112&lt;&gt;"","5 Interested",IF(R112&lt;&gt;"","4 Responded",IF(O112&lt;&gt;"","2 Contacted","1 Not yet contacted")))))))))))))</f>
        <v/>
      </c>
      <c r="AK112" s="10">
        <f>IF(AF112&lt;&gt;"",AF112,IF(OR(O112="",R112&lt;&gt;"",LEFT(AJ112,1)="X"),"",IF(Q112&lt;&gt;"","",IF(P112&lt;&gt;"",P112+SETTINGS!$B$4,O112+SETTINGS!$B$3))))</f>
        <v/>
      </c>
      <c r="AL112">
        <f>IF(AJ112="","",IF(LEFT(AJ112,1)="X","None — do not contact",IF(AJ112="1 Not yet contacted","Verify route today, then send M1",IF(AND(R112="",Q112&lt;&gt;""),"Sequence complete — no contact before "&amp;TEXT(Q112+SETTINGS!$B$5,"yyyy-mm-dd"),IF(AND(R112="",P112&lt;&gt;""),"Send final note (M4)",IF(R112="","Send follow-up (M2)",IF(AJ112="12 ACTIVATED","7-day check-in; consent &amp; referral soft ask",IF(AJ112="13 Transacting","Repeat-activity support","Onboarding: move to next stage (see playbook §6)"))))))))</f>
        <v/>
      </c>
      <c r="AM112">
        <f>IF(ISNUMBER(AK112),IF(AK112&lt;=TODAY(),"DUE",""),"")</f>
        <v/>
      </c>
      <c r="AN112">
        <f>IF(COUNT(O112,P112,Q112,R112,T112,V112,W112,X112,Y112,Z112,AA112,AC112)=0,"",TODAY()-MAX(O112,P112,Q112,R112,T112,V112,W112,X112,Y112,Z112,AA112,AC112))</f>
        <v/>
      </c>
      <c r="AO112">
        <f>IF(AJ112="","",IF(AND(T112&lt;&gt;"",U112&lt;&gt;"Active (verified)"),"GST: escalate (no tax advice)",IF(AND(IFERROR(VALUE(LEFT(AJ112,2)),0)&gt;=5,AH112&lt;&gt;"YES",ISNUMBER(AN112),AN112&gt;SETTINGS!$B$14),"STUCK in onboarding","")))</f>
        <v/>
      </c>
    </row>
    <row r="113">
      <c r="A113" t="n">
        <v>112</v>
      </c>
      <c r="B113" t="inlineStr">
        <is>
          <t>UPK2-FL-233</t>
        </is>
      </c>
      <c r="C113" t="inlineStr">
        <is>
          <t>Moontara</t>
        </is>
      </c>
      <c r="D113" t="inlineStr">
        <is>
          <t>Fashion &amp; Lifestyle</t>
        </is>
      </c>
      <c r="E113" t="inlineStr">
        <is>
          <t>FL-CONTEMPORARY</t>
        </is>
      </c>
      <c r="F113" t="inlineStr">
        <is>
          <t>Jaipur</t>
        </is>
      </c>
      <c r="G113" t="inlineStr">
        <is>
          <t>B</t>
        </is>
      </c>
      <c r="H113" t="inlineStr">
        <is>
          <t>P0</t>
        </is>
      </c>
      <c r="I113" t="inlineStr">
        <is>
          <t>stockist-listed</t>
        </is>
      </c>
      <c r="J113" t="inlineStr">
        <is>
          <t>Personal 1:1 email from founder/team to published business email</t>
        </is>
      </c>
      <c r="K113" t="inlineStr">
        <is>
          <t>https://www.moontara.in/pages/contact-us</t>
        </is>
      </c>
      <c r="L113" t="inlineStr">
        <is>
          <t>W2 Expansion</t>
        </is>
      </c>
      <c r="M113" t="inlineStr"/>
      <c r="N113" t="inlineStr"/>
      <c r="O113" s="10" t="inlineStr"/>
      <c r="P113" s="10" t="inlineStr"/>
      <c r="Q113" s="10" t="inlineStr"/>
      <c r="R113" s="10" t="inlineStr"/>
      <c r="S113" t="inlineStr"/>
      <c r="T113" s="10" t="inlineStr"/>
      <c r="U113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t="inlineStr"/>
      <c r="AC113" s="10" t="inlineStr"/>
      <c r="AD113" t="inlineStr"/>
      <c r="AE113" t="inlineStr"/>
      <c r="AF113" s="10" t="inlineStr"/>
      <c r="AG113" t="inlineStr"/>
      <c r="AH113">
        <f>IF(AND(B113="",C113=""),"",IF(AND(X113&lt;&gt;"",Y113&lt;&gt;"",Z113&lt;&gt;"",AA113&lt;&gt;"",AB113="Y"),"YES","no"))</f>
        <v/>
      </c>
      <c r="AI113" s="10">
        <f>IF(AH113="YES",MAX(X113,Y113,Z113,AA113),"")</f>
        <v/>
      </c>
      <c r="AJ113">
        <f>IF(AND(B113="",C113=""),"",IF(OR(S113="Not interested",S113="Opt-out / do not contact"),"X Declined / suppressed",IF(S113="Bounced / undeliverable","X Bounced — research",IF(AC113&lt;&gt;"","13 Transacting",IF(AH113="YES","12 ACTIVATED",IF(Z113&lt;&gt;"","11 Listing live",IF(Y113&lt;&gt;"","10 Profile complete",IF(X113&lt;&gt;"","9 Approved",IF(W113&lt;&gt;"","8 KYC submitted",IF(V113&lt;&gt;"","7 Registered",IF(T113&lt;&gt;"","5 Interested",IF(R113&lt;&gt;"","4 Responded",IF(O113&lt;&gt;"","2 Contacted","1 Not yet contacted")))))))))))))</f>
        <v/>
      </c>
      <c r="AK113" s="10">
        <f>IF(AF113&lt;&gt;"",AF113,IF(OR(O113="",R113&lt;&gt;"",LEFT(AJ113,1)="X"),"",IF(Q113&lt;&gt;"","",IF(P113&lt;&gt;"",P113+SETTINGS!$B$4,O113+SETTINGS!$B$3))))</f>
        <v/>
      </c>
      <c r="AL113">
        <f>IF(AJ113="","",IF(LEFT(AJ113,1)="X","None — do not contact",IF(AJ113="1 Not yet contacted","Verify route today, then send M1",IF(AND(R113="",Q113&lt;&gt;""),"Sequence complete — no contact before "&amp;TEXT(Q113+SETTINGS!$B$5,"yyyy-mm-dd"),IF(AND(R113="",P113&lt;&gt;""),"Send final note (M4)",IF(R113="","Send follow-up (M2)",IF(AJ113="12 ACTIVATED","7-day check-in; consent &amp; referral soft ask",IF(AJ113="13 Transacting","Repeat-activity support","Onboarding: move to next stage (see playbook §6)"))))))))</f>
        <v/>
      </c>
      <c r="AM113">
        <f>IF(ISNUMBER(AK113),IF(AK113&lt;=TODAY(),"DUE",""),"")</f>
        <v/>
      </c>
      <c r="AN113">
        <f>IF(COUNT(O113,P113,Q113,R113,T113,V113,W113,X113,Y113,Z113,AA113,AC113)=0,"",TODAY()-MAX(O113,P113,Q113,R113,T113,V113,W113,X113,Y113,Z113,AA113,AC113))</f>
        <v/>
      </c>
      <c r="AO113">
        <f>IF(AJ113="","",IF(AND(T113&lt;&gt;"",U113&lt;&gt;"Active (verified)"),"GST: escalate (no tax advice)",IF(AND(IFERROR(VALUE(LEFT(AJ113,2)),0)&gt;=5,AH113&lt;&gt;"YES",ISNUMBER(AN113),AN113&gt;SETTINGS!$B$14),"STUCK in onboarding","")))</f>
        <v/>
      </c>
    </row>
    <row r="114">
      <c r="A114" t="n">
        <v>113</v>
      </c>
      <c r="B114" t="inlineStr">
        <is>
          <t>UPK2-FL-228</t>
        </is>
      </c>
      <c r="C114" t="inlineStr">
        <is>
          <t>Manika Nanda</t>
        </is>
      </c>
      <c r="D114" t="inlineStr">
        <is>
          <t>Fashion &amp; Lifestyle</t>
        </is>
      </c>
      <c r="E114" t="inlineStr">
        <is>
          <t>FL-CONTEMPORARY</t>
        </is>
      </c>
      <c r="F114" t="inlineStr">
        <is>
          <t>Delhi NCR</t>
        </is>
      </c>
      <c r="G114" t="inlineStr">
        <is>
          <t>B</t>
        </is>
      </c>
      <c r="H114" t="inlineStr">
        <is>
          <t>P0</t>
        </is>
      </c>
      <c r="I114" t="inlineStr">
        <is>
          <t>stockist-listed</t>
        </is>
      </c>
      <c r="J114" t="inlineStr">
        <is>
          <t>Personal 1:1 email from founder/team to published business email</t>
        </is>
      </c>
      <c r="K114" t="inlineStr">
        <is>
          <t>https://manikananda.com/pages/contact</t>
        </is>
      </c>
      <c r="L114" t="inlineStr">
        <is>
          <t>W2 Expansion</t>
        </is>
      </c>
      <c r="M114" t="inlineStr"/>
      <c r="N114" t="inlineStr"/>
      <c r="O114" s="10" t="inlineStr"/>
      <c r="P114" s="10" t="inlineStr"/>
      <c r="Q114" s="10" t="inlineStr"/>
      <c r="R114" s="10" t="inlineStr"/>
      <c r="S114" t="inlineStr"/>
      <c r="T114" s="10" t="inlineStr"/>
      <c r="U114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t="inlineStr"/>
      <c r="AC114" s="10" t="inlineStr"/>
      <c r="AD114" t="inlineStr"/>
      <c r="AE114" t="inlineStr"/>
      <c r="AF114" s="10" t="inlineStr"/>
      <c r="AG114" t="inlineStr"/>
      <c r="AH114">
        <f>IF(AND(B114="",C114=""),"",IF(AND(X114&lt;&gt;"",Y114&lt;&gt;"",Z114&lt;&gt;"",AA114&lt;&gt;"",AB114="Y"),"YES","no"))</f>
        <v/>
      </c>
      <c r="AI114" s="10">
        <f>IF(AH114="YES",MAX(X114,Y114,Z114,AA114),"")</f>
        <v/>
      </c>
      <c r="AJ114">
        <f>IF(AND(B114="",C114=""),"",IF(OR(S114="Not interested",S114="Opt-out / do not contact"),"X Declined / suppressed",IF(S114="Bounced / undeliverable","X Bounced — research",IF(AC114&lt;&gt;"","13 Transacting",IF(AH114="YES","12 ACTIVATED",IF(Z114&lt;&gt;"","11 Listing live",IF(Y114&lt;&gt;"","10 Profile complete",IF(X114&lt;&gt;"","9 Approved",IF(W114&lt;&gt;"","8 KYC submitted",IF(V114&lt;&gt;"","7 Registered",IF(T114&lt;&gt;"","5 Interested",IF(R114&lt;&gt;"","4 Responded",IF(O114&lt;&gt;"","2 Contacted","1 Not yet contacted")))))))))))))</f>
        <v/>
      </c>
      <c r="AK114" s="10">
        <f>IF(AF114&lt;&gt;"",AF114,IF(OR(O114="",R114&lt;&gt;"",LEFT(AJ114,1)="X"),"",IF(Q114&lt;&gt;"","",IF(P114&lt;&gt;"",P114+SETTINGS!$B$4,O114+SETTINGS!$B$3))))</f>
        <v/>
      </c>
      <c r="AL114">
        <f>IF(AJ114="","",IF(LEFT(AJ114,1)="X","None — do not contact",IF(AJ114="1 Not yet contacted","Verify route today, then send M1",IF(AND(R114="",Q114&lt;&gt;""),"Sequence complete — no contact before "&amp;TEXT(Q114+SETTINGS!$B$5,"yyyy-mm-dd"),IF(AND(R114="",P114&lt;&gt;""),"Send final note (M4)",IF(R114="","Send follow-up (M2)",IF(AJ114="12 ACTIVATED","7-day check-in; consent &amp; referral soft ask",IF(AJ114="13 Transacting","Repeat-activity support","Onboarding: move to next stage (see playbook §6)"))))))))</f>
        <v/>
      </c>
      <c r="AM114">
        <f>IF(ISNUMBER(AK114),IF(AK114&lt;=TODAY(),"DUE",""),"")</f>
        <v/>
      </c>
      <c r="AN114">
        <f>IF(COUNT(O114,P114,Q114,R114,T114,V114,W114,X114,Y114,Z114,AA114,AC114)=0,"",TODAY()-MAX(O114,P114,Q114,R114,T114,V114,W114,X114,Y114,Z114,AA114,AC114))</f>
        <v/>
      </c>
      <c r="AO114">
        <f>IF(AJ114="","",IF(AND(T114&lt;&gt;"",U114&lt;&gt;"Active (verified)"),"GST: escalate (no tax advice)",IF(AND(IFERROR(VALUE(LEFT(AJ114,2)),0)&gt;=5,AH114&lt;&gt;"YES",ISNUMBER(AN114),AN114&gt;SETTINGS!$B$14),"STUCK in onboarding","")))</f>
        <v/>
      </c>
    </row>
    <row r="115">
      <c r="A115" t="n">
        <v>114</v>
      </c>
      <c r="B115" t="inlineStr">
        <is>
          <t>UPK2-FL-243</t>
        </is>
      </c>
      <c r="C115" t="inlineStr">
        <is>
          <t>Seher Jaipur</t>
        </is>
      </c>
      <c r="D115" t="inlineStr">
        <is>
          <t>Fashion &amp; Lifestyle</t>
        </is>
      </c>
      <c r="E115" t="inlineStr">
        <is>
          <t>FL-CONTEMPORARY</t>
        </is>
      </c>
      <c r="F115" t="inlineStr">
        <is>
          <t>Jaipur</t>
        </is>
      </c>
      <c r="G115" t="inlineStr">
        <is>
          <t>B</t>
        </is>
      </c>
      <c r="H115" t="inlineStr">
        <is>
          <t>P0</t>
        </is>
      </c>
      <c r="I115" t="inlineStr">
        <is>
          <t>stockist-listed</t>
        </is>
      </c>
      <c r="J115" t="inlineStr">
        <is>
          <t>Personal 1:1 email from founder/team to published business email</t>
        </is>
      </c>
      <c r="K115" t="inlineStr">
        <is>
          <t>https://seherjaipur.com/pages/contact</t>
        </is>
      </c>
      <c r="L115" t="inlineStr">
        <is>
          <t>W2 Expansion</t>
        </is>
      </c>
      <c r="M115" t="inlineStr"/>
      <c r="N115" t="inlineStr"/>
      <c r="O115" s="10" t="inlineStr"/>
      <c r="P115" s="10" t="inlineStr"/>
      <c r="Q115" s="10" t="inlineStr"/>
      <c r="R115" s="10" t="inlineStr"/>
      <c r="S115" t="inlineStr"/>
      <c r="T115" s="10" t="inlineStr"/>
      <c r="U115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t="inlineStr"/>
      <c r="AC115" s="10" t="inlineStr"/>
      <c r="AD115" t="inlineStr"/>
      <c r="AE115" t="inlineStr"/>
      <c r="AF115" s="10" t="inlineStr"/>
      <c r="AG115" t="inlineStr"/>
      <c r="AH115">
        <f>IF(AND(B115="",C115=""),"",IF(AND(X115&lt;&gt;"",Y115&lt;&gt;"",Z115&lt;&gt;"",AA115&lt;&gt;"",AB115="Y"),"YES","no"))</f>
        <v/>
      </c>
      <c r="AI115" s="10">
        <f>IF(AH115="YES",MAX(X115,Y115,Z115,AA115),"")</f>
        <v/>
      </c>
      <c r="AJ115">
        <f>IF(AND(B115="",C115=""),"",IF(OR(S115="Not interested",S115="Opt-out / do not contact"),"X Declined / suppressed",IF(S115="Bounced / undeliverable","X Bounced — research",IF(AC115&lt;&gt;"","13 Transacting",IF(AH115="YES","12 ACTIVATED",IF(Z115&lt;&gt;"","11 Listing live",IF(Y115&lt;&gt;"","10 Profile complete",IF(X115&lt;&gt;"","9 Approved",IF(W115&lt;&gt;"","8 KYC submitted",IF(V115&lt;&gt;"","7 Registered",IF(T115&lt;&gt;"","5 Interested",IF(R115&lt;&gt;"","4 Responded",IF(O115&lt;&gt;"","2 Contacted","1 Not yet contacted")))))))))))))</f>
        <v/>
      </c>
      <c r="AK115" s="10">
        <f>IF(AF115&lt;&gt;"",AF115,IF(OR(O115="",R115&lt;&gt;"",LEFT(AJ115,1)="X"),"",IF(Q115&lt;&gt;"","",IF(P115&lt;&gt;"",P115+SETTINGS!$B$4,O115+SETTINGS!$B$3))))</f>
        <v/>
      </c>
      <c r="AL115">
        <f>IF(AJ115="","",IF(LEFT(AJ115,1)="X","None — do not contact",IF(AJ115="1 Not yet contacted","Verify route today, then send M1",IF(AND(R115="",Q115&lt;&gt;""),"Sequence complete — no contact before "&amp;TEXT(Q115+SETTINGS!$B$5,"yyyy-mm-dd"),IF(AND(R115="",P115&lt;&gt;""),"Send final note (M4)",IF(R115="","Send follow-up (M2)",IF(AJ115="12 ACTIVATED","7-day check-in; consent &amp; referral soft ask",IF(AJ115="13 Transacting","Repeat-activity support","Onboarding: move to next stage (see playbook §6)"))))))))</f>
        <v/>
      </c>
      <c r="AM115">
        <f>IF(ISNUMBER(AK115),IF(AK115&lt;=TODAY(),"DUE",""),"")</f>
        <v/>
      </c>
      <c r="AN115">
        <f>IF(COUNT(O115,P115,Q115,R115,T115,V115,W115,X115,Y115,Z115,AA115,AC115)=0,"",TODAY()-MAX(O115,P115,Q115,R115,T115,V115,W115,X115,Y115,Z115,AA115,AC115))</f>
        <v/>
      </c>
      <c r="AO115">
        <f>IF(AJ115="","",IF(AND(T115&lt;&gt;"",U115&lt;&gt;"Active (verified)"),"GST: escalate (no tax advice)",IF(AND(IFERROR(VALUE(LEFT(AJ115,2)),0)&gt;=5,AH115&lt;&gt;"YES",ISNUMBER(AN115),AN115&gt;SETTINGS!$B$14),"STUCK in onboarding","")))</f>
        <v/>
      </c>
    </row>
    <row r="116">
      <c r="A116" t="n">
        <v>115</v>
      </c>
      <c r="B116" t="inlineStr">
        <is>
          <t>UPK2-FL-225</t>
        </is>
      </c>
      <c r="C116" t="inlineStr">
        <is>
          <t>Maenaam</t>
        </is>
      </c>
      <c r="D116" t="inlineStr">
        <is>
          <t>Fashion &amp; Lifestyle</t>
        </is>
      </c>
      <c r="E116" t="inlineStr">
        <is>
          <t>FL-CONTEMPORARY</t>
        </is>
      </c>
      <c r="F116" t="inlineStr">
        <is>
          <t>Jaipur</t>
        </is>
      </c>
      <c r="G116" t="inlineStr">
        <is>
          <t>B</t>
        </is>
      </c>
      <c r="H116" t="inlineStr">
        <is>
          <t>P0</t>
        </is>
      </c>
      <c r="I116" t="inlineStr">
        <is>
          <t>stockist-listed</t>
        </is>
      </c>
      <c r="J116" t="inlineStr">
        <is>
          <t>Personal 1:1 email from founder/team to published business email</t>
        </is>
      </c>
      <c r="K116" t="inlineStr">
        <is>
          <t>https://maenaam.com/pages/contact-us</t>
        </is>
      </c>
      <c r="L116" t="inlineStr">
        <is>
          <t>W2 Expansion</t>
        </is>
      </c>
      <c r="M116" t="inlineStr"/>
      <c r="N116" t="inlineStr"/>
      <c r="O116" s="10" t="inlineStr"/>
      <c r="P116" s="10" t="inlineStr"/>
      <c r="Q116" s="10" t="inlineStr"/>
      <c r="R116" s="10" t="inlineStr"/>
      <c r="S116" t="inlineStr"/>
      <c r="T116" s="10" t="inlineStr"/>
      <c r="U116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t="inlineStr"/>
      <c r="AC116" s="10" t="inlineStr"/>
      <c r="AD116" t="inlineStr"/>
      <c r="AE116" t="inlineStr"/>
      <c r="AF116" s="10" t="inlineStr"/>
      <c r="AG116" t="inlineStr"/>
      <c r="AH116">
        <f>IF(AND(B116="",C116=""),"",IF(AND(X116&lt;&gt;"",Y116&lt;&gt;"",Z116&lt;&gt;"",AA116&lt;&gt;"",AB116="Y"),"YES","no"))</f>
        <v/>
      </c>
      <c r="AI116" s="10">
        <f>IF(AH116="YES",MAX(X116,Y116,Z116,AA116),"")</f>
        <v/>
      </c>
      <c r="AJ116">
        <f>IF(AND(B116="",C116=""),"",IF(OR(S116="Not interested",S116="Opt-out / do not contact"),"X Declined / suppressed",IF(S116="Bounced / undeliverable","X Bounced — research",IF(AC116&lt;&gt;"","13 Transacting",IF(AH116="YES","12 ACTIVATED",IF(Z116&lt;&gt;"","11 Listing live",IF(Y116&lt;&gt;"","10 Profile complete",IF(X116&lt;&gt;"","9 Approved",IF(W116&lt;&gt;"","8 KYC submitted",IF(V116&lt;&gt;"","7 Registered",IF(T116&lt;&gt;"","5 Interested",IF(R116&lt;&gt;"","4 Responded",IF(O116&lt;&gt;"","2 Contacted","1 Not yet contacted")))))))))))))</f>
        <v/>
      </c>
      <c r="AK116" s="10">
        <f>IF(AF116&lt;&gt;"",AF116,IF(OR(O116="",R116&lt;&gt;"",LEFT(AJ116,1)="X"),"",IF(Q116&lt;&gt;"","",IF(P116&lt;&gt;"",P116+SETTINGS!$B$4,O116+SETTINGS!$B$3))))</f>
        <v/>
      </c>
      <c r="AL116">
        <f>IF(AJ116="","",IF(LEFT(AJ116,1)="X","None — do not contact",IF(AJ116="1 Not yet contacted","Verify route today, then send M1",IF(AND(R116="",Q116&lt;&gt;""),"Sequence complete — no contact before "&amp;TEXT(Q116+SETTINGS!$B$5,"yyyy-mm-dd"),IF(AND(R116="",P116&lt;&gt;""),"Send final note (M4)",IF(R116="","Send follow-up (M2)",IF(AJ116="12 ACTIVATED","7-day check-in; consent &amp; referral soft ask",IF(AJ116="13 Transacting","Repeat-activity support","Onboarding: move to next stage (see playbook §6)"))))))))</f>
        <v/>
      </c>
      <c r="AM116">
        <f>IF(ISNUMBER(AK116),IF(AK116&lt;=TODAY(),"DUE",""),"")</f>
        <v/>
      </c>
      <c r="AN116">
        <f>IF(COUNT(O116,P116,Q116,R116,T116,V116,W116,X116,Y116,Z116,AA116,AC116)=0,"",TODAY()-MAX(O116,P116,Q116,R116,T116,V116,W116,X116,Y116,Z116,AA116,AC116))</f>
        <v/>
      </c>
      <c r="AO116">
        <f>IF(AJ116="","",IF(AND(T116&lt;&gt;"",U116&lt;&gt;"Active (verified)"),"GST: escalate (no tax advice)",IF(AND(IFERROR(VALUE(LEFT(AJ116,2)),0)&gt;=5,AH116&lt;&gt;"YES",ISNUMBER(AN116),AN116&gt;SETTINGS!$B$14),"STUCK in onboarding","")))</f>
        <v/>
      </c>
    </row>
    <row r="117">
      <c r="A117" t="n">
        <v>116</v>
      </c>
      <c r="B117" t="inlineStr">
        <is>
          <t>UPK2-FL-212</t>
        </is>
      </c>
      <c r="C117" t="inlineStr">
        <is>
          <t>Enech</t>
        </is>
      </c>
      <c r="D117" t="inlineStr">
        <is>
          <t>Fashion &amp; Lifestyle</t>
        </is>
      </c>
      <c r="E117" t="inlineStr">
        <is>
          <t>FL-CONTEMPORARY</t>
        </is>
      </c>
      <c r="F117" t="inlineStr">
        <is>
          <t>Mumbai</t>
        </is>
      </c>
      <c r="G117" t="inlineStr">
        <is>
          <t>B</t>
        </is>
      </c>
      <c r="H117" t="inlineStr">
        <is>
          <t>P0</t>
        </is>
      </c>
      <c r="I117" t="inlineStr">
        <is>
          <t>stockist-listed</t>
        </is>
      </c>
      <c r="J117" t="inlineStr">
        <is>
          <t>Personal 1:1 email from founder/team to published business email</t>
        </is>
      </c>
      <c r="K117" t="inlineStr">
        <is>
          <t>https://enech.in/pages/contact-us</t>
        </is>
      </c>
      <c r="L117" t="inlineStr">
        <is>
          <t>W2 Expansion</t>
        </is>
      </c>
      <c r="M117" t="inlineStr"/>
      <c r="N117" t="inlineStr"/>
      <c r="O117" s="10" t="inlineStr"/>
      <c r="P117" s="10" t="inlineStr"/>
      <c r="Q117" s="10" t="inlineStr"/>
      <c r="R117" s="10" t="inlineStr"/>
      <c r="S117" t="inlineStr"/>
      <c r="T117" s="10" t="inlineStr"/>
      <c r="U117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t="inlineStr"/>
      <c r="AC117" s="10" t="inlineStr"/>
      <c r="AD117" t="inlineStr"/>
      <c r="AE117" t="inlineStr"/>
      <c r="AF117" s="10" t="inlineStr"/>
      <c r="AG117" t="inlineStr"/>
      <c r="AH117">
        <f>IF(AND(B117="",C117=""),"",IF(AND(X117&lt;&gt;"",Y117&lt;&gt;"",Z117&lt;&gt;"",AA117&lt;&gt;"",AB117="Y"),"YES","no"))</f>
        <v/>
      </c>
      <c r="AI117" s="10">
        <f>IF(AH117="YES",MAX(X117,Y117,Z117,AA117),"")</f>
        <v/>
      </c>
      <c r="AJ117">
        <f>IF(AND(B117="",C117=""),"",IF(OR(S117="Not interested",S117="Opt-out / do not contact"),"X Declined / suppressed",IF(S117="Bounced / undeliverable","X Bounced — research",IF(AC117&lt;&gt;"","13 Transacting",IF(AH117="YES","12 ACTIVATED",IF(Z117&lt;&gt;"","11 Listing live",IF(Y117&lt;&gt;"","10 Profile complete",IF(X117&lt;&gt;"","9 Approved",IF(W117&lt;&gt;"","8 KYC submitted",IF(V117&lt;&gt;"","7 Registered",IF(T117&lt;&gt;"","5 Interested",IF(R117&lt;&gt;"","4 Responded",IF(O117&lt;&gt;"","2 Contacted","1 Not yet contacted")))))))))))))</f>
        <v/>
      </c>
      <c r="AK117" s="10">
        <f>IF(AF117&lt;&gt;"",AF117,IF(OR(O117="",R117&lt;&gt;"",LEFT(AJ117,1)="X"),"",IF(Q117&lt;&gt;"","",IF(P117&lt;&gt;"",P117+SETTINGS!$B$4,O117+SETTINGS!$B$3))))</f>
        <v/>
      </c>
      <c r="AL117">
        <f>IF(AJ117="","",IF(LEFT(AJ117,1)="X","None — do not contact",IF(AJ117="1 Not yet contacted","Verify route today, then send M1",IF(AND(R117="",Q117&lt;&gt;""),"Sequence complete — no contact before "&amp;TEXT(Q117+SETTINGS!$B$5,"yyyy-mm-dd"),IF(AND(R117="",P117&lt;&gt;""),"Send final note (M4)",IF(R117="","Send follow-up (M2)",IF(AJ117="12 ACTIVATED","7-day check-in; consent &amp; referral soft ask",IF(AJ117="13 Transacting","Repeat-activity support","Onboarding: move to next stage (see playbook §6)"))))))))</f>
        <v/>
      </c>
      <c r="AM117">
        <f>IF(ISNUMBER(AK117),IF(AK117&lt;=TODAY(),"DUE",""),"")</f>
        <v/>
      </c>
      <c r="AN117">
        <f>IF(COUNT(O117,P117,Q117,R117,T117,V117,W117,X117,Y117,Z117,AA117,AC117)=0,"",TODAY()-MAX(O117,P117,Q117,R117,T117,V117,W117,X117,Y117,Z117,AA117,AC117))</f>
        <v/>
      </c>
      <c r="AO117">
        <f>IF(AJ117="","",IF(AND(T117&lt;&gt;"",U117&lt;&gt;"Active (verified)"),"GST: escalate (no tax advice)",IF(AND(IFERROR(VALUE(LEFT(AJ117,2)),0)&gt;=5,AH117&lt;&gt;"YES",ISNUMBER(AN117),AN117&gt;SETTINGS!$B$14),"STUCK in onboarding","")))</f>
        <v/>
      </c>
    </row>
    <row r="118">
      <c r="A118" t="n">
        <v>117</v>
      </c>
      <c r="B118" t="inlineStr">
        <is>
          <t>UPK2-FL-265</t>
        </is>
      </c>
      <c r="C118" t="inlineStr">
        <is>
          <t>Sabe</t>
        </is>
      </c>
      <c r="D118" t="inlineStr">
        <is>
          <t>Fashion &amp; Lifestyle</t>
        </is>
      </c>
      <c r="E118" t="inlineStr">
        <is>
          <t>FL-OCCASION-BRIDAL</t>
        </is>
      </c>
      <c r="F118" t="inlineStr">
        <is>
          <t>Delhi NCR</t>
        </is>
      </c>
      <c r="G118" t="inlineStr">
        <is>
          <t>B</t>
        </is>
      </c>
      <c r="H118" t="inlineStr">
        <is>
          <t>P0</t>
        </is>
      </c>
      <c r="I118" t="inlineStr">
        <is>
          <t>stockist-listed</t>
        </is>
      </c>
      <c r="J118" t="inlineStr">
        <is>
          <t>Personal 1:1 email from founder/team to published business email</t>
        </is>
      </c>
      <c r="K118" t="inlineStr">
        <is>
          <t>https://www.sabeofficial.in/pages/contact</t>
        </is>
      </c>
      <c r="L118" t="inlineStr">
        <is>
          <t>W2 Expansion</t>
        </is>
      </c>
      <c r="M118" t="inlineStr"/>
      <c r="N118" t="inlineStr"/>
      <c r="O118" s="10" t="inlineStr"/>
      <c r="P118" s="10" t="inlineStr"/>
      <c r="Q118" s="10" t="inlineStr"/>
      <c r="R118" s="10" t="inlineStr"/>
      <c r="S118" t="inlineStr"/>
      <c r="T118" s="10" t="inlineStr"/>
      <c r="U118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t="inlineStr"/>
      <c r="AC118" s="10" t="inlineStr"/>
      <c r="AD118" t="inlineStr"/>
      <c r="AE118" t="inlineStr"/>
      <c r="AF118" s="10" t="inlineStr"/>
      <c r="AG118" t="inlineStr"/>
      <c r="AH118">
        <f>IF(AND(B118="",C118=""),"",IF(AND(X118&lt;&gt;"",Y118&lt;&gt;"",Z118&lt;&gt;"",AA118&lt;&gt;"",AB118="Y"),"YES","no"))</f>
        <v/>
      </c>
      <c r="AI118" s="10">
        <f>IF(AH118="YES",MAX(X118,Y118,Z118,AA118),"")</f>
        <v/>
      </c>
      <c r="AJ118">
        <f>IF(AND(B118="",C118=""),"",IF(OR(S118="Not interested",S118="Opt-out / do not contact"),"X Declined / suppressed",IF(S118="Bounced / undeliverable","X Bounced — research",IF(AC118&lt;&gt;"","13 Transacting",IF(AH118="YES","12 ACTIVATED",IF(Z118&lt;&gt;"","11 Listing live",IF(Y118&lt;&gt;"","10 Profile complete",IF(X118&lt;&gt;"","9 Approved",IF(W118&lt;&gt;"","8 KYC submitted",IF(V118&lt;&gt;"","7 Registered",IF(T118&lt;&gt;"","5 Interested",IF(R118&lt;&gt;"","4 Responded",IF(O118&lt;&gt;"","2 Contacted","1 Not yet contacted")))))))))))))</f>
        <v/>
      </c>
      <c r="AK118" s="10">
        <f>IF(AF118&lt;&gt;"",AF118,IF(OR(O118="",R118&lt;&gt;"",LEFT(AJ118,1)="X"),"",IF(Q118&lt;&gt;"","",IF(P118&lt;&gt;"",P118+SETTINGS!$B$4,O118+SETTINGS!$B$3))))</f>
        <v/>
      </c>
      <c r="AL118">
        <f>IF(AJ118="","",IF(LEFT(AJ118,1)="X","None — do not contact",IF(AJ118="1 Not yet contacted","Verify route today, then send M1",IF(AND(R118="",Q118&lt;&gt;""),"Sequence complete — no contact before "&amp;TEXT(Q118+SETTINGS!$B$5,"yyyy-mm-dd"),IF(AND(R118="",P118&lt;&gt;""),"Send final note (M4)",IF(R118="","Send follow-up (M2)",IF(AJ118="12 ACTIVATED","7-day check-in; consent &amp; referral soft ask",IF(AJ118="13 Transacting","Repeat-activity support","Onboarding: move to next stage (see playbook §6)"))))))))</f>
        <v/>
      </c>
      <c r="AM118">
        <f>IF(ISNUMBER(AK118),IF(AK118&lt;=TODAY(),"DUE",""),"")</f>
        <v/>
      </c>
      <c r="AN118">
        <f>IF(COUNT(O118,P118,Q118,R118,T118,V118,W118,X118,Y118,Z118,AA118,AC118)=0,"",TODAY()-MAX(O118,P118,Q118,R118,T118,V118,W118,X118,Y118,Z118,AA118,AC118))</f>
        <v/>
      </c>
      <c r="AO118">
        <f>IF(AJ118="","",IF(AND(T118&lt;&gt;"",U118&lt;&gt;"Active (verified)"),"GST: escalate (no tax advice)",IF(AND(IFERROR(VALUE(LEFT(AJ118,2)),0)&gt;=5,AH118&lt;&gt;"YES",ISNUMBER(AN118),AN118&gt;SETTINGS!$B$14),"STUCK in onboarding","")))</f>
        <v/>
      </c>
    </row>
    <row r="119">
      <c r="A119" t="n">
        <v>118</v>
      </c>
      <c r="B119" t="inlineStr">
        <is>
          <t>UPK2-FL-257</t>
        </is>
      </c>
      <c r="C119" t="inlineStr">
        <is>
          <t>Gaurav Katta</t>
        </is>
      </c>
      <c r="D119" t="inlineStr">
        <is>
          <t>Fashion &amp; Lifestyle</t>
        </is>
      </c>
      <c r="E119" t="inlineStr">
        <is>
          <t>FL-OCCASION-BRIDAL</t>
        </is>
      </c>
      <c r="F119" t="inlineStr">
        <is>
          <t>Jaipur</t>
        </is>
      </c>
      <c r="G119" t="inlineStr">
        <is>
          <t>B</t>
        </is>
      </c>
      <c r="H119" t="inlineStr">
        <is>
          <t>P0</t>
        </is>
      </c>
      <c r="I119" t="inlineStr">
        <is>
          <t>stockist-listed</t>
        </is>
      </c>
      <c r="J119" t="inlineStr">
        <is>
          <t>Personal 1:1 email from founder/team to published business email</t>
        </is>
      </c>
      <c r="K119" t="inlineStr">
        <is>
          <t>https://gauravkatta.co/pages/contact</t>
        </is>
      </c>
      <c r="L119" t="inlineStr">
        <is>
          <t>W2 Expansion</t>
        </is>
      </c>
      <c r="M119" t="inlineStr"/>
      <c r="N119" t="inlineStr"/>
      <c r="O119" s="10" t="inlineStr"/>
      <c r="P119" s="10" t="inlineStr"/>
      <c r="Q119" s="10" t="inlineStr"/>
      <c r="R119" s="10" t="inlineStr"/>
      <c r="S119" t="inlineStr"/>
      <c r="T119" s="10" t="inlineStr"/>
      <c r="U119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t="inlineStr"/>
      <c r="AC119" s="10" t="inlineStr"/>
      <c r="AD119" t="inlineStr"/>
      <c r="AE119" t="inlineStr"/>
      <c r="AF119" s="10" t="inlineStr"/>
      <c r="AG119" t="inlineStr"/>
      <c r="AH119">
        <f>IF(AND(B119="",C119=""),"",IF(AND(X119&lt;&gt;"",Y119&lt;&gt;"",Z119&lt;&gt;"",AA119&lt;&gt;"",AB119="Y"),"YES","no"))</f>
        <v/>
      </c>
      <c r="AI119" s="10">
        <f>IF(AH119="YES",MAX(X119,Y119,Z119,AA119),"")</f>
        <v/>
      </c>
      <c r="AJ119">
        <f>IF(AND(B119="",C119=""),"",IF(OR(S119="Not interested",S119="Opt-out / do not contact"),"X Declined / suppressed",IF(S119="Bounced / undeliverable","X Bounced — research",IF(AC119&lt;&gt;"","13 Transacting",IF(AH119="YES","12 ACTIVATED",IF(Z119&lt;&gt;"","11 Listing live",IF(Y119&lt;&gt;"","10 Profile complete",IF(X119&lt;&gt;"","9 Approved",IF(W119&lt;&gt;"","8 KYC submitted",IF(V119&lt;&gt;"","7 Registered",IF(T119&lt;&gt;"","5 Interested",IF(R119&lt;&gt;"","4 Responded",IF(O119&lt;&gt;"","2 Contacted","1 Not yet contacted")))))))))))))</f>
        <v/>
      </c>
      <c r="AK119" s="10">
        <f>IF(AF119&lt;&gt;"",AF119,IF(OR(O119="",R119&lt;&gt;"",LEFT(AJ119,1)="X"),"",IF(Q119&lt;&gt;"","",IF(P119&lt;&gt;"",P119+SETTINGS!$B$4,O119+SETTINGS!$B$3))))</f>
        <v/>
      </c>
      <c r="AL119">
        <f>IF(AJ119="","",IF(LEFT(AJ119,1)="X","None — do not contact",IF(AJ119="1 Not yet contacted","Verify route today, then send M1",IF(AND(R119="",Q119&lt;&gt;""),"Sequence complete — no contact before "&amp;TEXT(Q119+SETTINGS!$B$5,"yyyy-mm-dd"),IF(AND(R119="",P119&lt;&gt;""),"Send final note (M4)",IF(R119="","Send follow-up (M2)",IF(AJ119="12 ACTIVATED","7-day check-in; consent &amp; referral soft ask",IF(AJ119="13 Transacting","Repeat-activity support","Onboarding: move to next stage (see playbook §6)"))))))))</f>
        <v/>
      </c>
      <c r="AM119">
        <f>IF(ISNUMBER(AK119),IF(AK119&lt;=TODAY(),"DUE",""),"")</f>
        <v/>
      </c>
      <c r="AN119">
        <f>IF(COUNT(O119,P119,Q119,R119,T119,V119,W119,X119,Y119,Z119,AA119,AC119)=0,"",TODAY()-MAX(O119,P119,Q119,R119,T119,V119,W119,X119,Y119,Z119,AA119,AC119))</f>
        <v/>
      </c>
      <c r="AO119">
        <f>IF(AJ119="","",IF(AND(T119&lt;&gt;"",U119&lt;&gt;"Active (verified)"),"GST: escalate (no tax advice)",IF(AND(IFERROR(VALUE(LEFT(AJ119,2)),0)&gt;=5,AH119&lt;&gt;"YES",ISNUMBER(AN119),AN119&gt;SETTINGS!$B$14),"STUCK in onboarding","")))</f>
        <v/>
      </c>
    </row>
    <row r="120">
      <c r="A120" t="n">
        <v>119</v>
      </c>
      <c r="B120" t="inlineStr">
        <is>
          <t>UPK2-FL-214</t>
        </is>
      </c>
      <c r="C120" t="inlineStr">
        <is>
          <t>Ezra</t>
        </is>
      </c>
      <c r="D120" t="inlineStr">
        <is>
          <t>Fashion &amp; Lifestyle</t>
        </is>
      </c>
      <c r="E120" t="inlineStr">
        <is>
          <t>FL-CONTEMPORARY</t>
        </is>
      </c>
      <c r="F120" t="inlineStr">
        <is>
          <t>Mumbai</t>
        </is>
      </c>
      <c r="G120" t="inlineStr">
        <is>
          <t>B</t>
        </is>
      </c>
      <c r="H120" t="inlineStr">
        <is>
          <t>P0</t>
        </is>
      </c>
      <c r="I120" t="inlineStr">
        <is>
          <t>stockist-listed</t>
        </is>
      </c>
      <c r="J120" t="inlineStr">
        <is>
          <t>Personal 1:1 email from founder/team to published business email</t>
        </is>
      </c>
      <c r="K120" t="inlineStr">
        <is>
          <t>https://ezra.co.in/pages/contact</t>
        </is>
      </c>
      <c r="L120" t="inlineStr">
        <is>
          <t>W2 Expansion</t>
        </is>
      </c>
      <c r="M120" t="inlineStr"/>
      <c r="N120" t="inlineStr"/>
      <c r="O120" s="10" t="inlineStr"/>
      <c r="P120" s="10" t="inlineStr"/>
      <c r="Q120" s="10" t="inlineStr"/>
      <c r="R120" s="10" t="inlineStr"/>
      <c r="S120" t="inlineStr"/>
      <c r="T120" s="10" t="inlineStr"/>
      <c r="U12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t="inlineStr"/>
      <c r="AC120" s="10" t="inlineStr"/>
      <c r="AD120" t="inlineStr"/>
      <c r="AE120" t="inlineStr"/>
      <c r="AF120" s="10" t="inlineStr"/>
      <c r="AG120" t="inlineStr"/>
      <c r="AH120">
        <f>IF(AND(B120="",C120=""),"",IF(AND(X120&lt;&gt;"",Y120&lt;&gt;"",Z120&lt;&gt;"",AA120&lt;&gt;"",AB120="Y"),"YES","no"))</f>
        <v/>
      </c>
      <c r="AI120" s="10">
        <f>IF(AH120="YES",MAX(X120,Y120,Z120,AA120),"")</f>
        <v/>
      </c>
      <c r="AJ120">
        <f>IF(AND(B120="",C120=""),"",IF(OR(S120="Not interested",S120="Opt-out / do not contact"),"X Declined / suppressed",IF(S120="Bounced / undeliverable","X Bounced — research",IF(AC120&lt;&gt;"","13 Transacting",IF(AH120="YES","12 ACTIVATED",IF(Z120&lt;&gt;"","11 Listing live",IF(Y120&lt;&gt;"","10 Profile complete",IF(X120&lt;&gt;"","9 Approved",IF(W120&lt;&gt;"","8 KYC submitted",IF(V120&lt;&gt;"","7 Registered",IF(T120&lt;&gt;"","5 Interested",IF(R120&lt;&gt;"","4 Responded",IF(O120&lt;&gt;"","2 Contacted","1 Not yet contacted")))))))))))))</f>
        <v/>
      </c>
      <c r="AK120" s="10">
        <f>IF(AF120&lt;&gt;"",AF120,IF(OR(O120="",R120&lt;&gt;"",LEFT(AJ120,1)="X"),"",IF(Q120&lt;&gt;"","",IF(P120&lt;&gt;"",P120+SETTINGS!$B$4,O120+SETTINGS!$B$3))))</f>
        <v/>
      </c>
      <c r="AL120">
        <f>IF(AJ120="","",IF(LEFT(AJ120,1)="X","None — do not contact",IF(AJ120="1 Not yet contacted","Verify route today, then send M1",IF(AND(R120="",Q120&lt;&gt;""),"Sequence complete — no contact before "&amp;TEXT(Q120+SETTINGS!$B$5,"yyyy-mm-dd"),IF(AND(R120="",P120&lt;&gt;""),"Send final note (M4)",IF(R120="","Send follow-up (M2)",IF(AJ120="12 ACTIVATED","7-day check-in; consent &amp; referral soft ask",IF(AJ120="13 Transacting","Repeat-activity support","Onboarding: move to next stage (see playbook §6)"))))))))</f>
        <v/>
      </c>
      <c r="AM120">
        <f>IF(ISNUMBER(AK120),IF(AK120&lt;=TODAY(),"DUE",""),"")</f>
        <v/>
      </c>
      <c r="AN120">
        <f>IF(COUNT(O120,P120,Q120,R120,T120,V120,W120,X120,Y120,Z120,AA120,AC120)=0,"",TODAY()-MAX(O120,P120,Q120,R120,T120,V120,W120,X120,Y120,Z120,AA120,AC120))</f>
        <v/>
      </c>
      <c r="AO120">
        <f>IF(AJ120="","",IF(AND(T120&lt;&gt;"",U120&lt;&gt;"Active (verified)"),"GST: escalate (no tax advice)",IF(AND(IFERROR(VALUE(LEFT(AJ120,2)),0)&gt;=5,AH120&lt;&gt;"YES",ISNUMBER(AN120),AN120&gt;SETTINGS!$B$14),"STUCK in onboarding","")))</f>
        <v/>
      </c>
    </row>
    <row r="121">
      <c r="A121" t="n">
        <v>120</v>
      </c>
      <c r="B121" t="inlineStr">
        <is>
          <t>UPK2-FL-215</t>
        </is>
      </c>
      <c r="C121" t="inlineStr">
        <is>
          <t>Falsa</t>
        </is>
      </c>
      <c r="D121" t="inlineStr">
        <is>
          <t>Fashion &amp; Lifestyle</t>
        </is>
      </c>
      <c r="E121" t="inlineStr">
        <is>
          <t>FL-OCCASION-BRIDAL</t>
        </is>
      </c>
      <c r="F121" t="inlineStr">
        <is>
          <t>Delhi NCR</t>
        </is>
      </c>
      <c r="G121" t="inlineStr">
        <is>
          <t>B</t>
        </is>
      </c>
      <c r="H121" t="inlineStr">
        <is>
          <t>P0</t>
        </is>
      </c>
      <c r="I121" t="inlineStr">
        <is>
          <t>stockist-listed</t>
        </is>
      </c>
      <c r="J121" t="inlineStr">
        <is>
          <t>Personal 1:1 email from founder/team to published business email</t>
        </is>
      </c>
      <c r="K121" t="inlineStr">
        <is>
          <t>https://www.falsaofficial.com/pages/contact-us</t>
        </is>
      </c>
      <c r="L121" t="inlineStr">
        <is>
          <t>W2 Expansion</t>
        </is>
      </c>
      <c r="M121" t="inlineStr"/>
      <c r="N121" t="inlineStr"/>
      <c r="O121" s="10" t="inlineStr"/>
      <c r="P121" s="10" t="inlineStr"/>
      <c r="Q121" s="10" t="inlineStr"/>
      <c r="R121" s="10" t="inlineStr"/>
      <c r="S121" t="inlineStr"/>
      <c r="T121" s="10" t="inlineStr"/>
      <c r="U121" t="inlineStr"/>
      <c r="V121" s="10" t="inlineStr"/>
      <c r="W121" s="10" t="inlineStr"/>
      <c r="X121" s="10" t="inlineStr"/>
      <c r="Y121" s="10" t="inlineStr"/>
      <c r="Z121" s="10" t="inlineStr"/>
      <c r="AA121" s="10" t="inlineStr"/>
      <c r="AB121" t="inlineStr"/>
      <c r="AC121" s="10" t="inlineStr"/>
      <c r="AD121" t="inlineStr"/>
      <c r="AE121" t="inlineStr"/>
      <c r="AF121" s="10" t="inlineStr"/>
      <c r="AG121" t="inlineStr"/>
      <c r="AH121">
        <f>IF(AND(B121="",C121=""),"",IF(AND(X121&lt;&gt;"",Y121&lt;&gt;"",Z121&lt;&gt;"",AA121&lt;&gt;"",AB121="Y"),"YES","no"))</f>
        <v/>
      </c>
      <c r="AI121" s="10">
        <f>IF(AH121="YES",MAX(X121,Y121,Z121,AA121),"")</f>
        <v/>
      </c>
      <c r="AJ121">
        <f>IF(AND(B121="",C121=""),"",IF(OR(S121="Not interested",S121="Opt-out / do not contact"),"X Declined / suppressed",IF(S121="Bounced / undeliverable","X Bounced — research",IF(AC121&lt;&gt;"","13 Transacting",IF(AH121="YES","12 ACTIVATED",IF(Z121&lt;&gt;"","11 Listing live",IF(Y121&lt;&gt;"","10 Profile complete",IF(X121&lt;&gt;"","9 Approved",IF(W121&lt;&gt;"","8 KYC submitted",IF(V121&lt;&gt;"","7 Registered",IF(T121&lt;&gt;"","5 Interested",IF(R121&lt;&gt;"","4 Responded",IF(O121&lt;&gt;"","2 Contacted","1 Not yet contacted")))))))))))))</f>
        <v/>
      </c>
      <c r="AK121" s="10">
        <f>IF(AF121&lt;&gt;"",AF121,IF(OR(O121="",R121&lt;&gt;"",LEFT(AJ121,1)="X"),"",IF(Q121&lt;&gt;"","",IF(P121&lt;&gt;"",P121+SETTINGS!$B$4,O121+SETTINGS!$B$3))))</f>
        <v/>
      </c>
      <c r="AL121">
        <f>IF(AJ121="","",IF(LEFT(AJ121,1)="X","None — do not contact",IF(AJ121="1 Not yet contacted","Verify route today, then send M1",IF(AND(R121="",Q121&lt;&gt;""),"Sequence complete — no contact before "&amp;TEXT(Q121+SETTINGS!$B$5,"yyyy-mm-dd"),IF(AND(R121="",P121&lt;&gt;""),"Send final note (M4)",IF(R121="","Send follow-up (M2)",IF(AJ121="12 ACTIVATED","7-day check-in; consent &amp; referral soft ask",IF(AJ121="13 Transacting","Repeat-activity support","Onboarding: move to next stage (see playbook §6)"))))))))</f>
        <v/>
      </c>
      <c r="AM121">
        <f>IF(ISNUMBER(AK121),IF(AK121&lt;=TODAY(),"DUE",""),"")</f>
        <v/>
      </c>
      <c r="AN121">
        <f>IF(COUNT(O121,P121,Q121,R121,T121,V121,W121,X121,Y121,Z121,AA121,AC121)=0,"",TODAY()-MAX(O121,P121,Q121,R121,T121,V121,W121,X121,Y121,Z121,AA121,AC121))</f>
        <v/>
      </c>
      <c r="AO121">
        <f>IF(AJ121="","",IF(AND(T121&lt;&gt;"",U121&lt;&gt;"Active (verified)"),"GST: escalate (no tax advice)",IF(AND(IFERROR(VALUE(LEFT(AJ121,2)),0)&gt;=5,AH121&lt;&gt;"YES",ISNUMBER(AN121),AN121&gt;SETTINGS!$B$14),"STUCK in onboarding","")))</f>
        <v/>
      </c>
    </row>
    <row r="122">
      <c r="A122" t="n">
        <v>121</v>
      </c>
      <c r="B122" t="inlineStr">
        <is>
          <t>UPK2-FL-202</t>
        </is>
      </c>
      <c r="C122" t="inlineStr">
        <is>
          <t>Amit GT</t>
        </is>
      </c>
      <c r="D122" t="inlineStr">
        <is>
          <t>Fashion &amp; Lifestyle</t>
        </is>
      </c>
      <c r="E122" t="inlineStr">
        <is>
          <t>FL-OCCASION-BRIDAL</t>
        </is>
      </c>
      <c r="F122" t="inlineStr">
        <is>
          <t>Delhi NCR</t>
        </is>
      </c>
      <c r="G122" t="inlineStr">
        <is>
          <t>B</t>
        </is>
      </c>
      <c r="H122" t="inlineStr">
        <is>
          <t>P0</t>
        </is>
      </c>
      <c r="I122" t="inlineStr">
        <is>
          <t>stockist-listed</t>
        </is>
      </c>
      <c r="J122" t="inlineStr">
        <is>
          <t>Personal 1:1 email from founder/team to published business email</t>
        </is>
      </c>
      <c r="K122" t="inlineStr">
        <is>
          <t>https://amitgtcouture.com/pages/contact</t>
        </is>
      </c>
      <c r="L122" t="inlineStr">
        <is>
          <t>W2 Expansion</t>
        </is>
      </c>
      <c r="M122" t="inlineStr"/>
      <c r="N122" t="inlineStr"/>
      <c r="O122" s="10" t="inlineStr"/>
      <c r="P122" s="10" t="inlineStr"/>
      <c r="Q122" s="10" t="inlineStr"/>
      <c r="R122" s="10" t="inlineStr"/>
      <c r="S122" t="inlineStr"/>
      <c r="T122" s="10" t="inlineStr"/>
      <c r="U122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t="inlineStr"/>
      <c r="AC122" s="10" t="inlineStr"/>
      <c r="AD122" t="inlineStr"/>
      <c r="AE122" t="inlineStr"/>
      <c r="AF122" s="10" t="inlineStr"/>
      <c r="AG122" t="inlineStr"/>
      <c r="AH122">
        <f>IF(AND(B122="",C122=""),"",IF(AND(X122&lt;&gt;"",Y122&lt;&gt;"",Z122&lt;&gt;"",AA122&lt;&gt;"",AB122="Y"),"YES","no"))</f>
        <v/>
      </c>
      <c r="AI122" s="10">
        <f>IF(AH122="YES",MAX(X122,Y122,Z122,AA122),"")</f>
        <v/>
      </c>
      <c r="AJ122">
        <f>IF(AND(B122="",C122=""),"",IF(OR(S122="Not interested",S122="Opt-out / do not contact"),"X Declined / suppressed",IF(S122="Bounced / undeliverable","X Bounced — research",IF(AC122&lt;&gt;"","13 Transacting",IF(AH122="YES","12 ACTIVATED",IF(Z122&lt;&gt;"","11 Listing live",IF(Y122&lt;&gt;"","10 Profile complete",IF(X122&lt;&gt;"","9 Approved",IF(W122&lt;&gt;"","8 KYC submitted",IF(V122&lt;&gt;"","7 Registered",IF(T122&lt;&gt;"","5 Interested",IF(R122&lt;&gt;"","4 Responded",IF(O122&lt;&gt;"","2 Contacted","1 Not yet contacted")))))))))))))</f>
        <v/>
      </c>
      <c r="AK122" s="10">
        <f>IF(AF122&lt;&gt;"",AF122,IF(OR(O122="",R122&lt;&gt;"",LEFT(AJ122,1)="X"),"",IF(Q122&lt;&gt;"","",IF(P122&lt;&gt;"",P122+SETTINGS!$B$4,O122+SETTINGS!$B$3))))</f>
        <v/>
      </c>
      <c r="AL122">
        <f>IF(AJ122="","",IF(LEFT(AJ122,1)="X","None — do not contact",IF(AJ122="1 Not yet contacted","Verify route today, then send M1",IF(AND(R122="",Q122&lt;&gt;""),"Sequence complete — no contact before "&amp;TEXT(Q122+SETTINGS!$B$5,"yyyy-mm-dd"),IF(AND(R122="",P122&lt;&gt;""),"Send final note (M4)",IF(R122="","Send follow-up (M2)",IF(AJ122="12 ACTIVATED","7-day check-in; consent &amp; referral soft ask",IF(AJ122="13 Transacting","Repeat-activity support","Onboarding: move to next stage (see playbook §6)"))))))))</f>
        <v/>
      </c>
      <c r="AM122">
        <f>IF(ISNUMBER(AK122),IF(AK122&lt;=TODAY(),"DUE",""),"")</f>
        <v/>
      </c>
      <c r="AN122">
        <f>IF(COUNT(O122,P122,Q122,R122,T122,V122,W122,X122,Y122,Z122,AA122,AC122)=0,"",TODAY()-MAX(O122,P122,Q122,R122,T122,V122,W122,X122,Y122,Z122,AA122,AC122))</f>
        <v/>
      </c>
      <c r="AO122">
        <f>IF(AJ122="","",IF(AND(T122&lt;&gt;"",U122&lt;&gt;"Active (verified)"),"GST: escalate (no tax advice)",IF(AND(IFERROR(VALUE(LEFT(AJ122,2)),0)&gt;=5,AH122&lt;&gt;"YES",ISNUMBER(AN122),AN122&gt;SETTINGS!$B$14),"STUCK in onboarding","")))</f>
        <v/>
      </c>
    </row>
    <row r="123">
      <c r="A123" t="n">
        <v>122</v>
      </c>
      <c r="B123" t="inlineStr">
        <is>
          <t>UPK2-FL-223</t>
        </is>
      </c>
      <c r="C123" t="inlineStr">
        <is>
          <t>Karn Malhotra</t>
        </is>
      </c>
      <c r="D123" t="inlineStr">
        <is>
          <t>Fashion &amp; Lifestyle</t>
        </is>
      </c>
      <c r="E123" t="inlineStr">
        <is>
          <t>FL-OCCASION-BRIDAL</t>
        </is>
      </c>
      <c r="F123" t="inlineStr">
        <is>
          <t>Mumbai</t>
        </is>
      </c>
      <c r="G123" t="inlineStr">
        <is>
          <t>B</t>
        </is>
      </c>
      <c r="H123" t="inlineStr">
        <is>
          <t>P0</t>
        </is>
      </c>
      <c r="I123" t="inlineStr">
        <is>
          <t>stockist-listed</t>
        </is>
      </c>
      <c r="J123" t="inlineStr">
        <is>
          <t>Personal 1:1 email from founder/team to published business email</t>
        </is>
      </c>
      <c r="K123" t="inlineStr">
        <is>
          <t>https://karnmalhotra.in/pages/contact</t>
        </is>
      </c>
      <c r="L123" t="inlineStr">
        <is>
          <t>W2 Expansion</t>
        </is>
      </c>
      <c r="M123" t="inlineStr"/>
      <c r="N123" t="inlineStr"/>
      <c r="O123" s="10" t="inlineStr"/>
      <c r="P123" s="10" t="inlineStr"/>
      <c r="Q123" s="10" t="inlineStr"/>
      <c r="R123" s="10" t="inlineStr"/>
      <c r="S123" t="inlineStr"/>
      <c r="T123" s="10" t="inlineStr"/>
      <c r="U123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t="inlineStr"/>
      <c r="AC123" s="10" t="inlineStr"/>
      <c r="AD123" t="inlineStr"/>
      <c r="AE123" t="inlineStr"/>
      <c r="AF123" s="10" t="inlineStr"/>
      <c r="AG123" t="inlineStr"/>
      <c r="AH123">
        <f>IF(AND(B123="",C123=""),"",IF(AND(X123&lt;&gt;"",Y123&lt;&gt;"",Z123&lt;&gt;"",AA123&lt;&gt;"",AB123="Y"),"YES","no"))</f>
        <v/>
      </c>
      <c r="AI123" s="10">
        <f>IF(AH123="YES",MAX(X123,Y123,Z123,AA123),"")</f>
        <v/>
      </c>
      <c r="AJ123">
        <f>IF(AND(B123="",C123=""),"",IF(OR(S123="Not interested",S123="Opt-out / do not contact"),"X Declined / suppressed",IF(S123="Bounced / undeliverable","X Bounced — research",IF(AC123&lt;&gt;"","13 Transacting",IF(AH123="YES","12 ACTIVATED",IF(Z123&lt;&gt;"","11 Listing live",IF(Y123&lt;&gt;"","10 Profile complete",IF(X123&lt;&gt;"","9 Approved",IF(W123&lt;&gt;"","8 KYC submitted",IF(V123&lt;&gt;"","7 Registered",IF(T123&lt;&gt;"","5 Interested",IF(R123&lt;&gt;"","4 Responded",IF(O123&lt;&gt;"","2 Contacted","1 Not yet contacted")))))))))))))</f>
        <v/>
      </c>
      <c r="AK123" s="10">
        <f>IF(AF123&lt;&gt;"",AF123,IF(OR(O123="",R123&lt;&gt;"",LEFT(AJ123,1)="X"),"",IF(Q123&lt;&gt;"","",IF(P123&lt;&gt;"",P123+SETTINGS!$B$4,O123+SETTINGS!$B$3))))</f>
        <v/>
      </c>
      <c r="AL123">
        <f>IF(AJ123="","",IF(LEFT(AJ123,1)="X","None — do not contact",IF(AJ123="1 Not yet contacted","Verify route today, then send M1",IF(AND(R123="",Q123&lt;&gt;""),"Sequence complete — no contact before "&amp;TEXT(Q123+SETTINGS!$B$5,"yyyy-mm-dd"),IF(AND(R123="",P123&lt;&gt;""),"Send final note (M4)",IF(R123="","Send follow-up (M2)",IF(AJ123="12 ACTIVATED","7-day check-in; consent &amp; referral soft ask",IF(AJ123="13 Transacting","Repeat-activity support","Onboarding: move to next stage (see playbook §6)"))))))))</f>
        <v/>
      </c>
      <c r="AM123">
        <f>IF(ISNUMBER(AK123),IF(AK123&lt;=TODAY(),"DUE",""),"")</f>
        <v/>
      </c>
      <c r="AN123">
        <f>IF(COUNT(O123,P123,Q123,R123,T123,V123,W123,X123,Y123,Z123,AA123,AC123)=0,"",TODAY()-MAX(O123,P123,Q123,R123,T123,V123,W123,X123,Y123,Z123,AA123,AC123))</f>
        <v/>
      </c>
      <c r="AO123">
        <f>IF(AJ123="","",IF(AND(T123&lt;&gt;"",U123&lt;&gt;"Active (verified)"),"GST: escalate (no tax advice)",IF(AND(IFERROR(VALUE(LEFT(AJ123,2)),0)&gt;=5,AH123&lt;&gt;"YES",ISNUMBER(AN123),AN123&gt;SETTINGS!$B$14),"STUCK in onboarding","")))</f>
        <v/>
      </c>
    </row>
    <row r="124">
      <c r="A124" t="n">
        <v>123</v>
      </c>
      <c r="B124" t="inlineStr">
        <is>
          <t>UPK2-FL-220</t>
        </is>
      </c>
      <c r="C124" t="inlineStr">
        <is>
          <t>Kaaj Button</t>
        </is>
      </c>
      <c r="D124" t="inlineStr">
        <is>
          <t>Fashion &amp; Lifestyle</t>
        </is>
      </c>
      <c r="E124" t="inlineStr">
        <is>
          <t>FL-MENSWEAR</t>
        </is>
      </c>
      <c r="F124" t="inlineStr">
        <is>
          <t>Mumbai</t>
        </is>
      </c>
      <c r="G124" t="inlineStr">
        <is>
          <t>B</t>
        </is>
      </c>
      <c r="H124" t="inlineStr">
        <is>
          <t>P0</t>
        </is>
      </c>
      <c r="I124" t="inlineStr">
        <is>
          <t>stockist-listed</t>
        </is>
      </c>
      <c r="J124" t="inlineStr">
        <is>
          <t>Personal 1:1 email from founder/team to published business email</t>
        </is>
      </c>
      <c r="K124" t="inlineStr">
        <is>
          <t>https://kaajbuttonstudio.com/pages/contact</t>
        </is>
      </c>
      <c r="L124" t="inlineStr">
        <is>
          <t>W2 Expansion</t>
        </is>
      </c>
      <c r="M124" t="inlineStr"/>
      <c r="N124" t="inlineStr"/>
      <c r="O124" s="10" t="inlineStr"/>
      <c r="P124" s="10" t="inlineStr"/>
      <c r="Q124" s="10" t="inlineStr"/>
      <c r="R124" s="10" t="inlineStr"/>
      <c r="S124" t="inlineStr"/>
      <c r="T124" s="10" t="inlineStr"/>
      <c r="U124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t="inlineStr"/>
      <c r="AC124" s="10" t="inlineStr"/>
      <c r="AD124" t="inlineStr"/>
      <c r="AE124" t="inlineStr"/>
      <c r="AF124" s="10" t="inlineStr"/>
      <c r="AG124" t="inlineStr"/>
      <c r="AH124">
        <f>IF(AND(B124="",C124=""),"",IF(AND(X124&lt;&gt;"",Y124&lt;&gt;"",Z124&lt;&gt;"",AA124&lt;&gt;"",AB124="Y"),"YES","no"))</f>
        <v/>
      </c>
      <c r="AI124" s="10">
        <f>IF(AH124="YES",MAX(X124,Y124,Z124,AA124),"")</f>
        <v/>
      </c>
      <c r="AJ124">
        <f>IF(AND(B124="",C124=""),"",IF(OR(S124="Not interested",S124="Opt-out / do not contact"),"X Declined / suppressed",IF(S124="Bounced / undeliverable","X Bounced — research",IF(AC124&lt;&gt;"","13 Transacting",IF(AH124="YES","12 ACTIVATED",IF(Z124&lt;&gt;"","11 Listing live",IF(Y124&lt;&gt;"","10 Profile complete",IF(X124&lt;&gt;"","9 Approved",IF(W124&lt;&gt;"","8 KYC submitted",IF(V124&lt;&gt;"","7 Registered",IF(T124&lt;&gt;"","5 Interested",IF(R124&lt;&gt;"","4 Responded",IF(O124&lt;&gt;"","2 Contacted","1 Not yet contacted")))))))))))))</f>
        <v/>
      </c>
      <c r="AK124" s="10">
        <f>IF(AF124&lt;&gt;"",AF124,IF(OR(O124="",R124&lt;&gt;"",LEFT(AJ124,1)="X"),"",IF(Q124&lt;&gt;"","",IF(P124&lt;&gt;"",P124+SETTINGS!$B$4,O124+SETTINGS!$B$3))))</f>
        <v/>
      </c>
      <c r="AL124">
        <f>IF(AJ124="","",IF(LEFT(AJ124,1)="X","None — do not contact",IF(AJ124="1 Not yet contacted","Verify route today, then send M1",IF(AND(R124="",Q124&lt;&gt;""),"Sequence complete — no contact before "&amp;TEXT(Q124+SETTINGS!$B$5,"yyyy-mm-dd"),IF(AND(R124="",P124&lt;&gt;""),"Send final note (M4)",IF(R124="","Send follow-up (M2)",IF(AJ124="12 ACTIVATED","7-day check-in; consent &amp; referral soft ask",IF(AJ124="13 Transacting","Repeat-activity support","Onboarding: move to next stage (see playbook §6)"))))))))</f>
        <v/>
      </c>
      <c r="AM124">
        <f>IF(ISNUMBER(AK124),IF(AK124&lt;=TODAY(),"DUE",""),"")</f>
        <v/>
      </c>
      <c r="AN124">
        <f>IF(COUNT(O124,P124,Q124,R124,T124,V124,W124,X124,Y124,Z124,AA124,AC124)=0,"",TODAY()-MAX(O124,P124,Q124,R124,T124,V124,W124,X124,Y124,Z124,AA124,AC124))</f>
        <v/>
      </c>
      <c r="AO124">
        <f>IF(AJ124="","",IF(AND(T124&lt;&gt;"",U124&lt;&gt;"Active (verified)"),"GST: escalate (no tax advice)",IF(AND(IFERROR(VALUE(LEFT(AJ124,2)),0)&gt;=5,AH124&lt;&gt;"YES",ISNUMBER(AN124),AN124&gt;SETTINGS!$B$14),"STUCK in onboarding","")))</f>
        <v/>
      </c>
    </row>
    <row r="125">
      <c r="A125" t="n">
        <v>124</v>
      </c>
      <c r="B125" t="inlineStr">
        <is>
          <t>UPK2-FL-210</t>
        </is>
      </c>
      <c r="C125" t="inlineStr">
        <is>
          <t>Dev Ki Raha</t>
        </is>
      </c>
      <c r="D125" t="inlineStr">
        <is>
          <t>Fashion &amp; Lifestyle</t>
        </is>
      </c>
      <c r="E125" t="inlineStr">
        <is>
          <t>FL-CONTEMPORARY</t>
        </is>
      </c>
      <c r="F125" t="inlineStr">
        <is>
          <t>Delhi NCR</t>
        </is>
      </c>
      <c r="G125" t="inlineStr">
        <is>
          <t>B</t>
        </is>
      </c>
      <c r="H125" t="inlineStr">
        <is>
          <t>P0</t>
        </is>
      </c>
      <c r="I125" t="inlineStr">
        <is>
          <t>stockist-listed</t>
        </is>
      </c>
      <c r="J125" t="inlineStr">
        <is>
          <t>Personal 1:1 email from founder/team to published business email</t>
        </is>
      </c>
      <c r="K125" t="inlineStr">
        <is>
          <t>https://devkiraha.com/pages/contact</t>
        </is>
      </c>
      <c r="L125" t="inlineStr">
        <is>
          <t>W2 Expansion</t>
        </is>
      </c>
      <c r="M125" t="inlineStr"/>
      <c r="N125" t="inlineStr"/>
      <c r="O125" s="10" t="inlineStr"/>
      <c r="P125" s="10" t="inlineStr"/>
      <c r="Q125" s="10" t="inlineStr"/>
      <c r="R125" s="10" t="inlineStr"/>
      <c r="S125" t="inlineStr"/>
      <c r="T125" s="10" t="inlineStr"/>
      <c r="U125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t="inlineStr"/>
      <c r="AC125" s="10" t="inlineStr"/>
      <c r="AD125" t="inlineStr"/>
      <c r="AE125" t="inlineStr"/>
      <c r="AF125" s="10" t="inlineStr"/>
      <c r="AG125" t="inlineStr"/>
      <c r="AH125">
        <f>IF(AND(B125="",C125=""),"",IF(AND(X125&lt;&gt;"",Y125&lt;&gt;"",Z125&lt;&gt;"",AA125&lt;&gt;"",AB125="Y"),"YES","no"))</f>
        <v/>
      </c>
      <c r="AI125" s="10">
        <f>IF(AH125="YES",MAX(X125,Y125,Z125,AA125),"")</f>
        <v/>
      </c>
      <c r="AJ125">
        <f>IF(AND(B125="",C125=""),"",IF(OR(S125="Not interested",S125="Opt-out / do not contact"),"X Declined / suppressed",IF(S125="Bounced / undeliverable","X Bounced — research",IF(AC125&lt;&gt;"","13 Transacting",IF(AH125="YES","12 ACTIVATED",IF(Z125&lt;&gt;"","11 Listing live",IF(Y125&lt;&gt;"","10 Profile complete",IF(X125&lt;&gt;"","9 Approved",IF(W125&lt;&gt;"","8 KYC submitted",IF(V125&lt;&gt;"","7 Registered",IF(T125&lt;&gt;"","5 Interested",IF(R125&lt;&gt;"","4 Responded",IF(O125&lt;&gt;"","2 Contacted","1 Not yet contacted")))))))))))))</f>
        <v/>
      </c>
      <c r="AK125" s="10">
        <f>IF(AF125&lt;&gt;"",AF125,IF(OR(O125="",R125&lt;&gt;"",LEFT(AJ125,1)="X"),"",IF(Q125&lt;&gt;"","",IF(P125&lt;&gt;"",P125+SETTINGS!$B$4,O125+SETTINGS!$B$3))))</f>
        <v/>
      </c>
      <c r="AL125">
        <f>IF(AJ125="","",IF(LEFT(AJ125,1)="X","None — do not contact",IF(AJ125="1 Not yet contacted","Verify route today, then send M1",IF(AND(R125="",Q125&lt;&gt;""),"Sequence complete — no contact before "&amp;TEXT(Q125+SETTINGS!$B$5,"yyyy-mm-dd"),IF(AND(R125="",P125&lt;&gt;""),"Send final note (M4)",IF(R125="","Send follow-up (M2)",IF(AJ125="12 ACTIVATED","7-day check-in; consent &amp; referral soft ask",IF(AJ125="13 Transacting","Repeat-activity support","Onboarding: move to next stage (see playbook §6)"))))))))</f>
        <v/>
      </c>
      <c r="AM125">
        <f>IF(ISNUMBER(AK125),IF(AK125&lt;=TODAY(),"DUE",""),"")</f>
        <v/>
      </c>
      <c r="AN125">
        <f>IF(COUNT(O125,P125,Q125,R125,T125,V125,W125,X125,Y125,Z125,AA125,AC125)=0,"",TODAY()-MAX(O125,P125,Q125,R125,T125,V125,W125,X125,Y125,Z125,AA125,AC125))</f>
        <v/>
      </c>
      <c r="AO125">
        <f>IF(AJ125="","",IF(AND(T125&lt;&gt;"",U125&lt;&gt;"Active (verified)"),"GST: escalate (no tax advice)",IF(AND(IFERROR(VALUE(LEFT(AJ125,2)),0)&gt;=5,AH125&lt;&gt;"YES",ISNUMBER(AN125),AN125&gt;SETTINGS!$B$14),"STUCK in onboarding","")))</f>
        <v/>
      </c>
    </row>
    <row r="126">
      <c r="A126" t="n">
        <v>125</v>
      </c>
      <c r="B126" t="inlineStr">
        <is>
          <t>UPK2-FL-211</t>
        </is>
      </c>
      <c r="C126" t="inlineStr">
        <is>
          <t>Ekavira</t>
        </is>
      </c>
      <c r="D126" t="inlineStr">
        <is>
          <t>Fashion &amp; Lifestyle</t>
        </is>
      </c>
      <c r="E126" t="inlineStr">
        <is>
          <t>FL-CONTEMPORARY</t>
        </is>
      </c>
      <c r="F126" t="inlineStr">
        <is>
          <t>Delhi NCR</t>
        </is>
      </c>
      <c r="G126" t="inlineStr">
        <is>
          <t>B</t>
        </is>
      </c>
      <c r="H126" t="inlineStr">
        <is>
          <t>P0</t>
        </is>
      </c>
      <c r="I126" t="inlineStr">
        <is>
          <t>stockist-listed</t>
        </is>
      </c>
      <c r="J126" t="inlineStr">
        <is>
          <t>Personal 1:1 email from founder/team to published business email</t>
        </is>
      </c>
      <c r="K126" t="inlineStr">
        <is>
          <t>https://ekavira.com/pages/contact</t>
        </is>
      </c>
      <c r="L126" t="inlineStr">
        <is>
          <t>W2 Expansion</t>
        </is>
      </c>
      <c r="M126" t="inlineStr"/>
      <c r="N126" t="inlineStr"/>
      <c r="O126" s="10" t="inlineStr"/>
      <c r="P126" s="10" t="inlineStr"/>
      <c r="Q126" s="10" t="inlineStr"/>
      <c r="R126" s="10" t="inlineStr"/>
      <c r="S126" t="inlineStr"/>
      <c r="T126" s="10" t="inlineStr"/>
      <c r="U126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t="inlineStr"/>
      <c r="AC126" s="10" t="inlineStr"/>
      <c r="AD126" t="inlineStr"/>
      <c r="AE126" t="inlineStr"/>
      <c r="AF126" s="10" t="inlineStr"/>
      <c r="AG126" t="inlineStr"/>
      <c r="AH126">
        <f>IF(AND(B126="",C126=""),"",IF(AND(X126&lt;&gt;"",Y126&lt;&gt;"",Z126&lt;&gt;"",AA126&lt;&gt;"",AB126="Y"),"YES","no"))</f>
        <v/>
      </c>
      <c r="AI126" s="10">
        <f>IF(AH126="YES",MAX(X126,Y126,Z126,AA126),"")</f>
        <v/>
      </c>
      <c r="AJ126">
        <f>IF(AND(B126="",C126=""),"",IF(OR(S126="Not interested",S126="Opt-out / do not contact"),"X Declined / suppressed",IF(S126="Bounced / undeliverable","X Bounced — research",IF(AC126&lt;&gt;"","13 Transacting",IF(AH126="YES","12 ACTIVATED",IF(Z126&lt;&gt;"","11 Listing live",IF(Y126&lt;&gt;"","10 Profile complete",IF(X126&lt;&gt;"","9 Approved",IF(W126&lt;&gt;"","8 KYC submitted",IF(V126&lt;&gt;"","7 Registered",IF(T126&lt;&gt;"","5 Interested",IF(R126&lt;&gt;"","4 Responded",IF(O126&lt;&gt;"","2 Contacted","1 Not yet contacted")))))))))))))</f>
        <v/>
      </c>
      <c r="AK126" s="10">
        <f>IF(AF126&lt;&gt;"",AF126,IF(OR(O126="",R126&lt;&gt;"",LEFT(AJ126,1)="X"),"",IF(Q126&lt;&gt;"","",IF(P126&lt;&gt;"",P126+SETTINGS!$B$4,O126+SETTINGS!$B$3))))</f>
        <v/>
      </c>
      <c r="AL126">
        <f>IF(AJ126="","",IF(LEFT(AJ126,1)="X","None — do not contact",IF(AJ126="1 Not yet contacted","Verify route today, then send M1",IF(AND(R126="",Q126&lt;&gt;""),"Sequence complete — no contact before "&amp;TEXT(Q126+SETTINGS!$B$5,"yyyy-mm-dd"),IF(AND(R126="",P126&lt;&gt;""),"Send final note (M4)",IF(R126="","Send follow-up (M2)",IF(AJ126="12 ACTIVATED","7-day check-in; consent &amp; referral soft ask",IF(AJ126="13 Transacting","Repeat-activity support","Onboarding: move to next stage (see playbook §6)"))))))))</f>
        <v/>
      </c>
      <c r="AM126">
        <f>IF(ISNUMBER(AK126),IF(AK126&lt;=TODAY(),"DUE",""),"")</f>
        <v/>
      </c>
      <c r="AN126">
        <f>IF(COUNT(O126,P126,Q126,R126,T126,V126,W126,X126,Y126,Z126,AA126,AC126)=0,"",TODAY()-MAX(O126,P126,Q126,R126,T126,V126,W126,X126,Y126,Z126,AA126,AC126))</f>
        <v/>
      </c>
      <c r="AO126">
        <f>IF(AJ126="","",IF(AND(T126&lt;&gt;"",U126&lt;&gt;"Active (verified)"),"GST: escalate (no tax advice)",IF(AND(IFERROR(VALUE(LEFT(AJ126,2)),0)&gt;=5,AH126&lt;&gt;"YES",ISNUMBER(AN126),AN126&gt;SETTINGS!$B$14),"STUCK in onboarding","")))</f>
        <v/>
      </c>
    </row>
    <row r="127">
      <c r="A127" t="n">
        <v>126</v>
      </c>
      <c r="B127" t="inlineStr">
        <is>
          <t>UPK2-FL-362</t>
        </is>
      </c>
      <c r="C127" t="inlineStr">
        <is>
          <t>Surbhi Shah</t>
        </is>
      </c>
      <c r="D127" t="inlineStr">
        <is>
          <t>Fashion &amp; Lifestyle</t>
        </is>
      </c>
      <c r="E127" t="inlineStr">
        <is>
          <t>FL-OCCASION-BRIDAL</t>
        </is>
      </c>
      <c r="F127" t="inlineStr">
        <is>
          <t>Jaipur</t>
        </is>
      </c>
      <c r="G127" t="inlineStr">
        <is>
          <t>B</t>
        </is>
      </c>
      <c r="H127" t="inlineStr">
        <is>
          <t>P0</t>
        </is>
      </c>
      <c r="I127" t="inlineStr">
        <is>
          <t>stockist-listed</t>
        </is>
      </c>
      <c r="J127" t="inlineStr">
        <is>
          <t>1:1 message via own-website contact form</t>
        </is>
      </c>
      <c r="K127" t="inlineStr">
        <is>
          <t>https://www.surbhishah.in/pages/contact</t>
        </is>
      </c>
      <c r="L127" t="inlineStr">
        <is>
          <t>W2 Expansion</t>
        </is>
      </c>
      <c r="M127" t="inlineStr"/>
      <c r="N127" t="inlineStr"/>
      <c r="O127" s="10" t="inlineStr"/>
      <c r="P127" s="10" t="inlineStr"/>
      <c r="Q127" s="10" t="inlineStr"/>
      <c r="R127" s="10" t="inlineStr"/>
      <c r="S127" t="inlineStr"/>
      <c r="T127" s="10" t="inlineStr"/>
      <c r="U127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t="inlineStr"/>
      <c r="AC127" s="10" t="inlineStr"/>
      <c r="AD127" t="inlineStr"/>
      <c r="AE127" t="inlineStr"/>
      <c r="AF127" s="10" t="inlineStr"/>
      <c r="AG127" t="inlineStr"/>
      <c r="AH127">
        <f>IF(AND(B127="",C127=""),"",IF(AND(X127&lt;&gt;"",Y127&lt;&gt;"",Z127&lt;&gt;"",AA127&lt;&gt;"",AB127="Y"),"YES","no"))</f>
        <v/>
      </c>
      <c r="AI127" s="10">
        <f>IF(AH127="YES",MAX(X127,Y127,Z127,AA127),"")</f>
        <v/>
      </c>
      <c r="AJ127">
        <f>IF(AND(B127="",C127=""),"",IF(OR(S127="Not interested",S127="Opt-out / do not contact"),"X Declined / suppressed",IF(S127="Bounced / undeliverable","X Bounced — research",IF(AC127&lt;&gt;"","13 Transacting",IF(AH127="YES","12 ACTIVATED",IF(Z127&lt;&gt;"","11 Listing live",IF(Y127&lt;&gt;"","10 Profile complete",IF(X127&lt;&gt;"","9 Approved",IF(W127&lt;&gt;"","8 KYC submitted",IF(V127&lt;&gt;"","7 Registered",IF(T127&lt;&gt;"","5 Interested",IF(R127&lt;&gt;"","4 Responded",IF(O127&lt;&gt;"","2 Contacted","1 Not yet contacted")))))))))))))</f>
        <v/>
      </c>
      <c r="AK127" s="10">
        <f>IF(AF127&lt;&gt;"",AF127,IF(OR(O127="",R127&lt;&gt;"",LEFT(AJ127,1)="X"),"",IF(Q127&lt;&gt;"","",IF(P127&lt;&gt;"",P127+SETTINGS!$B$4,O127+SETTINGS!$B$3))))</f>
        <v/>
      </c>
      <c r="AL127">
        <f>IF(AJ127="","",IF(LEFT(AJ127,1)="X","None — do not contact",IF(AJ127="1 Not yet contacted","Verify route today, then send M1",IF(AND(R127="",Q127&lt;&gt;""),"Sequence complete — no contact before "&amp;TEXT(Q127+SETTINGS!$B$5,"yyyy-mm-dd"),IF(AND(R127="",P127&lt;&gt;""),"Send final note (M4)",IF(R127="","Send follow-up (M2)",IF(AJ127="12 ACTIVATED","7-day check-in; consent &amp; referral soft ask",IF(AJ127="13 Transacting","Repeat-activity support","Onboarding: move to next stage (see playbook §6)"))))))))</f>
        <v/>
      </c>
      <c r="AM127">
        <f>IF(ISNUMBER(AK127),IF(AK127&lt;=TODAY(),"DUE",""),"")</f>
        <v/>
      </c>
      <c r="AN127">
        <f>IF(COUNT(O127,P127,Q127,R127,T127,V127,W127,X127,Y127,Z127,AA127,AC127)=0,"",TODAY()-MAX(O127,P127,Q127,R127,T127,V127,W127,X127,Y127,Z127,AA127,AC127))</f>
        <v/>
      </c>
      <c r="AO127">
        <f>IF(AJ127="","",IF(AND(T127&lt;&gt;"",U127&lt;&gt;"Active (verified)"),"GST: escalate (no tax advice)",IF(AND(IFERROR(VALUE(LEFT(AJ127,2)),0)&gt;=5,AH127&lt;&gt;"YES",ISNUMBER(AN127),AN127&gt;SETTINGS!$B$14),"STUCK in onboarding","")))</f>
        <v/>
      </c>
    </row>
    <row r="128">
      <c r="A128" t="n">
        <v>127</v>
      </c>
      <c r="B128" t="inlineStr">
        <is>
          <t>UPK2-FL-314</t>
        </is>
      </c>
      <c r="C128" t="inlineStr">
        <is>
          <t>Esha Arora</t>
        </is>
      </c>
      <c r="D128" t="inlineStr">
        <is>
          <t>Fashion &amp; Lifestyle</t>
        </is>
      </c>
      <c r="E128" t="inlineStr">
        <is>
          <t>FL-OCCASION-BRIDAL</t>
        </is>
      </c>
      <c r="F128" t="inlineStr">
        <is>
          <t>Delhi NCR</t>
        </is>
      </c>
      <c r="G128" t="inlineStr">
        <is>
          <t>B</t>
        </is>
      </c>
      <c r="H128" t="inlineStr">
        <is>
          <t>P0</t>
        </is>
      </c>
      <c r="I128" t="inlineStr">
        <is>
          <t>stockist-listed|large catalogue</t>
        </is>
      </c>
      <c r="J128" t="inlineStr">
        <is>
          <t>1:1 message via own-website contact form</t>
        </is>
      </c>
      <c r="K128" t="inlineStr">
        <is>
          <t>https://www.eshaarora.in/pages/contact-us</t>
        </is>
      </c>
      <c r="L128" t="inlineStr">
        <is>
          <t>W2 Expansion</t>
        </is>
      </c>
      <c r="M128" t="inlineStr"/>
      <c r="N128" t="inlineStr"/>
      <c r="O128" s="10" t="inlineStr"/>
      <c r="P128" s="10" t="inlineStr"/>
      <c r="Q128" s="10" t="inlineStr"/>
      <c r="R128" s="10" t="inlineStr"/>
      <c r="S128" t="inlineStr"/>
      <c r="T128" s="10" t="inlineStr"/>
      <c r="U128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t="inlineStr"/>
      <c r="AC128" s="10" t="inlineStr"/>
      <c r="AD128" t="inlineStr"/>
      <c r="AE128" t="inlineStr"/>
      <c r="AF128" s="10" t="inlineStr"/>
      <c r="AG128" t="inlineStr"/>
      <c r="AH128">
        <f>IF(AND(B128="",C128=""),"",IF(AND(X128&lt;&gt;"",Y128&lt;&gt;"",Z128&lt;&gt;"",AA128&lt;&gt;"",AB128="Y"),"YES","no"))</f>
        <v/>
      </c>
      <c r="AI128" s="10">
        <f>IF(AH128="YES",MAX(X128,Y128,Z128,AA128),"")</f>
        <v/>
      </c>
      <c r="AJ128">
        <f>IF(AND(B128="",C128=""),"",IF(OR(S128="Not interested",S128="Opt-out / do not contact"),"X Declined / suppressed",IF(S128="Bounced / undeliverable","X Bounced — research",IF(AC128&lt;&gt;"","13 Transacting",IF(AH128="YES","12 ACTIVATED",IF(Z128&lt;&gt;"","11 Listing live",IF(Y128&lt;&gt;"","10 Profile complete",IF(X128&lt;&gt;"","9 Approved",IF(W128&lt;&gt;"","8 KYC submitted",IF(V128&lt;&gt;"","7 Registered",IF(T128&lt;&gt;"","5 Interested",IF(R128&lt;&gt;"","4 Responded",IF(O128&lt;&gt;"","2 Contacted","1 Not yet contacted")))))))))))))</f>
        <v/>
      </c>
      <c r="AK128" s="10">
        <f>IF(AF128&lt;&gt;"",AF128,IF(OR(O128="",R128&lt;&gt;"",LEFT(AJ128,1)="X"),"",IF(Q128&lt;&gt;"","",IF(P128&lt;&gt;"",P128+SETTINGS!$B$4,O128+SETTINGS!$B$3))))</f>
        <v/>
      </c>
      <c r="AL128">
        <f>IF(AJ128="","",IF(LEFT(AJ128,1)="X","None — do not contact",IF(AJ128="1 Not yet contacted","Verify route today, then send M1",IF(AND(R128="",Q128&lt;&gt;""),"Sequence complete — no contact before "&amp;TEXT(Q128+SETTINGS!$B$5,"yyyy-mm-dd"),IF(AND(R128="",P128&lt;&gt;""),"Send final note (M4)",IF(R128="","Send follow-up (M2)",IF(AJ128="12 ACTIVATED","7-day check-in; consent &amp; referral soft ask",IF(AJ128="13 Transacting","Repeat-activity support","Onboarding: move to next stage (see playbook §6)"))))))))</f>
        <v/>
      </c>
      <c r="AM128">
        <f>IF(ISNUMBER(AK128),IF(AK128&lt;=TODAY(),"DUE",""),"")</f>
        <v/>
      </c>
      <c r="AN128">
        <f>IF(COUNT(O128,P128,Q128,R128,T128,V128,W128,X128,Y128,Z128,AA128,AC128)=0,"",TODAY()-MAX(O128,P128,Q128,R128,T128,V128,W128,X128,Y128,Z128,AA128,AC128))</f>
        <v/>
      </c>
      <c r="AO128">
        <f>IF(AJ128="","",IF(AND(T128&lt;&gt;"",U128&lt;&gt;"Active (verified)"),"GST: escalate (no tax advice)",IF(AND(IFERROR(VALUE(LEFT(AJ128,2)),0)&gt;=5,AH128&lt;&gt;"YES",ISNUMBER(AN128),AN128&gt;SETTINGS!$B$14),"STUCK in onboarding","")))</f>
        <v/>
      </c>
    </row>
    <row r="129">
      <c r="A129" t="n">
        <v>128</v>
      </c>
      <c r="B129" t="inlineStr">
        <is>
          <t>UPK2-FL-177</t>
        </is>
      </c>
      <c r="C129" t="inlineStr">
        <is>
          <t>Sana Barreja</t>
        </is>
      </c>
      <c r="D129" t="inlineStr">
        <is>
          <t>Fashion &amp; Lifestyle</t>
        </is>
      </c>
      <c r="E129" t="inlineStr">
        <is>
          <t>FL-OCCASION-BRIDAL</t>
        </is>
      </c>
      <c r="F129" t="inlineStr">
        <is>
          <t>Delhi NCR</t>
        </is>
      </c>
      <c r="G129" t="inlineStr">
        <is>
          <t>B</t>
        </is>
      </c>
      <c r="H129" t="inlineStr">
        <is>
          <t>P1</t>
        </is>
      </c>
      <c r="I129" t="inlineStr">
        <is>
          <t>stockist-listed|large catalogue</t>
        </is>
      </c>
      <c r="J129" t="inlineStr">
        <is>
          <t>Personal 1:1 email from founder/team to published business email</t>
        </is>
      </c>
      <c r="K129" t="inlineStr">
        <is>
          <t>https://sanabarreja.com/pages/book-an-appointment</t>
        </is>
      </c>
      <c r="L129" t="inlineStr">
        <is>
          <t>W2 Expansion</t>
        </is>
      </c>
      <c r="M129" t="inlineStr"/>
      <c r="N129" t="inlineStr"/>
      <c r="O129" s="10" t="inlineStr"/>
      <c r="P129" s="10" t="inlineStr"/>
      <c r="Q129" s="10" t="inlineStr"/>
      <c r="R129" s="10" t="inlineStr"/>
      <c r="S129" t="inlineStr"/>
      <c r="T129" s="10" t="inlineStr"/>
      <c r="U129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t="inlineStr"/>
      <c r="AC129" s="10" t="inlineStr"/>
      <c r="AD129" t="inlineStr"/>
      <c r="AE129" t="inlineStr"/>
      <c r="AF129" s="10" t="inlineStr"/>
      <c r="AG129" t="inlineStr"/>
      <c r="AH129">
        <f>IF(AND(B129="",C129=""),"",IF(AND(X129&lt;&gt;"",Y129&lt;&gt;"",Z129&lt;&gt;"",AA129&lt;&gt;"",AB129="Y"),"YES","no"))</f>
        <v/>
      </c>
      <c r="AI129" s="10">
        <f>IF(AH129="YES",MAX(X129,Y129,Z129,AA129),"")</f>
        <v/>
      </c>
      <c r="AJ129">
        <f>IF(AND(B129="",C129=""),"",IF(OR(S129="Not interested",S129="Opt-out / do not contact"),"X Declined / suppressed",IF(S129="Bounced / undeliverable","X Bounced — research",IF(AC129&lt;&gt;"","13 Transacting",IF(AH129="YES","12 ACTIVATED",IF(Z129&lt;&gt;"","11 Listing live",IF(Y129&lt;&gt;"","10 Profile complete",IF(X129&lt;&gt;"","9 Approved",IF(W129&lt;&gt;"","8 KYC submitted",IF(V129&lt;&gt;"","7 Registered",IF(T129&lt;&gt;"","5 Interested",IF(R129&lt;&gt;"","4 Responded",IF(O129&lt;&gt;"","2 Contacted","1 Not yet contacted")))))))))))))</f>
        <v/>
      </c>
      <c r="AK129" s="10">
        <f>IF(AF129&lt;&gt;"",AF129,IF(OR(O129="",R129&lt;&gt;"",LEFT(AJ129,1)="X"),"",IF(Q129&lt;&gt;"","",IF(P129&lt;&gt;"",P129+SETTINGS!$B$4,O129+SETTINGS!$B$3))))</f>
        <v/>
      </c>
      <c r="AL129">
        <f>IF(AJ129="","",IF(LEFT(AJ129,1)="X","None — do not contact",IF(AJ129="1 Not yet contacted","Verify route today, then send M1",IF(AND(R129="",Q129&lt;&gt;""),"Sequence complete — no contact before "&amp;TEXT(Q129+SETTINGS!$B$5,"yyyy-mm-dd"),IF(AND(R129="",P129&lt;&gt;""),"Send final note (M4)",IF(R129="","Send follow-up (M2)",IF(AJ129="12 ACTIVATED","7-day check-in; consent &amp; referral soft ask",IF(AJ129="13 Transacting","Repeat-activity support","Onboarding: move to next stage (see playbook §6)"))))))))</f>
        <v/>
      </c>
      <c r="AM129">
        <f>IF(ISNUMBER(AK129),IF(AK129&lt;=TODAY(),"DUE",""),"")</f>
        <v/>
      </c>
      <c r="AN129">
        <f>IF(COUNT(O129,P129,Q129,R129,T129,V129,W129,X129,Y129,Z129,AA129,AC129)=0,"",TODAY()-MAX(O129,P129,Q129,R129,T129,V129,W129,X129,Y129,Z129,AA129,AC129))</f>
        <v/>
      </c>
      <c r="AO129">
        <f>IF(AJ129="","",IF(AND(T129&lt;&gt;"",U129&lt;&gt;"Active (verified)"),"GST: escalate (no tax advice)",IF(AND(IFERROR(VALUE(LEFT(AJ129,2)),0)&gt;=5,AH129&lt;&gt;"YES",ISNUMBER(AN129),AN129&gt;SETTINGS!$B$14),"STUCK in onboarding","")))</f>
        <v/>
      </c>
    </row>
    <row r="130">
      <c r="A130" t="n">
        <v>129</v>
      </c>
      <c r="B130" t="inlineStr">
        <is>
          <t>UPK2-FL-230</t>
        </is>
      </c>
      <c r="C130" t="inlineStr">
        <is>
          <t>Mityan</t>
        </is>
      </c>
      <c r="D130" t="inlineStr">
        <is>
          <t>Fashion &amp; Lifestyle</t>
        </is>
      </c>
      <c r="E130" t="inlineStr">
        <is>
          <t>FL-OCCASION-BRIDAL</t>
        </is>
      </c>
      <c r="F130" t="inlineStr">
        <is>
          <t>Delhi NCR</t>
        </is>
      </c>
      <c r="G130" t="inlineStr">
        <is>
          <t>B</t>
        </is>
      </c>
      <c r="H130" t="inlineStr">
        <is>
          <t>P0</t>
        </is>
      </c>
      <c r="I130" t="inlineStr">
        <is>
          <t>stockist-listed</t>
        </is>
      </c>
      <c r="J130" t="inlineStr">
        <is>
          <t>Personal 1:1 email from founder/team to published business email</t>
        </is>
      </c>
      <c r="K130" t="inlineStr">
        <is>
          <t>https://mityan.in/pages/contact</t>
        </is>
      </c>
      <c r="L130" t="inlineStr">
        <is>
          <t>W2 Expansion</t>
        </is>
      </c>
      <c r="M130" t="inlineStr"/>
      <c r="N130" t="inlineStr"/>
      <c r="O130" s="10" t="inlineStr"/>
      <c r="P130" s="10" t="inlineStr"/>
      <c r="Q130" s="10" t="inlineStr"/>
      <c r="R130" s="10" t="inlineStr"/>
      <c r="S130" t="inlineStr"/>
      <c r="T130" s="10" t="inlineStr"/>
      <c r="U13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t="inlineStr"/>
      <c r="AC130" s="10" t="inlineStr"/>
      <c r="AD130" t="inlineStr"/>
      <c r="AE130" t="inlineStr"/>
      <c r="AF130" s="10" t="inlineStr"/>
      <c r="AG130" t="inlineStr"/>
      <c r="AH130">
        <f>IF(AND(B130="",C130=""),"",IF(AND(X130&lt;&gt;"",Y130&lt;&gt;"",Z130&lt;&gt;"",AA130&lt;&gt;"",AB130="Y"),"YES","no"))</f>
        <v/>
      </c>
      <c r="AI130" s="10">
        <f>IF(AH130="YES",MAX(X130,Y130,Z130,AA130),"")</f>
        <v/>
      </c>
      <c r="AJ130">
        <f>IF(AND(B130="",C130=""),"",IF(OR(S130="Not interested",S130="Opt-out / do not contact"),"X Declined / suppressed",IF(S130="Bounced / undeliverable","X Bounced — research",IF(AC130&lt;&gt;"","13 Transacting",IF(AH130="YES","12 ACTIVATED",IF(Z130&lt;&gt;"","11 Listing live",IF(Y130&lt;&gt;"","10 Profile complete",IF(X130&lt;&gt;"","9 Approved",IF(W130&lt;&gt;"","8 KYC submitted",IF(V130&lt;&gt;"","7 Registered",IF(T130&lt;&gt;"","5 Interested",IF(R130&lt;&gt;"","4 Responded",IF(O130&lt;&gt;"","2 Contacted","1 Not yet contacted")))))))))))))</f>
        <v/>
      </c>
      <c r="AK130" s="10">
        <f>IF(AF130&lt;&gt;"",AF130,IF(OR(O130="",R130&lt;&gt;"",LEFT(AJ130,1)="X"),"",IF(Q130&lt;&gt;"","",IF(P130&lt;&gt;"",P130+SETTINGS!$B$4,O130+SETTINGS!$B$3))))</f>
        <v/>
      </c>
      <c r="AL130">
        <f>IF(AJ130="","",IF(LEFT(AJ130,1)="X","None — do not contact",IF(AJ130="1 Not yet contacted","Verify route today, then send M1",IF(AND(R130="",Q130&lt;&gt;""),"Sequence complete — no contact before "&amp;TEXT(Q130+SETTINGS!$B$5,"yyyy-mm-dd"),IF(AND(R130="",P130&lt;&gt;""),"Send final note (M4)",IF(R130="","Send follow-up (M2)",IF(AJ130="12 ACTIVATED","7-day check-in; consent &amp; referral soft ask",IF(AJ130="13 Transacting","Repeat-activity support","Onboarding: move to next stage (see playbook §6)"))))))))</f>
        <v/>
      </c>
      <c r="AM130">
        <f>IF(ISNUMBER(AK130),IF(AK130&lt;=TODAY(),"DUE",""),"")</f>
        <v/>
      </c>
      <c r="AN130">
        <f>IF(COUNT(O130,P130,Q130,R130,T130,V130,W130,X130,Y130,Z130,AA130,AC130)=0,"",TODAY()-MAX(O130,P130,Q130,R130,T130,V130,W130,X130,Y130,Z130,AA130,AC130))</f>
        <v/>
      </c>
      <c r="AO130">
        <f>IF(AJ130="","",IF(AND(T130&lt;&gt;"",U130&lt;&gt;"Active (verified)"),"GST: escalate (no tax advice)",IF(AND(IFERROR(VALUE(LEFT(AJ130,2)),0)&gt;=5,AH130&lt;&gt;"YES",ISNUMBER(AN130),AN130&gt;SETTINGS!$B$14),"STUCK in onboarding","")))</f>
        <v/>
      </c>
    </row>
    <row r="131">
      <c r="A131" t="n">
        <v>130</v>
      </c>
      <c r="B131" t="inlineStr">
        <is>
          <t>UPK2-FL-260</t>
        </is>
      </c>
      <c r="C131" t="inlineStr">
        <is>
          <t>Isha Regalia</t>
        </is>
      </c>
      <c r="D131" t="inlineStr">
        <is>
          <t>Fashion &amp; Lifestyle</t>
        </is>
      </c>
      <c r="E131" t="inlineStr">
        <is>
          <t>FL-OCCASION-BRIDAL</t>
        </is>
      </c>
      <c r="F131" t="inlineStr">
        <is>
          <t>Delhi NCR</t>
        </is>
      </c>
      <c r="G131" t="inlineStr">
        <is>
          <t>B</t>
        </is>
      </c>
      <c r="H131" t="inlineStr">
        <is>
          <t>P0</t>
        </is>
      </c>
      <c r="I131" t="inlineStr">
        <is>
          <t>stockist-listed</t>
        </is>
      </c>
      <c r="J131" t="inlineStr">
        <is>
          <t>Personal 1:1 email from founder/team to published business email</t>
        </is>
      </c>
      <c r="K131" t="inlineStr">
        <is>
          <t>https://isharegalia.com/pages/contact</t>
        </is>
      </c>
      <c r="L131" t="inlineStr">
        <is>
          <t>W2 Expansion</t>
        </is>
      </c>
      <c r="M131" t="inlineStr"/>
      <c r="N131" t="inlineStr"/>
      <c r="O131" s="10" t="inlineStr"/>
      <c r="P131" s="10" t="inlineStr"/>
      <c r="Q131" s="10" t="inlineStr"/>
      <c r="R131" s="10" t="inlineStr"/>
      <c r="S131" t="inlineStr"/>
      <c r="T131" s="10" t="inlineStr"/>
      <c r="U131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t="inlineStr"/>
      <c r="AC131" s="10" t="inlineStr"/>
      <c r="AD131" t="inlineStr"/>
      <c r="AE131" t="inlineStr"/>
      <c r="AF131" s="10" t="inlineStr"/>
      <c r="AG131" t="inlineStr"/>
      <c r="AH131">
        <f>IF(AND(B131="",C131=""),"",IF(AND(X131&lt;&gt;"",Y131&lt;&gt;"",Z131&lt;&gt;"",AA131&lt;&gt;"",AB131="Y"),"YES","no"))</f>
        <v/>
      </c>
      <c r="AI131" s="10">
        <f>IF(AH131="YES",MAX(X131,Y131,Z131,AA131),"")</f>
        <v/>
      </c>
      <c r="AJ131">
        <f>IF(AND(B131="",C131=""),"",IF(OR(S131="Not interested",S131="Opt-out / do not contact"),"X Declined / suppressed",IF(S131="Bounced / undeliverable","X Bounced — research",IF(AC131&lt;&gt;"","13 Transacting",IF(AH131="YES","12 ACTIVATED",IF(Z131&lt;&gt;"","11 Listing live",IF(Y131&lt;&gt;"","10 Profile complete",IF(X131&lt;&gt;"","9 Approved",IF(W131&lt;&gt;"","8 KYC submitted",IF(V131&lt;&gt;"","7 Registered",IF(T131&lt;&gt;"","5 Interested",IF(R131&lt;&gt;"","4 Responded",IF(O131&lt;&gt;"","2 Contacted","1 Not yet contacted")))))))))))))</f>
        <v/>
      </c>
      <c r="AK131" s="10">
        <f>IF(AF131&lt;&gt;"",AF131,IF(OR(O131="",R131&lt;&gt;"",LEFT(AJ131,1)="X"),"",IF(Q131&lt;&gt;"","",IF(P131&lt;&gt;"",P131+SETTINGS!$B$4,O131+SETTINGS!$B$3))))</f>
        <v/>
      </c>
      <c r="AL131">
        <f>IF(AJ131="","",IF(LEFT(AJ131,1)="X","None — do not contact",IF(AJ131="1 Not yet contacted","Verify route today, then send M1",IF(AND(R131="",Q131&lt;&gt;""),"Sequence complete — no contact before "&amp;TEXT(Q131+SETTINGS!$B$5,"yyyy-mm-dd"),IF(AND(R131="",P131&lt;&gt;""),"Send final note (M4)",IF(R131="","Send follow-up (M2)",IF(AJ131="12 ACTIVATED","7-day check-in; consent &amp; referral soft ask",IF(AJ131="13 Transacting","Repeat-activity support","Onboarding: move to next stage (see playbook §6)"))))))))</f>
        <v/>
      </c>
      <c r="AM131">
        <f>IF(ISNUMBER(AK131),IF(AK131&lt;=TODAY(),"DUE",""),"")</f>
        <v/>
      </c>
      <c r="AN131">
        <f>IF(COUNT(O131,P131,Q131,R131,T131,V131,W131,X131,Y131,Z131,AA131,AC131)=0,"",TODAY()-MAX(O131,P131,Q131,R131,T131,V131,W131,X131,Y131,Z131,AA131,AC131))</f>
        <v/>
      </c>
      <c r="AO131">
        <f>IF(AJ131="","",IF(AND(T131&lt;&gt;"",U131&lt;&gt;"Active (verified)"),"GST: escalate (no tax advice)",IF(AND(IFERROR(VALUE(LEFT(AJ131,2)),0)&gt;=5,AH131&lt;&gt;"YES",ISNUMBER(AN131),AN131&gt;SETTINGS!$B$14),"STUCK in onboarding","")))</f>
        <v/>
      </c>
    </row>
    <row r="132">
      <c r="A132" t="n">
        <v>131</v>
      </c>
      <c r="B132" t="inlineStr">
        <is>
          <t>UPK2-FL-241</t>
        </is>
      </c>
      <c r="C132" t="inlineStr">
        <is>
          <t>Priyaa Label</t>
        </is>
      </c>
      <c r="D132" t="inlineStr">
        <is>
          <t>Fashion &amp; Lifestyle</t>
        </is>
      </c>
      <c r="E132" t="inlineStr">
        <is>
          <t>FL-OCCASION-BRIDAL</t>
        </is>
      </c>
      <c r="F132" t="inlineStr">
        <is>
          <t>Mumbai</t>
        </is>
      </c>
      <c r="G132" t="inlineStr">
        <is>
          <t>B</t>
        </is>
      </c>
      <c r="H132" t="inlineStr">
        <is>
          <t>P0</t>
        </is>
      </c>
      <c r="I132" t="inlineStr">
        <is>
          <t>stockist-listed</t>
        </is>
      </c>
      <c r="J132" t="inlineStr">
        <is>
          <t>Personal 1:1 email from founder/team to published business email</t>
        </is>
      </c>
      <c r="K132" t="inlineStr">
        <is>
          <t>https://www.priyaalabel.com/</t>
        </is>
      </c>
      <c r="L132" t="inlineStr">
        <is>
          <t>W2 Expansion</t>
        </is>
      </c>
      <c r="M132" t="inlineStr"/>
      <c r="N132" t="inlineStr"/>
      <c r="O132" s="10" t="inlineStr"/>
      <c r="P132" s="10" t="inlineStr"/>
      <c r="Q132" s="10" t="inlineStr"/>
      <c r="R132" s="10" t="inlineStr"/>
      <c r="S132" t="inlineStr"/>
      <c r="T132" s="10" t="inlineStr"/>
      <c r="U132" t="inlineStr"/>
      <c r="V132" s="10" t="inlineStr"/>
      <c r="W132" s="10" t="inlineStr"/>
      <c r="X132" s="10" t="inlineStr"/>
      <c r="Y132" s="10" t="inlineStr"/>
      <c r="Z132" s="10" t="inlineStr"/>
      <c r="AA132" s="10" t="inlineStr"/>
      <c r="AB132" t="inlineStr"/>
      <c r="AC132" s="10" t="inlineStr"/>
      <c r="AD132" t="inlineStr"/>
      <c r="AE132" t="inlineStr"/>
      <c r="AF132" s="10" t="inlineStr"/>
      <c r="AG132" t="inlineStr"/>
      <c r="AH132">
        <f>IF(AND(B132="",C132=""),"",IF(AND(X132&lt;&gt;"",Y132&lt;&gt;"",Z132&lt;&gt;"",AA132&lt;&gt;"",AB132="Y"),"YES","no"))</f>
        <v/>
      </c>
      <c r="AI132" s="10">
        <f>IF(AH132="YES",MAX(X132,Y132,Z132,AA132),"")</f>
        <v/>
      </c>
      <c r="AJ132">
        <f>IF(AND(B132="",C132=""),"",IF(OR(S132="Not interested",S132="Opt-out / do not contact"),"X Declined / suppressed",IF(S132="Bounced / undeliverable","X Bounced — research",IF(AC132&lt;&gt;"","13 Transacting",IF(AH132="YES","12 ACTIVATED",IF(Z132&lt;&gt;"","11 Listing live",IF(Y132&lt;&gt;"","10 Profile complete",IF(X132&lt;&gt;"","9 Approved",IF(W132&lt;&gt;"","8 KYC submitted",IF(V132&lt;&gt;"","7 Registered",IF(T132&lt;&gt;"","5 Interested",IF(R132&lt;&gt;"","4 Responded",IF(O132&lt;&gt;"","2 Contacted","1 Not yet contacted")))))))))))))</f>
        <v/>
      </c>
      <c r="AK132" s="10">
        <f>IF(AF132&lt;&gt;"",AF132,IF(OR(O132="",R132&lt;&gt;"",LEFT(AJ132,1)="X"),"",IF(Q132&lt;&gt;"","",IF(P132&lt;&gt;"",P132+SETTINGS!$B$4,O132+SETTINGS!$B$3))))</f>
        <v/>
      </c>
      <c r="AL132">
        <f>IF(AJ132="","",IF(LEFT(AJ132,1)="X","None — do not contact",IF(AJ132="1 Not yet contacted","Verify route today, then send M1",IF(AND(R132="",Q132&lt;&gt;""),"Sequence complete — no contact before "&amp;TEXT(Q132+SETTINGS!$B$5,"yyyy-mm-dd"),IF(AND(R132="",P132&lt;&gt;""),"Send final note (M4)",IF(R132="","Send follow-up (M2)",IF(AJ132="12 ACTIVATED","7-day check-in; consent &amp; referral soft ask",IF(AJ132="13 Transacting","Repeat-activity support","Onboarding: move to next stage (see playbook §6)"))))))))</f>
        <v/>
      </c>
      <c r="AM132">
        <f>IF(ISNUMBER(AK132),IF(AK132&lt;=TODAY(),"DUE",""),"")</f>
        <v/>
      </c>
      <c r="AN132">
        <f>IF(COUNT(O132,P132,Q132,R132,T132,V132,W132,X132,Y132,Z132,AA132,AC132)=0,"",TODAY()-MAX(O132,P132,Q132,R132,T132,V132,W132,X132,Y132,Z132,AA132,AC132))</f>
        <v/>
      </c>
      <c r="AO132">
        <f>IF(AJ132="","",IF(AND(T132&lt;&gt;"",U132&lt;&gt;"Active (verified)"),"GST: escalate (no tax advice)",IF(AND(IFERROR(VALUE(LEFT(AJ132,2)),0)&gt;=5,AH132&lt;&gt;"YES",ISNUMBER(AN132),AN132&gt;SETTINGS!$B$14),"STUCK in onboarding","")))</f>
        <v/>
      </c>
    </row>
    <row r="133">
      <c r="A133" t="n">
        <v>132</v>
      </c>
      <c r="B133" t="inlineStr">
        <is>
          <t>UPK2-FL-266</t>
        </is>
      </c>
      <c r="C133" t="inlineStr">
        <is>
          <t>Umbar</t>
        </is>
      </c>
      <c r="D133" t="inlineStr">
        <is>
          <t>Fashion &amp; Lifestyle</t>
        </is>
      </c>
      <c r="E133" t="inlineStr">
        <is>
          <t>FL-CONTEMPORARY</t>
        </is>
      </c>
      <c r="F133" t="inlineStr">
        <is>
          <t>Delhi NCR</t>
        </is>
      </c>
      <c r="G133" t="inlineStr">
        <is>
          <t>B</t>
        </is>
      </c>
      <c r="H133" t="inlineStr">
        <is>
          <t>P0</t>
        </is>
      </c>
      <c r="I133" t="inlineStr">
        <is>
          <t>stockist-listed</t>
        </is>
      </c>
      <c r="J133" t="inlineStr">
        <is>
          <t>Personal 1:1 email from founder/team to published business email</t>
        </is>
      </c>
      <c r="K133" t="inlineStr">
        <is>
          <t>https://www.umbar.com/pages/contact</t>
        </is>
      </c>
      <c r="L133" t="inlineStr">
        <is>
          <t>W2 Expansion</t>
        </is>
      </c>
      <c r="M133" t="inlineStr"/>
      <c r="N133" t="inlineStr"/>
      <c r="O133" s="10" t="inlineStr"/>
      <c r="P133" s="10" t="inlineStr"/>
      <c r="Q133" s="10" t="inlineStr"/>
      <c r="R133" s="10" t="inlineStr"/>
      <c r="S133" t="inlineStr"/>
      <c r="T133" s="10" t="inlineStr"/>
      <c r="U133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t="inlineStr"/>
      <c r="AC133" s="10" t="inlineStr"/>
      <c r="AD133" t="inlineStr"/>
      <c r="AE133" t="inlineStr"/>
      <c r="AF133" s="10" t="inlineStr"/>
      <c r="AG133" t="inlineStr"/>
      <c r="AH133">
        <f>IF(AND(B133="",C133=""),"",IF(AND(X133&lt;&gt;"",Y133&lt;&gt;"",Z133&lt;&gt;"",AA133&lt;&gt;"",AB133="Y"),"YES","no"))</f>
        <v/>
      </c>
      <c r="AI133" s="10">
        <f>IF(AH133="YES",MAX(X133,Y133,Z133,AA133),"")</f>
        <v/>
      </c>
      <c r="AJ133">
        <f>IF(AND(B133="",C133=""),"",IF(OR(S133="Not interested",S133="Opt-out / do not contact"),"X Declined / suppressed",IF(S133="Bounced / undeliverable","X Bounced — research",IF(AC133&lt;&gt;"","13 Transacting",IF(AH133="YES","12 ACTIVATED",IF(Z133&lt;&gt;"","11 Listing live",IF(Y133&lt;&gt;"","10 Profile complete",IF(X133&lt;&gt;"","9 Approved",IF(W133&lt;&gt;"","8 KYC submitted",IF(V133&lt;&gt;"","7 Registered",IF(T133&lt;&gt;"","5 Interested",IF(R133&lt;&gt;"","4 Responded",IF(O133&lt;&gt;"","2 Contacted","1 Not yet contacted")))))))))))))</f>
        <v/>
      </c>
      <c r="AK133" s="10">
        <f>IF(AF133&lt;&gt;"",AF133,IF(OR(O133="",R133&lt;&gt;"",LEFT(AJ133,1)="X"),"",IF(Q133&lt;&gt;"","",IF(P133&lt;&gt;"",P133+SETTINGS!$B$4,O133+SETTINGS!$B$3))))</f>
        <v/>
      </c>
      <c r="AL133">
        <f>IF(AJ133="","",IF(LEFT(AJ133,1)="X","None — do not contact",IF(AJ133="1 Not yet contacted","Verify route today, then send M1",IF(AND(R133="",Q133&lt;&gt;""),"Sequence complete — no contact before "&amp;TEXT(Q133+SETTINGS!$B$5,"yyyy-mm-dd"),IF(AND(R133="",P133&lt;&gt;""),"Send final note (M4)",IF(R133="","Send follow-up (M2)",IF(AJ133="12 ACTIVATED","7-day check-in; consent &amp; referral soft ask",IF(AJ133="13 Transacting","Repeat-activity support","Onboarding: move to next stage (see playbook §6)"))))))))</f>
        <v/>
      </c>
      <c r="AM133">
        <f>IF(ISNUMBER(AK133),IF(AK133&lt;=TODAY(),"DUE",""),"")</f>
        <v/>
      </c>
      <c r="AN133">
        <f>IF(COUNT(O133,P133,Q133,R133,T133,V133,W133,X133,Y133,Z133,AA133,AC133)=0,"",TODAY()-MAX(O133,P133,Q133,R133,T133,V133,W133,X133,Y133,Z133,AA133,AC133))</f>
        <v/>
      </c>
      <c r="AO133">
        <f>IF(AJ133="","",IF(AND(T133&lt;&gt;"",U133&lt;&gt;"Active (verified)"),"GST: escalate (no tax advice)",IF(AND(IFERROR(VALUE(LEFT(AJ133,2)),0)&gt;=5,AH133&lt;&gt;"YES",ISNUMBER(AN133),AN133&gt;SETTINGS!$B$14),"STUCK in onboarding","")))</f>
        <v/>
      </c>
    </row>
    <row r="134">
      <c r="A134" t="n">
        <v>133</v>
      </c>
      <c r="B134" t="inlineStr">
        <is>
          <t>UPK2-FL-012</t>
        </is>
      </c>
      <c r="C134" t="inlineStr">
        <is>
          <t>Surily G</t>
        </is>
      </c>
      <c r="D134" t="inlineStr">
        <is>
          <t>Fashion &amp; Lifestyle</t>
        </is>
      </c>
      <c r="E134" t="inlineStr">
        <is>
          <t>FL-CONTEMPORARY</t>
        </is>
      </c>
      <c r="F134" t="inlineStr">
        <is>
          <t>Mumbai</t>
        </is>
      </c>
      <c r="G134" t="inlineStr">
        <is>
          <t>C</t>
        </is>
      </c>
      <c r="H134" t="inlineStr">
        <is>
          <t>P0</t>
        </is>
      </c>
      <c r="I134" t="inlineStr"/>
      <c r="J134" t="inlineStr">
        <is>
          <t>Personal 1:1 email from founder/team to published business email</t>
        </is>
      </c>
      <c r="K134" t="inlineStr">
        <is>
          <t>https://surilyg.com/pages/contact</t>
        </is>
      </c>
      <c r="L134" t="inlineStr">
        <is>
          <t>W2 Expansion</t>
        </is>
      </c>
      <c r="M134" t="inlineStr"/>
      <c r="N134" t="inlineStr"/>
      <c r="O134" s="10" t="inlineStr"/>
      <c r="P134" s="10" t="inlineStr"/>
      <c r="Q134" s="10" t="inlineStr"/>
      <c r="R134" s="10" t="inlineStr"/>
      <c r="S134" t="inlineStr"/>
      <c r="T134" s="10" t="inlineStr"/>
      <c r="U134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t="inlineStr"/>
      <c r="AC134" s="10" t="inlineStr"/>
      <c r="AD134" t="inlineStr"/>
      <c r="AE134" t="inlineStr"/>
      <c r="AF134" s="10" t="inlineStr"/>
      <c r="AG134" t="inlineStr"/>
      <c r="AH134">
        <f>IF(AND(B134="",C134=""),"",IF(AND(X134&lt;&gt;"",Y134&lt;&gt;"",Z134&lt;&gt;"",AA134&lt;&gt;"",AB134="Y"),"YES","no"))</f>
        <v/>
      </c>
      <c r="AI134" s="10">
        <f>IF(AH134="YES",MAX(X134,Y134,Z134,AA134),"")</f>
        <v/>
      </c>
      <c r="AJ134">
        <f>IF(AND(B134="",C134=""),"",IF(OR(S134="Not interested",S134="Opt-out / do not contact"),"X Declined / suppressed",IF(S134="Bounced / undeliverable","X Bounced — research",IF(AC134&lt;&gt;"","13 Transacting",IF(AH134="YES","12 ACTIVATED",IF(Z134&lt;&gt;"","11 Listing live",IF(Y134&lt;&gt;"","10 Profile complete",IF(X134&lt;&gt;"","9 Approved",IF(W134&lt;&gt;"","8 KYC submitted",IF(V134&lt;&gt;"","7 Registered",IF(T134&lt;&gt;"","5 Interested",IF(R134&lt;&gt;"","4 Responded",IF(O134&lt;&gt;"","2 Contacted","1 Not yet contacted")))))))))))))</f>
        <v/>
      </c>
      <c r="AK134" s="10">
        <f>IF(AF134&lt;&gt;"",AF134,IF(OR(O134="",R134&lt;&gt;"",LEFT(AJ134,1)="X"),"",IF(Q134&lt;&gt;"","",IF(P134&lt;&gt;"",P134+SETTINGS!$B$4,O134+SETTINGS!$B$3))))</f>
        <v/>
      </c>
      <c r="AL134">
        <f>IF(AJ134="","",IF(LEFT(AJ134,1)="X","None — do not contact",IF(AJ134="1 Not yet contacted","Verify route today, then send M1",IF(AND(R134="",Q134&lt;&gt;""),"Sequence complete — no contact before "&amp;TEXT(Q134+SETTINGS!$B$5,"yyyy-mm-dd"),IF(AND(R134="",P134&lt;&gt;""),"Send final note (M4)",IF(R134="","Send follow-up (M2)",IF(AJ134="12 ACTIVATED","7-day check-in; consent &amp; referral soft ask",IF(AJ134="13 Transacting","Repeat-activity support","Onboarding: move to next stage (see playbook §6)"))))))))</f>
        <v/>
      </c>
      <c r="AM134">
        <f>IF(ISNUMBER(AK134),IF(AK134&lt;=TODAY(),"DUE",""),"")</f>
        <v/>
      </c>
      <c r="AN134">
        <f>IF(COUNT(O134,P134,Q134,R134,T134,V134,W134,X134,Y134,Z134,AA134,AC134)=0,"",TODAY()-MAX(O134,P134,Q134,R134,T134,V134,W134,X134,Y134,Z134,AA134,AC134))</f>
        <v/>
      </c>
      <c r="AO134">
        <f>IF(AJ134="","",IF(AND(T134&lt;&gt;"",U134&lt;&gt;"Active (verified)"),"GST: escalate (no tax advice)",IF(AND(IFERROR(VALUE(LEFT(AJ134,2)),0)&gt;=5,AH134&lt;&gt;"YES",ISNUMBER(AN134),AN134&gt;SETTINGS!$B$14),"STUCK in onboarding","")))</f>
        <v/>
      </c>
    </row>
    <row r="135">
      <c r="A135" t="n">
        <v>134</v>
      </c>
      <c r="B135" t="inlineStr">
        <is>
          <t>UPK2-FL-234</t>
        </is>
      </c>
      <c r="C135" t="inlineStr">
        <is>
          <t>Muskan Aggarwal</t>
        </is>
      </c>
      <c r="D135" t="inlineStr">
        <is>
          <t>Fashion &amp; Lifestyle</t>
        </is>
      </c>
      <c r="E135" t="inlineStr">
        <is>
          <t>FL-OCCASION-BRIDAL</t>
        </is>
      </c>
      <c r="F135" t="inlineStr">
        <is>
          <t>Delhi NCR</t>
        </is>
      </c>
      <c r="G135" t="inlineStr">
        <is>
          <t>B</t>
        </is>
      </c>
      <c r="H135" t="inlineStr">
        <is>
          <t>P0</t>
        </is>
      </c>
      <c r="I135" t="inlineStr">
        <is>
          <t>stockist-listed</t>
        </is>
      </c>
      <c r="J135" t="inlineStr">
        <is>
          <t>Personal 1:1 email from founder/team to published business email</t>
        </is>
      </c>
      <c r="K135" t="inlineStr">
        <is>
          <t>https://muskanaggarwal.in/pages/contact</t>
        </is>
      </c>
      <c r="L135" t="inlineStr">
        <is>
          <t>W2 Expansion</t>
        </is>
      </c>
      <c r="M135" t="inlineStr"/>
      <c r="N135" t="inlineStr"/>
      <c r="O135" s="10" t="inlineStr"/>
      <c r="P135" s="10" t="inlineStr"/>
      <c r="Q135" s="10" t="inlineStr"/>
      <c r="R135" s="10" t="inlineStr"/>
      <c r="S135" t="inlineStr"/>
      <c r="T135" s="10" t="inlineStr"/>
      <c r="U135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t="inlineStr"/>
      <c r="AC135" s="10" t="inlineStr"/>
      <c r="AD135" t="inlineStr"/>
      <c r="AE135" t="inlineStr"/>
      <c r="AF135" s="10" t="inlineStr"/>
      <c r="AG135" t="inlineStr"/>
      <c r="AH135">
        <f>IF(AND(B135="",C135=""),"",IF(AND(X135&lt;&gt;"",Y135&lt;&gt;"",Z135&lt;&gt;"",AA135&lt;&gt;"",AB135="Y"),"YES","no"))</f>
        <v/>
      </c>
      <c r="AI135" s="10">
        <f>IF(AH135="YES",MAX(X135,Y135,Z135,AA135),"")</f>
        <v/>
      </c>
      <c r="AJ135">
        <f>IF(AND(B135="",C135=""),"",IF(OR(S135="Not interested",S135="Opt-out / do not contact"),"X Declined / suppressed",IF(S135="Bounced / undeliverable","X Bounced — research",IF(AC135&lt;&gt;"","13 Transacting",IF(AH135="YES","12 ACTIVATED",IF(Z135&lt;&gt;"","11 Listing live",IF(Y135&lt;&gt;"","10 Profile complete",IF(X135&lt;&gt;"","9 Approved",IF(W135&lt;&gt;"","8 KYC submitted",IF(V135&lt;&gt;"","7 Registered",IF(T135&lt;&gt;"","5 Interested",IF(R135&lt;&gt;"","4 Responded",IF(O135&lt;&gt;"","2 Contacted","1 Not yet contacted")))))))))))))</f>
        <v/>
      </c>
      <c r="AK135" s="10">
        <f>IF(AF135&lt;&gt;"",AF135,IF(OR(O135="",R135&lt;&gt;"",LEFT(AJ135,1)="X"),"",IF(Q135&lt;&gt;"","",IF(P135&lt;&gt;"",P135+SETTINGS!$B$4,O135+SETTINGS!$B$3))))</f>
        <v/>
      </c>
      <c r="AL135">
        <f>IF(AJ135="","",IF(LEFT(AJ135,1)="X","None — do not contact",IF(AJ135="1 Not yet contacted","Verify route today, then send M1",IF(AND(R135="",Q135&lt;&gt;""),"Sequence complete — no contact before "&amp;TEXT(Q135+SETTINGS!$B$5,"yyyy-mm-dd"),IF(AND(R135="",P135&lt;&gt;""),"Send final note (M4)",IF(R135="","Send follow-up (M2)",IF(AJ135="12 ACTIVATED","7-day check-in; consent &amp; referral soft ask",IF(AJ135="13 Transacting","Repeat-activity support","Onboarding: move to next stage (see playbook §6)"))))))))</f>
        <v/>
      </c>
      <c r="AM135">
        <f>IF(ISNUMBER(AK135),IF(AK135&lt;=TODAY(),"DUE",""),"")</f>
        <v/>
      </c>
      <c r="AN135">
        <f>IF(COUNT(O135,P135,Q135,R135,T135,V135,W135,X135,Y135,Z135,AA135,AC135)=0,"",TODAY()-MAX(O135,P135,Q135,R135,T135,V135,W135,X135,Y135,Z135,AA135,AC135))</f>
        <v/>
      </c>
      <c r="AO135">
        <f>IF(AJ135="","",IF(AND(T135&lt;&gt;"",U135&lt;&gt;"Active (verified)"),"GST: escalate (no tax advice)",IF(AND(IFERROR(VALUE(LEFT(AJ135,2)),0)&gt;=5,AH135&lt;&gt;"YES",ISNUMBER(AN135),AN135&gt;SETTINGS!$B$14),"STUCK in onboarding","")))</f>
        <v/>
      </c>
    </row>
    <row r="136">
      <c r="A136" t="n">
        <v>135</v>
      </c>
      <c r="B136" t="inlineStr">
        <is>
          <t>UPK2-FL-227</t>
        </is>
      </c>
      <c r="C136" t="inlineStr">
        <is>
          <t>Maiti Shahani</t>
        </is>
      </c>
      <c r="D136" t="inlineStr">
        <is>
          <t>Fashion &amp; Lifestyle</t>
        </is>
      </c>
      <c r="E136" t="inlineStr">
        <is>
          <t>FL-OCCASION-BRIDAL</t>
        </is>
      </c>
      <c r="F136" t="inlineStr">
        <is>
          <t>Mumbai</t>
        </is>
      </c>
      <c r="G136" t="inlineStr">
        <is>
          <t>B</t>
        </is>
      </c>
      <c r="H136" t="inlineStr">
        <is>
          <t>P0</t>
        </is>
      </c>
      <c r="I136" t="inlineStr">
        <is>
          <t>stockist-listed</t>
        </is>
      </c>
      <c r="J136" t="inlineStr">
        <is>
          <t>Personal 1:1 email from founder/team to published business email</t>
        </is>
      </c>
      <c r="K136" t="inlineStr">
        <is>
          <t>https://maitishahani.com/pages/contact</t>
        </is>
      </c>
      <c r="L136" t="inlineStr">
        <is>
          <t>W2 Expansion</t>
        </is>
      </c>
      <c r="M136" t="inlineStr"/>
      <c r="N136" t="inlineStr"/>
      <c r="O136" s="10" t="inlineStr"/>
      <c r="P136" s="10" t="inlineStr"/>
      <c r="Q136" s="10" t="inlineStr"/>
      <c r="R136" s="10" t="inlineStr"/>
      <c r="S136" t="inlineStr"/>
      <c r="T136" s="10" t="inlineStr"/>
      <c r="U136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t="inlineStr"/>
      <c r="AC136" s="10" t="inlineStr"/>
      <c r="AD136" t="inlineStr"/>
      <c r="AE136" t="inlineStr"/>
      <c r="AF136" s="10" t="inlineStr"/>
      <c r="AG136" t="inlineStr"/>
      <c r="AH136">
        <f>IF(AND(B136="",C136=""),"",IF(AND(X136&lt;&gt;"",Y136&lt;&gt;"",Z136&lt;&gt;"",AA136&lt;&gt;"",AB136="Y"),"YES","no"))</f>
        <v/>
      </c>
      <c r="AI136" s="10">
        <f>IF(AH136="YES",MAX(X136,Y136,Z136,AA136),"")</f>
        <v/>
      </c>
      <c r="AJ136">
        <f>IF(AND(B136="",C136=""),"",IF(OR(S136="Not interested",S136="Opt-out / do not contact"),"X Declined / suppressed",IF(S136="Bounced / undeliverable","X Bounced — research",IF(AC136&lt;&gt;"","13 Transacting",IF(AH136="YES","12 ACTIVATED",IF(Z136&lt;&gt;"","11 Listing live",IF(Y136&lt;&gt;"","10 Profile complete",IF(X136&lt;&gt;"","9 Approved",IF(W136&lt;&gt;"","8 KYC submitted",IF(V136&lt;&gt;"","7 Registered",IF(T136&lt;&gt;"","5 Interested",IF(R136&lt;&gt;"","4 Responded",IF(O136&lt;&gt;"","2 Contacted","1 Not yet contacted")))))))))))))</f>
        <v/>
      </c>
      <c r="AK136" s="10">
        <f>IF(AF136&lt;&gt;"",AF136,IF(OR(O136="",R136&lt;&gt;"",LEFT(AJ136,1)="X"),"",IF(Q136&lt;&gt;"","",IF(P136&lt;&gt;"",P136+SETTINGS!$B$4,O136+SETTINGS!$B$3))))</f>
        <v/>
      </c>
      <c r="AL136">
        <f>IF(AJ136="","",IF(LEFT(AJ136,1)="X","None — do not contact",IF(AJ136="1 Not yet contacted","Verify route today, then send M1",IF(AND(R136="",Q136&lt;&gt;""),"Sequence complete — no contact before "&amp;TEXT(Q136+SETTINGS!$B$5,"yyyy-mm-dd"),IF(AND(R136="",P136&lt;&gt;""),"Send final note (M4)",IF(R136="","Send follow-up (M2)",IF(AJ136="12 ACTIVATED","7-day check-in; consent &amp; referral soft ask",IF(AJ136="13 Transacting","Repeat-activity support","Onboarding: move to next stage (see playbook §6)"))))))))</f>
        <v/>
      </c>
      <c r="AM136">
        <f>IF(ISNUMBER(AK136),IF(AK136&lt;=TODAY(),"DUE",""),"")</f>
        <v/>
      </c>
      <c r="AN136">
        <f>IF(COUNT(O136,P136,Q136,R136,T136,V136,W136,X136,Y136,Z136,AA136,AC136)=0,"",TODAY()-MAX(O136,P136,Q136,R136,T136,V136,W136,X136,Y136,Z136,AA136,AC136))</f>
        <v/>
      </c>
      <c r="AO136">
        <f>IF(AJ136="","",IF(AND(T136&lt;&gt;"",U136&lt;&gt;"Active (verified)"),"GST: escalate (no tax advice)",IF(AND(IFERROR(VALUE(LEFT(AJ136,2)),0)&gt;=5,AH136&lt;&gt;"YES",ISNUMBER(AN136),AN136&gt;SETTINGS!$B$14),"STUCK in onboarding","")))</f>
        <v/>
      </c>
    </row>
    <row r="137">
      <c r="A137" t="n">
        <v>136</v>
      </c>
      <c r="B137" t="inlineStr">
        <is>
          <t>UPK2-FL-222</t>
        </is>
      </c>
      <c r="C137" t="inlineStr">
        <is>
          <t>Kapda Dori</t>
        </is>
      </c>
      <c r="D137" t="inlineStr">
        <is>
          <t>Fashion &amp; Lifestyle</t>
        </is>
      </c>
      <c r="E137" t="inlineStr">
        <is>
          <t>FL-OCCASION-BRIDAL</t>
        </is>
      </c>
      <c r="F137" t="inlineStr">
        <is>
          <t>Delhi NCR</t>
        </is>
      </c>
      <c r="G137" t="inlineStr">
        <is>
          <t>B</t>
        </is>
      </c>
      <c r="H137" t="inlineStr">
        <is>
          <t>P0</t>
        </is>
      </c>
      <c r="I137" t="inlineStr">
        <is>
          <t>stockist-listed</t>
        </is>
      </c>
      <c r="J137" t="inlineStr">
        <is>
          <t>Personal 1:1 email from founder/team to published business email</t>
        </is>
      </c>
      <c r="K137" t="inlineStr">
        <is>
          <t>https://kapdadori.com/pages/book-an-appointment</t>
        </is>
      </c>
      <c r="L137" t="inlineStr">
        <is>
          <t>W2 Expansion</t>
        </is>
      </c>
      <c r="M137" t="inlineStr"/>
      <c r="N137" t="inlineStr"/>
      <c r="O137" s="10" t="inlineStr"/>
      <c r="P137" s="10" t="inlineStr"/>
      <c r="Q137" s="10" t="inlineStr"/>
      <c r="R137" s="10" t="inlineStr"/>
      <c r="S137" t="inlineStr"/>
      <c r="T137" s="10" t="inlineStr"/>
      <c r="U137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t="inlineStr"/>
      <c r="AC137" s="10" t="inlineStr"/>
      <c r="AD137" t="inlineStr"/>
      <c r="AE137" t="inlineStr"/>
      <c r="AF137" s="10" t="inlineStr"/>
      <c r="AG137" t="inlineStr"/>
      <c r="AH137">
        <f>IF(AND(B137="",C137=""),"",IF(AND(X137&lt;&gt;"",Y137&lt;&gt;"",Z137&lt;&gt;"",AA137&lt;&gt;"",AB137="Y"),"YES","no"))</f>
        <v/>
      </c>
      <c r="AI137" s="10">
        <f>IF(AH137="YES",MAX(X137,Y137,Z137,AA137),"")</f>
        <v/>
      </c>
      <c r="AJ137">
        <f>IF(AND(B137="",C137=""),"",IF(OR(S137="Not interested",S137="Opt-out / do not contact"),"X Declined / suppressed",IF(S137="Bounced / undeliverable","X Bounced — research",IF(AC137&lt;&gt;"","13 Transacting",IF(AH137="YES","12 ACTIVATED",IF(Z137&lt;&gt;"","11 Listing live",IF(Y137&lt;&gt;"","10 Profile complete",IF(X137&lt;&gt;"","9 Approved",IF(W137&lt;&gt;"","8 KYC submitted",IF(V137&lt;&gt;"","7 Registered",IF(T137&lt;&gt;"","5 Interested",IF(R137&lt;&gt;"","4 Responded",IF(O137&lt;&gt;"","2 Contacted","1 Not yet contacted")))))))))))))</f>
        <v/>
      </c>
      <c r="AK137" s="10">
        <f>IF(AF137&lt;&gt;"",AF137,IF(OR(O137="",R137&lt;&gt;"",LEFT(AJ137,1)="X"),"",IF(Q137&lt;&gt;"","",IF(P137&lt;&gt;"",P137+SETTINGS!$B$4,O137+SETTINGS!$B$3))))</f>
        <v/>
      </c>
      <c r="AL137">
        <f>IF(AJ137="","",IF(LEFT(AJ137,1)="X","None — do not contact",IF(AJ137="1 Not yet contacted","Verify route today, then send M1",IF(AND(R137="",Q137&lt;&gt;""),"Sequence complete — no contact before "&amp;TEXT(Q137+SETTINGS!$B$5,"yyyy-mm-dd"),IF(AND(R137="",P137&lt;&gt;""),"Send final note (M4)",IF(R137="","Send follow-up (M2)",IF(AJ137="12 ACTIVATED","7-day check-in; consent &amp; referral soft ask",IF(AJ137="13 Transacting","Repeat-activity support","Onboarding: move to next stage (see playbook §6)"))))))))</f>
        <v/>
      </c>
      <c r="AM137">
        <f>IF(ISNUMBER(AK137),IF(AK137&lt;=TODAY(),"DUE",""),"")</f>
        <v/>
      </c>
      <c r="AN137">
        <f>IF(COUNT(O137,P137,Q137,R137,T137,V137,W137,X137,Y137,Z137,AA137,AC137)=0,"",TODAY()-MAX(O137,P137,Q137,R137,T137,V137,W137,X137,Y137,Z137,AA137,AC137))</f>
        <v/>
      </c>
      <c r="AO137">
        <f>IF(AJ137="","",IF(AND(T137&lt;&gt;"",U137&lt;&gt;"Active (verified)"),"GST: escalate (no tax advice)",IF(AND(IFERROR(VALUE(LEFT(AJ137,2)),0)&gt;=5,AH137&lt;&gt;"YES",ISNUMBER(AN137),AN137&gt;SETTINGS!$B$14),"STUCK in onboarding","")))</f>
        <v/>
      </c>
    </row>
    <row r="138">
      <c r="A138" t="n">
        <v>137</v>
      </c>
      <c r="B138" t="inlineStr">
        <is>
          <t>UPK2-FL-217</t>
        </is>
      </c>
      <c r="C138" t="inlineStr">
        <is>
          <t>House Of Karmah</t>
        </is>
      </c>
      <c r="D138" t="inlineStr">
        <is>
          <t>Fashion &amp; Lifestyle</t>
        </is>
      </c>
      <c r="E138" t="inlineStr">
        <is>
          <t>FL-OCCASION-BRIDAL</t>
        </is>
      </c>
      <c r="F138" t="inlineStr">
        <is>
          <t>Delhi NCR</t>
        </is>
      </c>
      <c r="G138" t="inlineStr">
        <is>
          <t>B</t>
        </is>
      </c>
      <c r="H138" t="inlineStr">
        <is>
          <t>P0</t>
        </is>
      </c>
      <c r="I138" t="inlineStr">
        <is>
          <t>stockist-listed</t>
        </is>
      </c>
      <c r="J138" t="inlineStr">
        <is>
          <t>Personal 1:1 email from founder/team to published business email</t>
        </is>
      </c>
      <c r="K138" t="inlineStr">
        <is>
          <t>https://houseofkarmah.com/pages/book-your-appointment</t>
        </is>
      </c>
      <c r="L138" t="inlineStr">
        <is>
          <t>W2 Expansion</t>
        </is>
      </c>
      <c r="M138" t="inlineStr"/>
      <c r="N138" t="inlineStr"/>
      <c r="O138" s="10" t="inlineStr"/>
      <c r="P138" s="10" t="inlineStr"/>
      <c r="Q138" s="10" t="inlineStr"/>
      <c r="R138" s="10" t="inlineStr"/>
      <c r="S138" t="inlineStr"/>
      <c r="T138" s="10" t="inlineStr"/>
      <c r="U138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t="inlineStr"/>
      <c r="AC138" s="10" t="inlineStr"/>
      <c r="AD138" t="inlineStr"/>
      <c r="AE138" t="inlineStr"/>
      <c r="AF138" s="10" t="inlineStr"/>
      <c r="AG138" t="inlineStr"/>
      <c r="AH138">
        <f>IF(AND(B138="",C138=""),"",IF(AND(X138&lt;&gt;"",Y138&lt;&gt;"",Z138&lt;&gt;"",AA138&lt;&gt;"",AB138="Y"),"YES","no"))</f>
        <v/>
      </c>
      <c r="AI138" s="10">
        <f>IF(AH138="YES",MAX(X138,Y138,Z138,AA138),"")</f>
        <v/>
      </c>
      <c r="AJ138">
        <f>IF(AND(B138="",C138=""),"",IF(OR(S138="Not interested",S138="Opt-out / do not contact"),"X Declined / suppressed",IF(S138="Bounced / undeliverable","X Bounced — research",IF(AC138&lt;&gt;"","13 Transacting",IF(AH138="YES","12 ACTIVATED",IF(Z138&lt;&gt;"","11 Listing live",IF(Y138&lt;&gt;"","10 Profile complete",IF(X138&lt;&gt;"","9 Approved",IF(W138&lt;&gt;"","8 KYC submitted",IF(V138&lt;&gt;"","7 Registered",IF(T138&lt;&gt;"","5 Interested",IF(R138&lt;&gt;"","4 Responded",IF(O138&lt;&gt;"","2 Contacted","1 Not yet contacted")))))))))))))</f>
        <v/>
      </c>
      <c r="AK138" s="10">
        <f>IF(AF138&lt;&gt;"",AF138,IF(OR(O138="",R138&lt;&gt;"",LEFT(AJ138,1)="X"),"",IF(Q138&lt;&gt;"","",IF(P138&lt;&gt;"",P138+SETTINGS!$B$4,O138+SETTINGS!$B$3))))</f>
        <v/>
      </c>
      <c r="AL138">
        <f>IF(AJ138="","",IF(LEFT(AJ138,1)="X","None — do not contact",IF(AJ138="1 Not yet contacted","Verify route today, then send M1",IF(AND(R138="",Q138&lt;&gt;""),"Sequence complete — no contact before "&amp;TEXT(Q138+SETTINGS!$B$5,"yyyy-mm-dd"),IF(AND(R138="",P138&lt;&gt;""),"Send final note (M4)",IF(R138="","Send follow-up (M2)",IF(AJ138="12 ACTIVATED","7-day check-in; consent &amp; referral soft ask",IF(AJ138="13 Transacting","Repeat-activity support","Onboarding: move to next stage (see playbook §6)"))))))))</f>
        <v/>
      </c>
      <c r="AM138">
        <f>IF(ISNUMBER(AK138),IF(AK138&lt;=TODAY(),"DUE",""),"")</f>
        <v/>
      </c>
      <c r="AN138">
        <f>IF(COUNT(O138,P138,Q138,R138,T138,V138,W138,X138,Y138,Z138,AA138,AC138)=0,"",TODAY()-MAX(O138,P138,Q138,R138,T138,V138,W138,X138,Y138,Z138,AA138,AC138))</f>
        <v/>
      </c>
      <c r="AO138">
        <f>IF(AJ138="","",IF(AND(T138&lt;&gt;"",U138&lt;&gt;"Active (verified)"),"GST: escalate (no tax advice)",IF(AND(IFERROR(VALUE(LEFT(AJ138,2)),0)&gt;=5,AH138&lt;&gt;"YES",ISNUMBER(AN138),AN138&gt;SETTINGS!$B$14),"STUCK in onboarding","")))</f>
        <v/>
      </c>
    </row>
    <row r="139">
      <c r="A139" t="n">
        <v>138</v>
      </c>
      <c r="B139" t="inlineStr">
        <is>
          <t>UPK2-FL-316</t>
        </is>
      </c>
      <c r="C139" t="inlineStr">
        <is>
          <t>Priyal Prakash</t>
        </is>
      </c>
      <c r="D139" t="inlineStr">
        <is>
          <t>Fashion &amp; Lifestyle</t>
        </is>
      </c>
      <c r="E139" t="inlineStr">
        <is>
          <t>FL-OCCASION-BRIDAL</t>
        </is>
      </c>
      <c r="F139" t="inlineStr">
        <is>
          <t>Delhi NCR</t>
        </is>
      </c>
      <c r="G139" t="inlineStr">
        <is>
          <t>B</t>
        </is>
      </c>
      <c r="H139" t="inlineStr">
        <is>
          <t>P0</t>
        </is>
      </c>
      <c r="I139" t="inlineStr">
        <is>
          <t>stockist-listed</t>
        </is>
      </c>
      <c r="J139" t="inlineStr">
        <is>
          <t>Personal 1:1 email from founder/team to published business email</t>
        </is>
      </c>
      <c r="K139" t="inlineStr">
        <is>
          <t>https://priyalprakash.in/pages/contact</t>
        </is>
      </c>
      <c r="L139" t="inlineStr">
        <is>
          <t>W2 Expansion</t>
        </is>
      </c>
      <c r="M139" t="inlineStr"/>
      <c r="N139" t="inlineStr"/>
      <c r="O139" s="10" t="inlineStr"/>
      <c r="P139" s="10" t="inlineStr"/>
      <c r="Q139" s="10" t="inlineStr"/>
      <c r="R139" s="10" t="inlineStr"/>
      <c r="S139" t="inlineStr"/>
      <c r="T139" s="10" t="inlineStr"/>
      <c r="U139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t="inlineStr"/>
      <c r="AC139" s="10" t="inlineStr"/>
      <c r="AD139" t="inlineStr"/>
      <c r="AE139" t="inlineStr"/>
      <c r="AF139" s="10" t="inlineStr"/>
      <c r="AG139" t="inlineStr"/>
      <c r="AH139">
        <f>IF(AND(B139="",C139=""),"",IF(AND(X139&lt;&gt;"",Y139&lt;&gt;"",Z139&lt;&gt;"",AA139&lt;&gt;"",AB139="Y"),"YES","no"))</f>
        <v/>
      </c>
      <c r="AI139" s="10">
        <f>IF(AH139="YES",MAX(X139,Y139,Z139,AA139),"")</f>
        <v/>
      </c>
      <c r="AJ139">
        <f>IF(AND(B139="",C139=""),"",IF(OR(S139="Not interested",S139="Opt-out / do not contact"),"X Declined / suppressed",IF(S139="Bounced / undeliverable","X Bounced — research",IF(AC139&lt;&gt;"","13 Transacting",IF(AH139="YES","12 ACTIVATED",IF(Z139&lt;&gt;"","11 Listing live",IF(Y139&lt;&gt;"","10 Profile complete",IF(X139&lt;&gt;"","9 Approved",IF(W139&lt;&gt;"","8 KYC submitted",IF(V139&lt;&gt;"","7 Registered",IF(T139&lt;&gt;"","5 Interested",IF(R139&lt;&gt;"","4 Responded",IF(O139&lt;&gt;"","2 Contacted","1 Not yet contacted")))))))))))))</f>
        <v/>
      </c>
      <c r="AK139" s="10">
        <f>IF(AF139&lt;&gt;"",AF139,IF(OR(O139="",R139&lt;&gt;"",LEFT(AJ139,1)="X"),"",IF(Q139&lt;&gt;"","",IF(P139&lt;&gt;"",P139+SETTINGS!$B$4,O139+SETTINGS!$B$3))))</f>
        <v/>
      </c>
      <c r="AL139">
        <f>IF(AJ139="","",IF(LEFT(AJ139,1)="X","None — do not contact",IF(AJ139="1 Not yet contacted","Verify route today, then send M1",IF(AND(R139="",Q139&lt;&gt;""),"Sequence complete — no contact before "&amp;TEXT(Q139+SETTINGS!$B$5,"yyyy-mm-dd"),IF(AND(R139="",P139&lt;&gt;""),"Send final note (M4)",IF(R139="","Send follow-up (M2)",IF(AJ139="12 ACTIVATED","7-day check-in; consent &amp; referral soft ask",IF(AJ139="13 Transacting","Repeat-activity support","Onboarding: move to next stage (see playbook §6)"))))))))</f>
        <v/>
      </c>
      <c r="AM139">
        <f>IF(ISNUMBER(AK139),IF(AK139&lt;=TODAY(),"DUE",""),"")</f>
        <v/>
      </c>
      <c r="AN139">
        <f>IF(COUNT(O139,P139,Q139,R139,T139,V139,W139,X139,Y139,Z139,AA139,AC139)=0,"",TODAY()-MAX(O139,P139,Q139,R139,T139,V139,W139,X139,Y139,Z139,AA139,AC139))</f>
        <v/>
      </c>
      <c r="AO139">
        <f>IF(AJ139="","",IF(AND(T139&lt;&gt;"",U139&lt;&gt;"Active (verified)"),"GST: escalate (no tax advice)",IF(AND(IFERROR(VALUE(LEFT(AJ139,2)),0)&gt;=5,AH139&lt;&gt;"YES",ISNUMBER(AN139),AN139&gt;SETTINGS!$B$14),"STUCK in onboarding","")))</f>
        <v/>
      </c>
    </row>
    <row r="140">
      <c r="A140" t="n">
        <v>139</v>
      </c>
      <c r="B140" t="inlineStr">
        <is>
          <t>UPK2-FL-005</t>
        </is>
      </c>
      <c r="C140" t="inlineStr">
        <is>
          <t>Rejuvenate Jewels</t>
        </is>
      </c>
      <c r="D140" t="inlineStr">
        <is>
          <t>Fashion &amp; Lifestyle</t>
        </is>
      </c>
      <c r="E140" t="inlineStr">
        <is>
          <t>FL-JEWELLERY</t>
        </is>
      </c>
      <c r="F140" t="inlineStr">
        <is>
          <t>Mumbai</t>
        </is>
      </c>
      <c r="G140" t="inlineStr">
        <is>
          <t>B</t>
        </is>
      </c>
      <c r="H140" t="inlineStr">
        <is>
          <t>P0</t>
        </is>
      </c>
      <c r="I140" t="inlineStr">
        <is>
          <t>stockist-listed</t>
        </is>
      </c>
      <c r="J140" t="inlineStr">
        <is>
          <t>Personal 1:1 email from founder/team to published business email</t>
        </is>
      </c>
      <c r="K140" t="inlineStr">
        <is>
          <t>https://www.rejuvenatejewels.com/pages/contact</t>
        </is>
      </c>
      <c r="L140" t="inlineStr">
        <is>
          <t>W2 Expansion</t>
        </is>
      </c>
      <c r="M140" t="inlineStr"/>
      <c r="N140" t="inlineStr"/>
      <c r="O140" s="10" t="inlineStr"/>
      <c r="P140" s="10" t="inlineStr"/>
      <c r="Q140" s="10" t="inlineStr"/>
      <c r="R140" s="10" t="inlineStr"/>
      <c r="S140" t="inlineStr"/>
      <c r="T140" s="10" t="inlineStr"/>
      <c r="U14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t="inlineStr"/>
      <c r="AC140" s="10" t="inlineStr"/>
      <c r="AD140" t="inlineStr"/>
      <c r="AE140" t="inlineStr"/>
      <c r="AF140" s="10" t="inlineStr"/>
      <c r="AG140" t="inlineStr"/>
      <c r="AH140">
        <f>IF(AND(B140="",C140=""),"",IF(AND(X140&lt;&gt;"",Y140&lt;&gt;"",Z140&lt;&gt;"",AA140&lt;&gt;"",AB140="Y"),"YES","no"))</f>
        <v/>
      </c>
      <c r="AI140" s="10">
        <f>IF(AH140="YES",MAX(X140,Y140,Z140,AA140),"")</f>
        <v/>
      </c>
      <c r="AJ140">
        <f>IF(AND(B140="",C140=""),"",IF(OR(S140="Not interested",S140="Opt-out / do not contact"),"X Declined / suppressed",IF(S140="Bounced / undeliverable","X Bounced — research",IF(AC140&lt;&gt;"","13 Transacting",IF(AH140="YES","12 ACTIVATED",IF(Z140&lt;&gt;"","11 Listing live",IF(Y140&lt;&gt;"","10 Profile complete",IF(X140&lt;&gt;"","9 Approved",IF(W140&lt;&gt;"","8 KYC submitted",IF(V140&lt;&gt;"","7 Registered",IF(T140&lt;&gt;"","5 Interested",IF(R140&lt;&gt;"","4 Responded",IF(O140&lt;&gt;"","2 Contacted","1 Not yet contacted")))))))))))))</f>
        <v/>
      </c>
      <c r="AK140" s="10">
        <f>IF(AF140&lt;&gt;"",AF140,IF(OR(O140="",R140&lt;&gt;"",LEFT(AJ140,1)="X"),"",IF(Q140&lt;&gt;"","",IF(P140&lt;&gt;"",P140+SETTINGS!$B$4,O140+SETTINGS!$B$3))))</f>
        <v/>
      </c>
      <c r="AL140">
        <f>IF(AJ140="","",IF(LEFT(AJ140,1)="X","None — do not contact",IF(AJ140="1 Not yet contacted","Verify route today, then send M1",IF(AND(R140="",Q140&lt;&gt;""),"Sequence complete — no contact before "&amp;TEXT(Q140+SETTINGS!$B$5,"yyyy-mm-dd"),IF(AND(R140="",P140&lt;&gt;""),"Send final note (M4)",IF(R140="","Send follow-up (M2)",IF(AJ140="12 ACTIVATED","7-day check-in; consent &amp; referral soft ask",IF(AJ140="13 Transacting","Repeat-activity support","Onboarding: move to next stage (see playbook §6)"))))))))</f>
        <v/>
      </c>
      <c r="AM140">
        <f>IF(ISNUMBER(AK140),IF(AK140&lt;=TODAY(),"DUE",""),"")</f>
        <v/>
      </c>
      <c r="AN140">
        <f>IF(COUNT(O140,P140,Q140,R140,T140,V140,W140,X140,Y140,Z140,AA140,AC140)=0,"",TODAY()-MAX(O140,P140,Q140,R140,T140,V140,W140,X140,Y140,Z140,AA140,AC140))</f>
        <v/>
      </c>
      <c r="AO140">
        <f>IF(AJ140="","",IF(AND(T140&lt;&gt;"",U140&lt;&gt;"Active (verified)"),"GST: escalate (no tax advice)",IF(AND(IFERROR(VALUE(LEFT(AJ140,2)),0)&gt;=5,AH140&lt;&gt;"YES",ISNUMBER(AN140),AN140&gt;SETTINGS!$B$14),"STUCK in onboarding","")))</f>
        <v/>
      </c>
    </row>
    <row r="141">
      <c r="A141" t="n">
        <v>140</v>
      </c>
      <c r="B141" t="inlineStr">
        <is>
          <t>UPK2-FL-006</t>
        </is>
      </c>
      <c r="C141" t="inlineStr">
        <is>
          <t>Nirmooha</t>
        </is>
      </c>
      <c r="D141" t="inlineStr">
        <is>
          <t>Fashion &amp; Lifestyle</t>
        </is>
      </c>
      <c r="E141" t="inlineStr">
        <is>
          <t>FL-CONTEMPORARY</t>
        </is>
      </c>
      <c r="F141" t="inlineStr">
        <is>
          <t>Mumbai</t>
        </is>
      </c>
      <c r="G141" t="inlineStr">
        <is>
          <t>B</t>
        </is>
      </c>
      <c r="H141" t="inlineStr">
        <is>
          <t>P0</t>
        </is>
      </c>
      <c r="I141" t="inlineStr"/>
      <c r="J141" t="inlineStr">
        <is>
          <t>Personal 1:1 email from founder/team to published business email</t>
        </is>
      </c>
      <c r="K141" t="inlineStr">
        <is>
          <t>https://www.nirmooha.in/pages/contact</t>
        </is>
      </c>
      <c r="L141" t="inlineStr">
        <is>
          <t>W2 Expansion</t>
        </is>
      </c>
      <c r="M141" t="inlineStr"/>
      <c r="N141" t="inlineStr"/>
      <c r="O141" s="10" t="inlineStr"/>
      <c r="P141" s="10" t="inlineStr"/>
      <c r="Q141" s="10" t="inlineStr"/>
      <c r="R141" s="10" t="inlineStr"/>
      <c r="S141" t="inlineStr"/>
      <c r="T141" s="10" t="inlineStr"/>
      <c r="U141" t="inlineStr"/>
      <c r="V141" s="10" t="inlineStr"/>
      <c r="W141" s="10" t="inlineStr"/>
      <c r="X141" s="10" t="inlineStr"/>
      <c r="Y141" s="10" t="inlineStr"/>
      <c r="Z141" s="10" t="inlineStr"/>
      <c r="AA141" s="10" t="inlineStr"/>
      <c r="AB141" t="inlineStr"/>
      <c r="AC141" s="10" t="inlineStr"/>
      <c r="AD141" t="inlineStr"/>
      <c r="AE141" t="inlineStr"/>
      <c r="AF141" s="10" t="inlineStr"/>
      <c r="AG141" t="inlineStr"/>
      <c r="AH141">
        <f>IF(AND(B141="",C141=""),"",IF(AND(X141&lt;&gt;"",Y141&lt;&gt;"",Z141&lt;&gt;"",AA141&lt;&gt;"",AB141="Y"),"YES","no"))</f>
        <v/>
      </c>
      <c r="AI141" s="10">
        <f>IF(AH141="YES",MAX(X141,Y141,Z141,AA141),"")</f>
        <v/>
      </c>
      <c r="AJ141">
        <f>IF(AND(B141="",C141=""),"",IF(OR(S141="Not interested",S141="Opt-out / do not contact"),"X Declined / suppressed",IF(S141="Bounced / undeliverable","X Bounced — research",IF(AC141&lt;&gt;"","13 Transacting",IF(AH141="YES","12 ACTIVATED",IF(Z141&lt;&gt;"","11 Listing live",IF(Y141&lt;&gt;"","10 Profile complete",IF(X141&lt;&gt;"","9 Approved",IF(W141&lt;&gt;"","8 KYC submitted",IF(V141&lt;&gt;"","7 Registered",IF(T141&lt;&gt;"","5 Interested",IF(R141&lt;&gt;"","4 Responded",IF(O141&lt;&gt;"","2 Contacted","1 Not yet contacted")))))))))))))</f>
        <v/>
      </c>
      <c r="AK141" s="10">
        <f>IF(AF141&lt;&gt;"",AF141,IF(OR(O141="",R141&lt;&gt;"",LEFT(AJ141,1)="X"),"",IF(Q141&lt;&gt;"","",IF(P141&lt;&gt;"",P141+SETTINGS!$B$4,O141+SETTINGS!$B$3))))</f>
        <v/>
      </c>
      <c r="AL141">
        <f>IF(AJ141="","",IF(LEFT(AJ141,1)="X","None — do not contact",IF(AJ141="1 Not yet contacted","Verify route today, then send M1",IF(AND(R141="",Q141&lt;&gt;""),"Sequence complete — no contact before "&amp;TEXT(Q141+SETTINGS!$B$5,"yyyy-mm-dd"),IF(AND(R141="",P141&lt;&gt;""),"Send final note (M4)",IF(R141="","Send follow-up (M2)",IF(AJ141="12 ACTIVATED","7-day check-in; consent &amp; referral soft ask",IF(AJ141="13 Transacting","Repeat-activity support","Onboarding: move to next stage (see playbook §6)"))))))))</f>
        <v/>
      </c>
      <c r="AM141">
        <f>IF(ISNUMBER(AK141),IF(AK141&lt;=TODAY(),"DUE",""),"")</f>
        <v/>
      </c>
      <c r="AN141">
        <f>IF(COUNT(O141,P141,Q141,R141,T141,V141,W141,X141,Y141,Z141,AA141,AC141)=0,"",TODAY()-MAX(O141,P141,Q141,R141,T141,V141,W141,X141,Y141,Z141,AA141,AC141))</f>
        <v/>
      </c>
      <c r="AO141">
        <f>IF(AJ141="","",IF(AND(T141&lt;&gt;"",U141&lt;&gt;"Active (verified)"),"GST: escalate (no tax advice)",IF(AND(IFERROR(VALUE(LEFT(AJ141,2)),0)&gt;=5,AH141&lt;&gt;"YES",ISNUMBER(AN141),AN141&gt;SETTINGS!$B$14),"STUCK in onboarding","")))</f>
        <v/>
      </c>
    </row>
    <row r="142">
      <c r="A142" t="n">
        <v>141</v>
      </c>
      <c r="B142" t="inlineStr">
        <is>
          <t>UPK2-FL-011</t>
        </is>
      </c>
      <c r="C142" t="inlineStr">
        <is>
          <t>Pasha India</t>
        </is>
      </c>
      <c r="D142" t="inlineStr">
        <is>
          <t>Fashion &amp; Lifestyle</t>
        </is>
      </c>
      <c r="E142" t="inlineStr">
        <is>
          <t>FL-CONTEMPORARY</t>
        </is>
      </c>
      <c r="F142" t="inlineStr">
        <is>
          <t>Jaipur</t>
        </is>
      </c>
      <c r="G142" t="inlineStr">
        <is>
          <t>B</t>
        </is>
      </c>
      <c r="H142" t="inlineStr">
        <is>
          <t>P0</t>
        </is>
      </c>
      <c r="I142" t="inlineStr"/>
      <c r="J142" t="inlineStr">
        <is>
          <t>Personal 1:1 email from founder/team to published business email</t>
        </is>
      </c>
      <c r="K142" t="inlineStr">
        <is>
          <t>https://pashaindia.com/pages/contact-us</t>
        </is>
      </c>
      <c r="L142" t="inlineStr">
        <is>
          <t>W2 Expansion</t>
        </is>
      </c>
      <c r="M142" t="inlineStr"/>
      <c r="N142" t="inlineStr"/>
      <c r="O142" s="10" t="inlineStr"/>
      <c r="P142" s="10" t="inlineStr"/>
      <c r="Q142" s="10" t="inlineStr"/>
      <c r="R142" s="10" t="inlineStr"/>
      <c r="S142" t="inlineStr"/>
      <c r="T142" s="10" t="inlineStr"/>
      <c r="U142" t="inlineStr"/>
      <c r="V142" s="10" t="inlineStr"/>
      <c r="W142" s="10" t="inlineStr"/>
      <c r="X142" s="10" t="inlineStr"/>
      <c r="Y142" s="10" t="inlineStr"/>
      <c r="Z142" s="10" t="inlineStr"/>
      <c r="AA142" s="10" t="inlineStr"/>
      <c r="AB142" t="inlineStr"/>
      <c r="AC142" s="10" t="inlineStr"/>
      <c r="AD142" t="inlineStr"/>
      <c r="AE142" t="inlineStr"/>
      <c r="AF142" s="10" t="inlineStr"/>
      <c r="AG142" t="inlineStr"/>
      <c r="AH142">
        <f>IF(AND(B142="",C142=""),"",IF(AND(X142&lt;&gt;"",Y142&lt;&gt;"",Z142&lt;&gt;"",AA142&lt;&gt;"",AB142="Y"),"YES","no"))</f>
        <v/>
      </c>
      <c r="AI142" s="10">
        <f>IF(AH142="YES",MAX(X142,Y142,Z142,AA142),"")</f>
        <v/>
      </c>
      <c r="AJ142">
        <f>IF(AND(B142="",C142=""),"",IF(OR(S142="Not interested",S142="Opt-out / do not contact"),"X Declined / suppressed",IF(S142="Bounced / undeliverable","X Bounced — research",IF(AC142&lt;&gt;"","13 Transacting",IF(AH142="YES","12 ACTIVATED",IF(Z142&lt;&gt;"","11 Listing live",IF(Y142&lt;&gt;"","10 Profile complete",IF(X142&lt;&gt;"","9 Approved",IF(W142&lt;&gt;"","8 KYC submitted",IF(V142&lt;&gt;"","7 Registered",IF(T142&lt;&gt;"","5 Interested",IF(R142&lt;&gt;"","4 Responded",IF(O142&lt;&gt;"","2 Contacted","1 Not yet contacted")))))))))))))</f>
        <v/>
      </c>
      <c r="AK142" s="10">
        <f>IF(AF142&lt;&gt;"",AF142,IF(OR(O142="",R142&lt;&gt;"",LEFT(AJ142,1)="X"),"",IF(Q142&lt;&gt;"","",IF(P142&lt;&gt;"",P142+SETTINGS!$B$4,O142+SETTINGS!$B$3))))</f>
        <v/>
      </c>
      <c r="AL142">
        <f>IF(AJ142="","",IF(LEFT(AJ142,1)="X","None — do not contact",IF(AJ142="1 Not yet contacted","Verify route today, then send M1",IF(AND(R142="",Q142&lt;&gt;""),"Sequence complete — no contact before "&amp;TEXT(Q142+SETTINGS!$B$5,"yyyy-mm-dd"),IF(AND(R142="",P142&lt;&gt;""),"Send final note (M4)",IF(R142="","Send follow-up (M2)",IF(AJ142="12 ACTIVATED","7-day check-in; consent &amp; referral soft ask",IF(AJ142="13 Transacting","Repeat-activity support","Onboarding: move to next stage (see playbook §6)"))))))))</f>
        <v/>
      </c>
      <c r="AM142">
        <f>IF(ISNUMBER(AK142),IF(AK142&lt;=TODAY(),"DUE",""),"")</f>
        <v/>
      </c>
      <c r="AN142">
        <f>IF(COUNT(O142,P142,Q142,R142,T142,V142,W142,X142,Y142,Z142,AA142,AC142)=0,"",TODAY()-MAX(O142,P142,Q142,R142,T142,V142,W142,X142,Y142,Z142,AA142,AC142))</f>
        <v/>
      </c>
      <c r="AO142">
        <f>IF(AJ142="","",IF(AND(T142&lt;&gt;"",U142&lt;&gt;"Active (verified)"),"GST: escalate (no tax advice)",IF(AND(IFERROR(VALUE(LEFT(AJ142,2)),0)&gt;=5,AH142&lt;&gt;"YES",ISNUMBER(AN142),AN142&gt;SETTINGS!$B$14),"STUCK in onboarding","")))</f>
        <v/>
      </c>
    </row>
    <row r="143">
      <c r="A143" t="n">
        <v>142</v>
      </c>
      <c r="B143" t="inlineStr">
        <is>
          <t>UPK2-FL-238</t>
        </is>
      </c>
      <c r="C143" t="inlineStr">
        <is>
          <t>Plumcheeks</t>
        </is>
      </c>
      <c r="D143" t="inlineStr">
        <is>
          <t>Fashion &amp; Lifestyle</t>
        </is>
      </c>
      <c r="E143" t="inlineStr">
        <is>
          <t>FL-ACCESSORIES</t>
        </is>
      </c>
      <c r="F143" t="inlineStr">
        <is>
          <t>Jaipur</t>
        </is>
      </c>
      <c r="G143" t="inlineStr">
        <is>
          <t>B</t>
        </is>
      </c>
      <c r="H143" t="inlineStr">
        <is>
          <t>P0</t>
        </is>
      </c>
      <c r="I143" t="inlineStr">
        <is>
          <t>stockist-listed|large catalogue</t>
        </is>
      </c>
      <c r="J143" t="inlineStr">
        <is>
          <t>Personal 1:1 email from founder/team to published business email</t>
        </is>
      </c>
      <c r="K143" t="inlineStr">
        <is>
          <t>https://plumcheeks.com/pages/contact</t>
        </is>
      </c>
      <c r="L143" t="inlineStr">
        <is>
          <t>W2 Expansion</t>
        </is>
      </c>
      <c r="M143" t="inlineStr"/>
      <c r="N143" t="inlineStr"/>
      <c r="O143" s="10" t="inlineStr"/>
      <c r="P143" s="10" t="inlineStr"/>
      <c r="Q143" s="10" t="inlineStr"/>
      <c r="R143" s="10" t="inlineStr"/>
      <c r="S143" t="inlineStr"/>
      <c r="T143" s="10" t="inlineStr"/>
      <c r="U143" t="inlineStr"/>
      <c r="V143" s="10" t="inlineStr"/>
      <c r="W143" s="10" t="inlineStr"/>
      <c r="X143" s="10" t="inlineStr"/>
      <c r="Y143" s="10" t="inlineStr"/>
      <c r="Z143" s="10" t="inlineStr"/>
      <c r="AA143" s="10" t="inlineStr"/>
      <c r="AB143" t="inlineStr"/>
      <c r="AC143" s="10" t="inlineStr"/>
      <c r="AD143" t="inlineStr"/>
      <c r="AE143" t="inlineStr"/>
      <c r="AF143" s="10" t="inlineStr"/>
      <c r="AG143" t="inlineStr"/>
      <c r="AH143">
        <f>IF(AND(B143="",C143=""),"",IF(AND(X143&lt;&gt;"",Y143&lt;&gt;"",Z143&lt;&gt;"",AA143&lt;&gt;"",AB143="Y"),"YES","no"))</f>
        <v/>
      </c>
      <c r="AI143" s="10">
        <f>IF(AH143="YES",MAX(X143,Y143,Z143,AA143),"")</f>
        <v/>
      </c>
      <c r="AJ143">
        <f>IF(AND(B143="",C143=""),"",IF(OR(S143="Not interested",S143="Opt-out / do not contact"),"X Declined / suppressed",IF(S143="Bounced / undeliverable","X Bounced — research",IF(AC143&lt;&gt;"","13 Transacting",IF(AH143="YES","12 ACTIVATED",IF(Z143&lt;&gt;"","11 Listing live",IF(Y143&lt;&gt;"","10 Profile complete",IF(X143&lt;&gt;"","9 Approved",IF(W143&lt;&gt;"","8 KYC submitted",IF(V143&lt;&gt;"","7 Registered",IF(T143&lt;&gt;"","5 Interested",IF(R143&lt;&gt;"","4 Responded",IF(O143&lt;&gt;"","2 Contacted","1 Not yet contacted")))))))))))))</f>
        <v/>
      </c>
      <c r="AK143" s="10">
        <f>IF(AF143&lt;&gt;"",AF143,IF(OR(O143="",R143&lt;&gt;"",LEFT(AJ143,1)="X"),"",IF(Q143&lt;&gt;"","",IF(P143&lt;&gt;"",P143+SETTINGS!$B$4,O143+SETTINGS!$B$3))))</f>
        <v/>
      </c>
      <c r="AL143">
        <f>IF(AJ143="","",IF(LEFT(AJ143,1)="X","None — do not contact",IF(AJ143="1 Not yet contacted","Verify route today, then send M1",IF(AND(R143="",Q143&lt;&gt;""),"Sequence complete — no contact before "&amp;TEXT(Q143+SETTINGS!$B$5,"yyyy-mm-dd"),IF(AND(R143="",P143&lt;&gt;""),"Send final note (M4)",IF(R143="","Send follow-up (M2)",IF(AJ143="12 ACTIVATED","7-day check-in; consent &amp; referral soft ask",IF(AJ143="13 Transacting","Repeat-activity support","Onboarding: move to next stage (see playbook §6)"))))))))</f>
        <v/>
      </c>
      <c r="AM143">
        <f>IF(ISNUMBER(AK143),IF(AK143&lt;=TODAY(),"DUE",""),"")</f>
        <v/>
      </c>
      <c r="AN143">
        <f>IF(COUNT(O143,P143,Q143,R143,T143,V143,W143,X143,Y143,Z143,AA143,AC143)=0,"",TODAY()-MAX(O143,P143,Q143,R143,T143,V143,W143,X143,Y143,Z143,AA143,AC143))</f>
        <v/>
      </c>
      <c r="AO143">
        <f>IF(AJ143="","",IF(AND(T143&lt;&gt;"",U143&lt;&gt;"Active (verified)"),"GST: escalate (no tax advice)",IF(AND(IFERROR(VALUE(LEFT(AJ143,2)),0)&gt;=5,AH143&lt;&gt;"YES",ISNUMBER(AN143),AN143&gt;SETTINGS!$B$14),"STUCK in onboarding","")))</f>
        <v/>
      </c>
    </row>
    <row r="144">
      <c r="A144" t="n">
        <v>143</v>
      </c>
      <c r="B144" t="inlineStr">
        <is>
          <t>UPK2-FL-240</t>
        </is>
      </c>
      <c r="C144" t="inlineStr">
        <is>
          <t>Priya Chaudhary</t>
        </is>
      </c>
      <c r="D144" t="inlineStr">
        <is>
          <t>Fashion &amp; Lifestyle</t>
        </is>
      </c>
      <c r="E144" t="inlineStr">
        <is>
          <t>FL-CONTEMPORARY</t>
        </is>
      </c>
      <c r="F144" t="inlineStr">
        <is>
          <t>Delhi NCR</t>
        </is>
      </c>
      <c r="G144" t="inlineStr">
        <is>
          <t>B</t>
        </is>
      </c>
      <c r="H144" t="inlineStr">
        <is>
          <t>P0</t>
        </is>
      </c>
      <c r="I144" t="inlineStr">
        <is>
          <t>stockist-listed|large catalogue</t>
        </is>
      </c>
      <c r="J144" t="inlineStr">
        <is>
          <t>Personal 1:1 email from founder/team to published business email</t>
        </is>
      </c>
      <c r="K144" t="inlineStr">
        <is>
          <t>https://priyachaudhary.com/pages/contact</t>
        </is>
      </c>
      <c r="L144" t="inlineStr">
        <is>
          <t>W2 Expansion</t>
        </is>
      </c>
      <c r="M144" t="inlineStr"/>
      <c r="N144" t="inlineStr"/>
      <c r="O144" s="10" t="inlineStr"/>
      <c r="P144" s="10" t="inlineStr"/>
      <c r="Q144" s="10" t="inlineStr"/>
      <c r="R144" s="10" t="inlineStr"/>
      <c r="S144" t="inlineStr"/>
      <c r="T144" s="10" t="inlineStr"/>
      <c r="U144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t="inlineStr"/>
      <c r="AC144" s="10" t="inlineStr"/>
      <c r="AD144" t="inlineStr"/>
      <c r="AE144" t="inlineStr"/>
      <c r="AF144" s="10" t="inlineStr"/>
      <c r="AG144" t="inlineStr"/>
      <c r="AH144">
        <f>IF(AND(B144="",C144=""),"",IF(AND(X144&lt;&gt;"",Y144&lt;&gt;"",Z144&lt;&gt;"",AA144&lt;&gt;"",AB144="Y"),"YES","no"))</f>
        <v/>
      </c>
      <c r="AI144" s="10">
        <f>IF(AH144="YES",MAX(X144,Y144,Z144,AA144),"")</f>
        <v/>
      </c>
      <c r="AJ144">
        <f>IF(AND(B144="",C144=""),"",IF(OR(S144="Not interested",S144="Opt-out / do not contact"),"X Declined / suppressed",IF(S144="Bounced / undeliverable","X Bounced — research",IF(AC144&lt;&gt;"","13 Transacting",IF(AH144="YES","12 ACTIVATED",IF(Z144&lt;&gt;"","11 Listing live",IF(Y144&lt;&gt;"","10 Profile complete",IF(X144&lt;&gt;"","9 Approved",IF(W144&lt;&gt;"","8 KYC submitted",IF(V144&lt;&gt;"","7 Registered",IF(T144&lt;&gt;"","5 Interested",IF(R144&lt;&gt;"","4 Responded",IF(O144&lt;&gt;"","2 Contacted","1 Not yet contacted")))))))))))))</f>
        <v/>
      </c>
      <c r="AK144" s="10">
        <f>IF(AF144&lt;&gt;"",AF144,IF(OR(O144="",R144&lt;&gt;"",LEFT(AJ144,1)="X"),"",IF(Q144&lt;&gt;"","",IF(P144&lt;&gt;"",P144+SETTINGS!$B$4,O144+SETTINGS!$B$3))))</f>
        <v/>
      </c>
      <c r="AL144">
        <f>IF(AJ144="","",IF(LEFT(AJ144,1)="X","None — do not contact",IF(AJ144="1 Not yet contacted","Verify route today, then send M1",IF(AND(R144="",Q144&lt;&gt;""),"Sequence complete — no contact before "&amp;TEXT(Q144+SETTINGS!$B$5,"yyyy-mm-dd"),IF(AND(R144="",P144&lt;&gt;""),"Send final note (M4)",IF(R144="","Send follow-up (M2)",IF(AJ144="12 ACTIVATED","7-day check-in; consent &amp; referral soft ask",IF(AJ144="13 Transacting","Repeat-activity support","Onboarding: move to next stage (see playbook §6)"))))))))</f>
        <v/>
      </c>
      <c r="AM144">
        <f>IF(ISNUMBER(AK144),IF(AK144&lt;=TODAY(),"DUE",""),"")</f>
        <v/>
      </c>
      <c r="AN144">
        <f>IF(COUNT(O144,P144,Q144,R144,T144,V144,W144,X144,Y144,Z144,AA144,AC144)=0,"",TODAY()-MAX(O144,P144,Q144,R144,T144,V144,W144,X144,Y144,Z144,AA144,AC144))</f>
        <v/>
      </c>
      <c r="AO144">
        <f>IF(AJ144="","",IF(AND(T144&lt;&gt;"",U144&lt;&gt;"Active (verified)"),"GST: escalate (no tax advice)",IF(AND(IFERROR(VALUE(LEFT(AJ144,2)),0)&gt;=5,AH144&lt;&gt;"YES",ISNUMBER(AN144),AN144&gt;SETTINGS!$B$14),"STUCK in onboarding","")))</f>
        <v/>
      </c>
    </row>
    <row r="145">
      <c r="A145" t="n">
        <v>144</v>
      </c>
      <c r="B145" t="inlineStr">
        <is>
          <t>UPK2-FL-301</t>
        </is>
      </c>
      <c r="C145" t="inlineStr">
        <is>
          <t>Prints By Radhika</t>
        </is>
      </c>
      <c r="D145" t="inlineStr">
        <is>
          <t>Fashion &amp; Lifestyle</t>
        </is>
      </c>
      <c r="E145" t="inlineStr">
        <is>
          <t>FL-OCCASION-BRIDAL</t>
        </is>
      </c>
      <c r="F145" t="inlineStr">
        <is>
          <t>Jaipur</t>
        </is>
      </c>
      <c r="G145" t="inlineStr">
        <is>
          <t>B</t>
        </is>
      </c>
      <c r="H145" t="inlineStr">
        <is>
          <t>P0</t>
        </is>
      </c>
      <c r="I145" t="inlineStr">
        <is>
          <t>stockist-listed</t>
        </is>
      </c>
      <c r="J145" t="inlineStr">
        <is>
          <t>Personal 1:1 email from founder/team to published business email</t>
        </is>
      </c>
      <c r="K145" t="inlineStr">
        <is>
          <t>https://printsbyradhika.com/pages/contact-us</t>
        </is>
      </c>
      <c r="L145" t="inlineStr">
        <is>
          <t>W2 Expansion</t>
        </is>
      </c>
      <c r="M145" t="inlineStr"/>
      <c r="N145" t="inlineStr"/>
      <c r="O145" s="10" t="inlineStr"/>
      <c r="P145" s="10" t="inlineStr"/>
      <c r="Q145" s="10" t="inlineStr"/>
      <c r="R145" s="10" t="inlineStr"/>
      <c r="S145" t="inlineStr"/>
      <c r="T145" s="10" t="inlineStr"/>
      <c r="U145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t="inlineStr"/>
      <c r="AC145" s="10" t="inlineStr"/>
      <c r="AD145" t="inlineStr"/>
      <c r="AE145" t="inlineStr"/>
      <c r="AF145" s="10" t="inlineStr"/>
      <c r="AG145" t="inlineStr"/>
      <c r="AH145">
        <f>IF(AND(B145="",C145=""),"",IF(AND(X145&lt;&gt;"",Y145&lt;&gt;"",Z145&lt;&gt;"",AA145&lt;&gt;"",AB145="Y"),"YES","no"))</f>
        <v/>
      </c>
      <c r="AI145" s="10">
        <f>IF(AH145="YES",MAX(X145,Y145,Z145,AA145),"")</f>
        <v/>
      </c>
      <c r="AJ145">
        <f>IF(AND(B145="",C145=""),"",IF(OR(S145="Not interested",S145="Opt-out / do not contact"),"X Declined / suppressed",IF(S145="Bounced / undeliverable","X Bounced — research",IF(AC145&lt;&gt;"","13 Transacting",IF(AH145="YES","12 ACTIVATED",IF(Z145&lt;&gt;"","11 Listing live",IF(Y145&lt;&gt;"","10 Profile complete",IF(X145&lt;&gt;"","9 Approved",IF(W145&lt;&gt;"","8 KYC submitted",IF(V145&lt;&gt;"","7 Registered",IF(T145&lt;&gt;"","5 Interested",IF(R145&lt;&gt;"","4 Responded",IF(O145&lt;&gt;"","2 Contacted","1 Not yet contacted")))))))))))))</f>
        <v/>
      </c>
      <c r="AK145" s="10">
        <f>IF(AF145&lt;&gt;"",AF145,IF(OR(O145="",R145&lt;&gt;"",LEFT(AJ145,1)="X"),"",IF(Q145&lt;&gt;"","",IF(P145&lt;&gt;"",P145+SETTINGS!$B$4,O145+SETTINGS!$B$3))))</f>
        <v/>
      </c>
      <c r="AL145">
        <f>IF(AJ145="","",IF(LEFT(AJ145,1)="X","None — do not contact",IF(AJ145="1 Not yet contacted","Verify route today, then send M1",IF(AND(R145="",Q145&lt;&gt;""),"Sequence complete — no contact before "&amp;TEXT(Q145+SETTINGS!$B$5,"yyyy-mm-dd"),IF(AND(R145="",P145&lt;&gt;""),"Send final note (M4)",IF(R145="","Send follow-up (M2)",IF(AJ145="12 ACTIVATED","7-day check-in; consent &amp; referral soft ask",IF(AJ145="13 Transacting","Repeat-activity support","Onboarding: move to next stage (see playbook §6)"))))))))</f>
        <v/>
      </c>
      <c r="AM145">
        <f>IF(ISNUMBER(AK145),IF(AK145&lt;=TODAY(),"DUE",""),"")</f>
        <v/>
      </c>
      <c r="AN145">
        <f>IF(COUNT(O145,P145,Q145,R145,T145,V145,W145,X145,Y145,Z145,AA145,AC145)=0,"",TODAY()-MAX(O145,P145,Q145,R145,T145,V145,W145,X145,Y145,Z145,AA145,AC145))</f>
        <v/>
      </c>
      <c r="AO145">
        <f>IF(AJ145="","",IF(AND(T145&lt;&gt;"",U145&lt;&gt;"Active (verified)"),"GST: escalate (no tax advice)",IF(AND(IFERROR(VALUE(LEFT(AJ145,2)),0)&gt;=5,AH145&lt;&gt;"YES",ISNUMBER(AN145),AN145&gt;SETTINGS!$B$14),"STUCK in onboarding","")))</f>
        <v/>
      </c>
    </row>
    <row r="146">
      <c r="A146" t="n">
        <v>145</v>
      </c>
      <c r="B146" t="inlineStr">
        <is>
          <t>UPK2-FL-235</t>
        </is>
      </c>
      <c r="C146" t="inlineStr">
        <is>
          <t>Neha Khullar</t>
        </is>
      </c>
      <c r="D146" t="inlineStr">
        <is>
          <t>Fashion &amp; Lifestyle</t>
        </is>
      </c>
      <c r="E146" t="inlineStr">
        <is>
          <t>FL-OCCASION-BRIDAL</t>
        </is>
      </c>
      <c r="F146" t="inlineStr">
        <is>
          <t>Delhi NCR</t>
        </is>
      </c>
      <c r="G146" t="inlineStr">
        <is>
          <t>B</t>
        </is>
      </c>
      <c r="H146" t="inlineStr">
        <is>
          <t>P0</t>
        </is>
      </c>
      <c r="I146" t="inlineStr">
        <is>
          <t>stockist-listed|large catalogue</t>
        </is>
      </c>
      <c r="J146" t="inlineStr">
        <is>
          <t>Personal 1:1 email from founder/team to published business email</t>
        </is>
      </c>
      <c r="K146" t="inlineStr">
        <is>
          <t>https://nehakhullar.in/pages/contact</t>
        </is>
      </c>
      <c r="L146" t="inlineStr">
        <is>
          <t>W2 Expansion</t>
        </is>
      </c>
      <c r="M146" t="inlineStr"/>
      <c r="N146" t="inlineStr"/>
      <c r="O146" s="10" t="inlineStr"/>
      <c r="P146" s="10" t="inlineStr"/>
      <c r="Q146" s="10" t="inlineStr"/>
      <c r="R146" s="10" t="inlineStr"/>
      <c r="S146" t="inlineStr"/>
      <c r="T146" s="10" t="inlineStr"/>
      <c r="U146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t="inlineStr"/>
      <c r="AC146" s="10" t="inlineStr"/>
      <c r="AD146" t="inlineStr"/>
      <c r="AE146" t="inlineStr"/>
      <c r="AF146" s="10" t="inlineStr"/>
      <c r="AG146" t="inlineStr"/>
      <c r="AH146">
        <f>IF(AND(B146="",C146=""),"",IF(AND(X146&lt;&gt;"",Y146&lt;&gt;"",Z146&lt;&gt;"",AA146&lt;&gt;"",AB146="Y"),"YES","no"))</f>
        <v/>
      </c>
      <c r="AI146" s="10">
        <f>IF(AH146="YES",MAX(X146,Y146,Z146,AA146),"")</f>
        <v/>
      </c>
      <c r="AJ146">
        <f>IF(AND(B146="",C146=""),"",IF(OR(S146="Not interested",S146="Opt-out / do not contact"),"X Declined / suppressed",IF(S146="Bounced / undeliverable","X Bounced — research",IF(AC146&lt;&gt;"","13 Transacting",IF(AH146="YES","12 ACTIVATED",IF(Z146&lt;&gt;"","11 Listing live",IF(Y146&lt;&gt;"","10 Profile complete",IF(X146&lt;&gt;"","9 Approved",IF(W146&lt;&gt;"","8 KYC submitted",IF(V146&lt;&gt;"","7 Registered",IF(T146&lt;&gt;"","5 Interested",IF(R146&lt;&gt;"","4 Responded",IF(O146&lt;&gt;"","2 Contacted","1 Not yet contacted")))))))))))))</f>
        <v/>
      </c>
      <c r="AK146" s="10">
        <f>IF(AF146&lt;&gt;"",AF146,IF(OR(O146="",R146&lt;&gt;"",LEFT(AJ146,1)="X"),"",IF(Q146&lt;&gt;"","",IF(P146&lt;&gt;"",P146+SETTINGS!$B$4,O146+SETTINGS!$B$3))))</f>
        <v/>
      </c>
      <c r="AL146">
        <f>IF(AJ146="","",IF(LEFT(AJ146,1)="X","None — do not contact",IF(AJ146="1 Not yet contacted","Verify route today, then send M1",IF(AND(R146="",Q146&lt;&gt;""),"Sequence complete — no contact before "&amp;TEXT(Q146+SETTINGS!$B$5,"yyyy-mm-dd"),IF(AND(R146="",P146&lt;&gt;""),"Send final note (M4)",IF(R146="","Send follow-up (M2)",IF(AJ146="12 ACTIVATED","7-day check-in; consent &amp; referral soft ask",IF(AJ146="13 Transacting","Repeat-activity support","Onboarding: move to next stage (see playbook §6)"))))))))</f>
        <v/>
      </c>
      <c r="AM146">
        <f>IF(ISNUMBER(AK146),IF(AK146&lt;=TODAY(),"DUE",""),"")</f>
        <v/>
      </c>
      <c r="AN146">
        <f>IF(COUNT(O146,P146,Q146,R146,T146,V146,W146,X146,Y146,Z146,AA146,AC146)=0,"",TODAY()-MAX(O146,P146,Q146,R146,T146,V146,W146,X146,Y146,Z146,AA146,AC146))</f>
        <v/>
      </c>
      <c r="AO146">
        <f>IF(AJ146="","",IF(AND(T146&lt;&gt;"",U146&lt;&gt;"Active (verified)"),"GST: escalate (no tax advice)",IF(AND(IFERROR(VALUE(LEFT(AJ146,2)),0)&gt;=5,AH146&lt;&gt;"YES",ISNUMBER(AN146),AN146&gt;SETTINGS!$B$14),"STUCK in onboarding","")))</f>
        <v/>
      </c>
    </row>
    <row r="147">
      <c r="A147" t="n">
        <v>146</v>
      </c>
      <c r="B147" t="inlineStr">
        <is>
          <t>UPK2-FL-294</t>
        </is>
      </c>
      <c r="C147" t="inlineStr">
        <is>
          <t>Kokommo</t>
        </is>
      </c>
      <c r="D147" t="inlineStr">
        <is>
          <t>Fashion &amp; Lifestyle</t>
        </is>
      </c>
      <c r="E147" t="inlineStr">
        <is>
          <t>FL-JEWELLERY</t>
        </is>
      </c>
      <c r="F147" t="inlineStr">
        <is>
          <t>Mumbai</t>
        </is>
      </c>
      <c r="G147" t="inlineStr">
        <is>
          <t>B</t>
        </is>
      </c>
      <c r="H147" t="inlineStr">
        <is>
          <t>P0</t>
        </is>
      </c>
      <c r="I147" t="inlineStr">
        <is>
          <t>stockist-listed</t>
        </is>
      </c>
      <c r="J147" t="inlineStr">
        <is>
          <t>Personal 1:1 email from founder/team to published business email</t>
        </is>
      </c>
      <c r="K147" t="inlineStr">
        <is>
          <t>https://kokommo.com/pages/contact-us</t>
        </is>
      </c>
      <c r="L147" t="inlineStr">
        <is>
          <t>W2 Expansion</t>
        </is>
      </c>
      <c r="M147" t="inlineStr"/>
      <c r="N147" t="inlineStr"/>
      <c r="O147" s="10" t="inlineStr"/>
      <c r="P147" s="10" t="inlineStr"/>
      <c r="Q147" s="10" t="inlineStr"/>
      <c r="R147" s="10" t="inlineStr"/>
      <c r="S147" t="inlineStr"/>
      <c r="T147" s="10" t="inlineStr"/>
      <c r="U147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t="inlineStr"/>
      <c r="AC147" s="10" t="inlineStr"/>
      <c r="AD147" t="inlineStr"/>
      <c r="AE147" t="inlineStr"/>
      <c r="AF147" s="10" t="inlineStr"/>
      <c r="AG147" t="inlineStr"/>
      <c r="AH147">
        <f>IF(AND(B147="",C147=""),"",IF(AND(X147&lt;&gt;"",Y147&lt;&gt;"",Z147&lt;&gt;"",AA147&lt;&gt;"",AB147="Y"),"YES","no"))</f>
        <v/>
      </c>
      <c r="AI147" s="10">
        <f>IF(AH147="YES",MAX(X147,Y147,Z147,AA147),"")</f>
        <v/>
      </c>
      <c r="AJ147">
        <f>IF(AND(B147="",C147=""),"",IF(OR(S147="Not interested",S147="Opt-out / do not contact"),"X Declined / suppressed",IF(S147="Bounced / undeliverable","X Bounced — research",IF(AC147&lt;&gt;"","13 Transacting",IF(AH147="YES","12 ACTIVATED",IF(Z147&lt;&gt;"","11 Listing live",IF(Y147&lt;&gt;"","10 Profile complete",IF(X147&lt;&gt;"","9 Approved",IF(W147&lt;&gt;"","8 KYC submitted",IF(V147&lt;&gt;"","7 Registered",IF(T147&lt;&gt;"","5 Interested",IF(R147&lt;&gt;"","4 Responded",IF(O147&lt;&gt;"","2 Contacted","1 Not yet contacted")))))))))))))</f>
        <v/>
      </c>
      <c r="AK147" s="10">
        <f>IF(AF147&lt;&gt;"",AF147,IF(OR(O147="",R147&lt;&gt;"",LEFT(AJ147,1)="X"),"",IF(Q147&lt;&gt;"","",IF(P147&lt;&gt;"",P147+SETTINGS!$B$4,O147+SETTINGS!$B$3))))</f>
        <v/>
      </c>
      <c r="AL147">
        <f>IF(AJ147="","",IF(LEFT(AJ147,1)="X","None — do not contact",IF(AJ147="1 Not yet contacted","Verify route today, then send M1",IF(AND(R147="",Q147&lt;&gt;""),"Sequence complete — no contact before "&amp;TEXT(Q147+SETTINGS!$B$5,"yyyy-mm-dd"),IF(AND(R147="",P147&lt;&gt;""),"Send final note (M4)",IF(R147="","Send follow-up (M2)",IF(AJ147="12 ACTIVATED","7-day check-in; consent &amp; referral soft ask",IF(AJ147="13 Transacting","Repeat-activity support","Onboarding: move to next stage (see playbook §6)"))))))))</f>
        <v/>
      </c>
      <c r="AM147">
        <f>IF(ISNUMBER(AK147),IF(AK147&lt;=TODAY(),"DUE",""),"")</f>
        <v/>
      </c>
      <c r="AN147">
        <f>IF(COUNT(O147,P147,Q147,R147,T147,V147,W147,X147,Y147,Z147,AA147,AC147)=0,"",TODAY()-MAX(O147,P147,Q147,R147,T147,V147,W147,X147,Y147,Z147,AA147,AC147))</f>
        <v/>
      </c>
      <c r="AO147">
        <f>IF(AJ147="","",IF(AND(T147&lt;&gt;"",U147&lt;&gt;"Active (verified)"),"GST: escalate (no tax advice)",IF(AND(IFERROR(VALUE(LEFT(AJ147,2)),0)&gt;=5,AH147&lt;&gt;"YES",ISNUMBER(AN147),AN147&gt;SETTINGS!$B$14),"STUCK in onboarding","")))</f>
        <v/>
      </c>
    </row>
    <row r="148">
      <c r="A148" t="n">
        <v>147</v>
      </c>
      <c r="B148" t="inlineStr">
        <is>
          <t>UPK2-FL-275</t>
        </is>
      </c>
      <c r="C148" t="inlineStr">
        <is>
          <t>Mrjewels</t>
        </is>
      </c>
      <c r="D148" t="inlineStr">
        <is>
          <t>Fashion &amp; Lifestyle</t>
        </is>
      </c>
      <c r="E148" t="inlineStr">
        <is>
          <t>FL-JEWELLERY</t>
        </is>
      </c>
      <c r="F148" t="inlineStr">
        <is>
          <t>Bengaluru</t>
        </is>
      </c>
      <c r="G148" t="inlineStr">
        <is>
          <t>B</t>
        </is>
      </c>
      <c r="H148" t="inlineStr">
        <is>
          <t>P0</t>
        </is>
      </c>
      <c r="I148" t="inlineStr">
        <is>
          <t>stockist-listed|large catalogue</t>
        </is>
      </c>
      <c r="J148" t="inlineStr">
        <is>
          <t>Personal 1:1 email from founder/team to published business email</t>
        </is>
      </c>
      <c r="K148" t="inlineStr">
        <is>
          <t>https://mrjewels.in/pages/contact</t>
        </is>
      </c>
      <c r="L148" t="inlineStr">
        <is>
          <t>W2 Expansion</t>
        </is>
      </c>
      <c r="M148" t="inlineStr"/>
      <c r="N148" t="inlineStr"/>
      <c r="O148" s="10" t="inlineStr"/>
      <c r="P148" s="10" t="inlineStr"/>
      <c r="Q148" s="10" t="inlineStr"/>
      <c r="R148" s="10" t="inlineStr"/>
      <c r="S148" t="inlineStr"/>
      <c r="T148" s="10" t="inlineStr"/>
      <c r="U148" t="inlineStr"/>
      <c r="V148" s="10" t="inlineStr"/>
      <c r="W148" s="10" t="inlineStr"/>
      <c r="X148" s="10" t="inlineStr"/>
      <c r="Y148" s="10" t="inlineStr"/>
      <c r="Z148" s="10" t="inlineStr"/>
      <c r="AA148" s="10" t="inlineStr"/>
      <c r="AB148" t="inlineStr"/>
      <c r="AC148" s="10" t="inlineStr"/>
      <c r="AD148" t="inlineStr"/>
      <c r="AE148" t="inlineStr"/>
      <c r="AF148" s="10" t="inlineStr"/>
      <c r="AG148" t="inlineStr"/>
      <c r="AH148">
        <f>IF(AND(B148="",C148=""),"",IF(AND(X148&lt;&gt;"",Y148&lt;&gt;"",Z148&lt;&gt;"",AA148&lt;&gt;"",AB148="Y"),"YES","no"))</f>
        <v/>
      </c>
      <c r="AI148" s="10">
        <f>IF(AH148="YES",MAX(X148,Y148,Z148,AA148),"")</f>
        <v/>
      </c>
      <c r="AJ148">
        <f>IF(AND(B148="",C148=""),"",IF(OR(S148="Not interested",S148="Opt-out / do not contact"),"X Declined / suppressed",IF(S148="Bounced / undeliverable","X Bounced — research",IF(AC148&lt;&gt;"","13 Transacting",IF(AH148="YES","12 ACTIVATED",IF(Z148&lt;&gt;"","11 Listing live",IF(Y148&lt;&gt;"","10 Profile complete",IF(X148&lt;&gt;"","9 Approved",IF(W148&lt;&gt;"","8 KYC submitted",IF(V148&lt;&gt;"","7 Registered",IF(T148&lt;&gt;"","5 Interested",IF(R148&lt;&gt;"","4 Responded",IF(O148&lt;&gt;"","2 Contacted","1 Not yet contacted")))))))))))))</f>
        <v/>
      </c>
      <c r="AK148" s="10">
        <f>IF(AF148&lt;&gt;"",AF148,IF(OR(O148="",R148&lt;&gt;"",LEFT(AJ148,1)="X"),"",IF(Q148&lt;&gt;"","",IF(P148&lt;&gt;"",P148+SETTINGS!$B$4,O148+SETTINGS!$B$3))))</f>
        <v/>
      </c>
      <c r="AL148">
        <f>IF(AJ148="","",IF(LEFT(AJ148,1)="X","None — do not contact",IF(AJ148="1 Not yet contacted","Verify route today, then send M1",IF(AND(R148="",Q148&lt;&gt;""),"Sequence complete — no contact before "&amp;TEXT(Q148+SETTINGS!$B$5,"yyyy-mm-dd"),IF(AND(R148="",P148&lt;&gt;""),"Send final note (M4)",IF(R148="","Send follow-up (M2)",IF(AJ148="12 ACTIVATED","7-day check-in; consent &amp; referral soft ask",IF(AJ148="13 Transacting","Repeat-activity support","Onboarding: move to next stage (see playbook §6)"))))))))</f>
        <v/>
      </c>
      <c r="AM148">
        <f>IF(ISNUMBER(AK148),IF(AK148&lt;=TODAY(),"DUE",""),"")</f>
        <v/>
      </c>
      <c r="AN148">
        <f>IF(COUNT(O148,P148,Q148,R148,T148,V148,W148,X148,Y148,Z148,AA148,AC148)=0,"",TODAY()-MAX(O148,P148,Q148,R148,T148,V148,W148,X148,Y148,Z148,AA148,AC148))</f>
        <v/>
      </c>
      <c r="AO148">
        <f>IF(AJ148="","",IF(AND(T148&lt;&gt;"",U148&lt;&gt;"Active (verified)"),"GST: escalate (no tax advice)",IF(AND(IFERROR(VALUE(LEFT(AJ148,2)),0)&gt;=5,AH148&lt;&gt;"YES",ISNUMBER(AN148),AN148&gt;SETTINGS!$B$14),"STUCK in onboarding","")))</f>
        <v/>
      </c>
    </row>
    <row r="149">
      <c r="A149" t="n">
        <v>148</v>
      </c>
      <c r="B149" t="inlineStr">
        <is>
          <t>UPK2-FL-250</t>
        </is>
      </c>
      <c r="C149" t="inlineStr">
        <is>
          <t>Verano By Tanya</t>
        </is>
      </c>
      <c r="D149" t="inlineStr">
        <is>
          <t>Fashion &amp; Lifestyle</t>
        </is>
      </c>
      <c r="E149" t="inlineStr">
        <is>
          <t>FL-JEWELLERY</t>
        </is>
      </c>
      <c r="F149" t="inlineStr">
        <is>
          <t>Mumbai</t>
        </is>
      </c>
      <c r="G149" t="inlineStr">
        <is>
          <t>B</t>
        </is>
      </c>
      <c r="H149" t="inlineStr">
        <is>
          <t>P0</t>
        </is>
      </c>
      <c r="I149" t="inlineStr">
        <is>
          <t>stockist-listed|large catalogue</t>
        </is>
      </c>
      <c r="J149" t="inlineStr">
        <is>
          <t>Personal 1:1 email from founder/team to published business email</t>
        </is>
      </c>
      <c r="K149" t="inlineStr">
        <is>
          <t>https://www.veranobytanya.com/pages/contact</t>
        </is>
      </c>
      <c r="L149" t="inlineStr">
        <is>
          <t>W2 Expansion</t>
        </is>
      </c>
      <c r="M149" t="inlineStr"/>
      <c r="N149" t="inlineStr"/>
      <c r="O149" s="10" t="inlineStr"/>
      <c r="P149" s="10" t="inlineStr"/>
      <c r="Q149" s="10" t="inlineStr"/>
      <c r="R149" s="10" t="inlineStr"/>
      <c r="S149" t="inlineStr"/>
      <c r="T149" s="10" t="inlineStr"/>
      <c r="U149" t="inlineStr"/>
      <c r="V149" s="10" t="inlineStr"/>
      <c r="W149" s="10" t="inlineStr"/>
      <c r="X149" s="10" t="inlineStr"/>
      <c r="Y149" s="10" t="inlineStr"/>
      <c r="Z149" s="10" t="inlineStr"/>
      <c r="AA149" s="10" t="inlineStr"/>
      <c r="AB149" t="inlineStr"/>
      <c r="AC149" s="10" t="inlineStr"/>
      <c r="AD149" t="inlineStr"/>
      <c r="AE149" t="inlineStr"/>
      <c r="AF149" s="10" t="inlineStr"/>
      <c r="AG149" t="inlineStr"/>
      <c r="AH149">
        <f>IF(AND(B149="",C149=""),"",IF(AND(X149&lt;&gt;"",Y149&lt;&gt;"",Z149&lt;&gt;"",AA149&lt;&gt;"",AB149="Y"),"YES","no"))</f>
        <v/>
      </c>
      <c r="AI149" s="10">
        <f>IF(AH149="YES",MAX(X149,Y149,Z149,AA149),"")</f>
        <v/>
      </c>
      <c r="AJ149">
        <f>IF(AND(B149="",C149=""),"",IF(OR(S149="Not interested",S149="Opt-out / do not contact"),"X Declined / suppressed",IF(S149="Bounced / undeliverable","X Bounced — research",IF(AC149&lt;&gt;"","13 Transacting",IF(AH149="YES","12 ACTIVATED",IF(Z149&lt;&gt;"","11 Listing live",IF(Y149&lt;&gt;"","10 Profile complete",IF(X149&lt;&gt;"","9 Approved",IF(W149&lt;&gt;"","8 KYC submitted",IF(V149&lt;&gt;"","7 Registered",IF(T149&lt;&gt;"","5 Interested",IF(R149&lt;&gt;"","4 Responded",IF(O149&lt;&gt;"","2 Contacted","1 Not yet contacted")))))))))))))</f>
        <v/>
      </c>
      <c r="AK149" s="10">
        <f>IF(AF149&lt;&gt;"",AF149,IF(OR(O149="",R149&lt;&gt;"",LEFT(AJ149,1)="X"),"",IF(Q149&lt;&gt;"","",IF(P149&lt;&gt;"",P149+SETTINGS!$B$4,O149+SETTINGS!$B$3))))</f>
        <v/>
      </c>
      <c r="AL149">
        <f>IF(AJ149="","",IF(LEFT(AJ149,1)="X","None — do not contact",IF(AJ149="1 Not yet contacted","Verify route today, then send M1",IF(AND(R149="",Q149&lt;&gt;""),"Sequence complete — no contact before "&amp;TEXT(Q149+SETTINGS!$B$5,"yyyy-mm-dd"),IF(AND(R149="",P149&lt;&gt;""),"Send final note (M4)",IF(R149="","Send follow-up (M2)",IF(AJ149="12 ACTIVATED","7-day check-in; consent &amp; referral soft ask",IF(AJ149="13 Transacting","Repeat-activity support","Onboarding: move to next stage (see playbook §6)"))))))))</f>
        <v/>
      </c>
      <c r="AM149">
        <f>IF(ISNUMBER(AK149),IF(AK149&lt;=TODAY(),"DUE",""),"")</f>
        <v/>
      </c>
      <c r="AN149">
        <f>IF(COUNT(O149,P149,Q149,R149,T149,V149,W149,X149,Y149,Z149,AA149,AC149)=0,"",TODAY()-MAX(O149,P149,Q149,R149,T149,V149,W149,X149,Y149,Z149,AA149,AC149))</f>
        <v/>
      </c>
      <c r="AO149">
        <f>IF(AJ149="","",IF(AND(T149&lt;&gt;"",U149&lt;&gt;"Active (verified)"),"GST: escalate (no tax advice)",IF(AND(IFERROR(VALUE(LEFT(AJ149,2)),0)&gt;=5,AH149&lt;&gt;"YES",ISNUMBER(AN149),AN149&gt;SETTINGS!$B$14),"STUCK in onboarding","")))</f>
        <v/>
      </c>
    </row>
    <row r="150">
      <c r="A150" t="n">
        <v>149</v>
      </c>
      <c r="B150" t="inlineStr">
        <is>
          <t>UPK2-FL-247</t>
        </is>
      </c>
      <c r="C150" t="inlineStr">
        <is>
          <t>Tasuvure</t>
        </is>
      </c>
      <c r="D150" t="inlineStr">
        <is>
          <t>Fashion &amp; Lifestyle</t>
        </is>
      </c>
      <c r="E150" t="inlineStr">
        <is>
          <t>FL-CONTEMPORARY</t>
        </is>
      </c>
      <c r="F150" t="inlineStr">
        <is>
          <t>Delhi NCR</t>
        </is>
      </c>
      <c r="G150" t="inlineStr">
        <is>
          <t>B</t>
        </is>
      </c>
      <c r="H150" t="inlineStr">
        <is>
          <t>P0</t>
        </is>
      </c>
      <c r="I150" t="inlineStr">
        <is>
          <t>stockist-listed|large catalogue</t>
        </is>
      </c>
      <c r="J150" t="inlineStr">
        <is>
          <t>Personal 1:1 email from founder/team to published business email</t>
        </is>
      </c>
      <c r="K150" t="inlineStr">
        <is>
          <t>https://tasuvure.in/pages/contact</t>
        </is>
      </c>
      <c r="L150" t="inlineStr">
        <is>
          <t>W2 Expansion</t>
        </is>
      </c>
      <c r="M150" t="inlineStr"/>
      <c r="N150" t="inlineStr"/>
      <c r="O150" s="10" t="inlineStr"/>
      <c r="P150" s="10" t="inlineStr"/>
      <c r="Q150" s="10" t="inlineStr"/>
      <c r="R150" s="10" t="inlineStr"/>
      <c r="S150" t="inlineStr"/>
      <c r="T150" s="10" t="inlineStr"/>
      <c r="U15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t="inlineStr"/>
      <c r="AC150" s="10" t="inlineStr"/>
      <c r="AD150" t="inlineStr"/>
      <c r="AE150" t="inlineStr"/>
      <c r="AF150" s="10" t="inlineStr"/>
      <c r="AG150" t="inlineStr"/>
      <c r="AH150">
        <f>IF(AND(B150="",C150=""),"",IF(AND(X150&lt;&gt;"",Y150&lt;&gt;"",Z150&lt;&gt;"",AA150&lt;&gt;"",AB150="Y"),"YES","no"))</f>
        <v/>
      </c>
      <c r="AI150" s="10">
        <f>IF(AH150="YES",MAX(X150,Y150,Z150,AA150),"")</f>
        <v/>
      </c>
      <c r="AJ150">
        <f>IF(AND(B150="",C150=""),"",IF(OR(S150="Not interested",S150="Opt-out / do not contact"),"X Declined / suppressed",IF(S150="Bounced / undeliverable","X Bounced — research",IF(AC150&lt;&gt;"","13 Transacting",IF(AH150="YES","12 ACTIVATED",IF(Z150&lt;&gt;"","11 Listing live",IF(Y150&lt;&gt;"","10 Profile complete",IF(X150&lt;&gt;"","9 Approved",IF(W150&lt;&gt;"","8 KYC submitted",IF(V150&lt;&gt;"","7 Registered",IF(T150&lt;&gt;"","5 Interested",IF(R150&lt;&gt;"","4 Responded",IF(O150&lt;&gt;"","2 Contacted","1 Not yet contacted")))))))))))))</f>
        <v/>
      </c>
      <c r="AK150" s="10">
        <f>IF(AF150&lt;&gt;"",AF150,IF(OR(O150="",R150&lt;&gt;"",LEFT(AJ150,1)="X"),"",IF(Q150&lt;&gt;"","",IF(P150&lt;&gt;"",P150+SETTINGS!$B$4,O150+SETTINGS!$B$3))))</f>
        <v/>
      </c>
      <c r="AL150">
        <f>IF(AJ150="","",IF(LEFT(AJ150,1)="X","None — do not contact",IF(AJ150="1 Not yet contacted","Verify route today, then send M1",IF(AND(R150="",Q150&lt;&gt;""),"Sequence complete — no contact before "&amp;TEXT(Q150+SETTINGS!$B$5,"yyyy-mm-dd"),IF(AND(R150="",P150&lt;&gt;""),"Send final note (M4)",IF(R150="","Send follow-up (M2)",IF(AJ150="12 ACTIVATED","7-day check-in; consent &amp; referral soft ask",IF(AJ150="13 Transacting","Repeat-activity support","Onboarding: move to next stage (see playbook §6)"))))))))</f>
        <v/>
      </c>
      <c r="AM150">
        <f>IF(ISNUMBER(AK150),IF(AK150&lt;=TODAY(),"DUE",""),"")</f>
        <v/>
      </c>
      <c r="AN150">
        <f>IF(COUNT(O150,P150,Q150,R150,T150,V150,W150,X150,Y150,Z150,AA150,AC150)=0,"",TODAY()-MAX(O150,P150,Q150,R150,T150,V150,W150,X150,Y150,Z150,AA150,AC150))</f>
        <v/>
      </c>
      <c r="AO150">
        <f>IF(AJ150="","",IF(AND(T150&lt;&gt;"",U150&lt;&gt;"Active (verified)"),"GST: escalate (no tax advice)",IF(AND(IFERROR(VALUE(LEFT(AJ150,2)),0)&gt;=5,AH150&lt;&gt;"YES",ISNUMBER(AN150),AN150&gt;SETTINGS!$B$14),"STUCK in onboarding","")))</f>
        <v/>
      </c>
    </row>
    <row r="151">
      <c r="A151" t="n">
        <v>150</v>
      </c>
      <c r="B151" t="inlineStr">
        <is>
          <t>UPK2-FL-252</t>
        </is>
      </c>
      <c r="C151" t="inlineStr">
        <is>
          <t>Zevar By Geeta</t>
        </is>
      </c>
      <c r="D151" t="inlineStr">
        <is>
          <t>Fashion &amp; Lifestyle</t>
        </is>
      </c>
      <c r="E151" t="inlineStr">
        <is>
          <t>FL-JEWELLERY</t>
        </is>
      </c>
      <c r="F151" t="inlineStr">
        <is>
          <t>Delhi NCR</t>
        </is>
      </c>
      <c r="G151" t="inlineStr">
        <is>
          <t>B</t>
        </is>
      </c>
      <c r="H151" t="inlineStr">
        <is>
          <t>P0</t>
        </is>
      </c>
      <c r="I151" t="inlineStr">
        <is>
          <t>stockist-listed|large catalogue</t>
        </is>
      </c>
      <c r="J151" t="inlineStr">
        <is>
          <t>Personal 1:1 email from founder/team to published business email</t>
        </is>
      </c>
      <c r="K151" t="inlineStr">
        <is>
          <t>https://www.zevarbygeeta.com/pages/bridal-appointment</t>
        </is>
      </c>
      <c r="L151" t="inlineStr">
        <is>
          <t>W2 Expansion</t>
        </is>
      </c>
      <c r="M151" t="inlineStr"/>
      <c r="N151" t="inlineStr"/>
      <c r="O151" s="10" t="inlineStr"/>
      <c r="P151" s="10" t="inlineStr"/>
      <c r="Q151" s="10" t="inlineStr"/>
      <c r="R151" s="10" t="inlineStr"/>
      <c r="S151" t="inlineStr"/>
      <c r="T151" s="10" t="inlineStr"/>
      <c r="U151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t="inlineStr"/>
      <c r="AC151" s="10" t="inlineStr"/>
      <c r="AD151" t="inlineStr"/>
      <c r="AE151" t="inlineStr"/>
      <c r="AF151" s="10" t="inlineStr"/>
      <c r="AG151" t="inlineStr"/>
      <c r="AH151">
        <f>IF(AND(B151="",C151=""),"",IF(AND(X151&lt;&gt;"",Y151&lt;&gt;"",Z151&lt;&gt;"",AA151&lt;&gt;"",AB151="Y"),"YES","no"))</f>
        <v/>
      </c>
      <c r="AI151" s="10">
        <f>IF(AH151="YES",MAX(X151,Y151,Z151,AA151),"")</f>
        <v/>
      </c>
      <c r="AJ151">
        <f>IF(AND(B151="",C151=""),"",IF(OR(S151="Not interested",S151="Opt-out / do not contact"),"X Declined / suppressed",IF(S151="Bounced / undeliverable","X Bounced — research",IF(AC151&lt;&gt;"","13 Transacting",IF(AH151="YES","12 ACTIVATED",IF(Z151&lt;&gt;"","11 Listing live",IF(Y151&lt;&gt;"","10 Profile complete",IF(X151&lt;&gt;"","9 Approved",IF(W151&lt;&gt;"","8 KYC submitted",IF(V151&lt;&gt;"","7 Registered",IF(T151&lt;&gt;"","5 Interested",IF(R151&lt;&gt;"","4 Responded",IF(O151&lt;&gt;"","2 Contacted","1 Not yet contacted")))))))))))))</f>
        <v/>
      </c>
      <c r="AK151" s="10">
        <f>IF(AF151&lt;&gt;"",AF151,IF(OR(O151="",R151&lt;&gt;"",LEFT(AJ151,1)="X"),"",IF(Q151&lt;&gt;"","",IF(P151&lt;&gt;"",P151+SETTINGS!$B$4,O151+SETTINGS!$B$3))))</f>
        <v/>
      </c>
      <c r="AL151">
        <f>IF(AJ151="","",IF(LEFT(AJ151,1)="X","None — do not contact",IF(AJ151="1 Not yet contacted","Verify route today, then send M1",IF(AND(R151="",Q151&lt;&gt;""),"Sequence complete — no contact before "&amp;TEXT(Q151+SETTINGS!$B$5,"yyyy-mm-dd"),IF(AND(R151="",P151&lt;&gt;""),"Send final note (M4)",IF(R151="","Send follow-up (M2)",IF(AJ151="12 ACTIVATED","7-day check-in; consent &amp; referral soft ask",IF(AJ151="13 Transacting","Repeat-activity support","Onboarding: move to next stage (see playbook §6)"))))))))</f>
        <v/>
      </c>
      <c r="AM151">
        <f>IF(ISNUMBER(AK151),IF(AK151&lt;=TODAY(),"DUE",""),"")</f>
        <v/>
      </c>
      <c r="AN151">
        <f>IF(COUNT(O151,P151,Q151,R151,T151,V151,W151,X151,Y151,Z151,AA151,AC151)=0,"",TODAY()-MAX(O151,P151,Q151,R151,T151,V151,W151,X151,Y151,Z151,AA151,AC151))</f>
        <v/>
      </c>
      <c r="AO151">
        <f>IF(AJ151="","",IF(AND(T151&lt;&gt;"",U151&lt;&gt;"Active (verified)"),"GST: escalate (no tax advice)",IF(AND(IFERROR(VALUE(LEFT(AJ151,2)),0)&gt;=5,AH151&lt;&gt;"YES",ISNUMBER(AN151),AN151&gt;SETTINGS!$B$14),"STUCK in onboarding","")))</f>
        <v/>
      </c>
    </row>
    <row r="152">
      <c r="A152" t="n">
        <v>151</v>
      </c>
      <c r="B152" t="inlineStr">
        <is>
          <t>UPK2-FL-248</t>
        </is>
      </c>
      <c r="C152" t="inlineStr">
        <is>
          <t>Vaaya</t>
        </is>
      </c>
      <c r="D152" t="inlineStr">
        <is>
          <t>Fashion &amp; Lifestyle</t>
        </is>
      </c>
      <c r="E152" t="inlineStr">
        <is>
          <t>FL-CONTEMPORARY</t>
        </is>
      </c>
      <c r="F152" t="inlineStr">
        <is>
          <t>Delhi NCR</t>
        </is>
      </c>
      <c r="G152" t="inlineStr">
        <is>
          <t>B</t>
        </is>
      </c>
      <c r="H152" t="inlineStr">
        <is>
          <t>P0</t>
        </is>
      </c>
      <c r="I152" t="inlineStr">
        <is>
          <t>stockist-listed|large catalogue</t>
        </is>
      </c>
      <c r="J152" t="inlineStr">
        <is>
          <t>Personal 1:1 email from founder/team to published business email</t>
        </is>
      </c>
      <c r="K152" t="inlineStr">
        <is>
          <t>https://vaaya.com/pages/contact</t>
        </is>
      </c>
      <c r="L152" t="inlineStr">
        <is>
          <t>W2 Expansion</t>
        </is>
      </c>
      <c r="M152" t="inlineStr"/>
      <c r="N152" t="inlineStr"/>
      <c r="O152" s="10" t="inlineStr"/>
      <c r="P152" s="10" t="inlineStr"/>
      <c r="Q152" s="10" t="inlineStr"/>
      <c r="R152" s="10" t="inlineStr"/>
      <c r="S152" t="inlineStr"/>
      <c r="T152" s="10" t="inlineStr"/>
      <c r="U152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t="inlineStr"/>
      <c r="AC152" s="10" t="inlineStr"/>
      <c r="AD152" t="inlineStr"/>
      <c r="AE152" t="inlineStr"/>
      <c r="AF152" s="10" t="inlineStr"/>
      <c r="AG152" t="inlineStr"/>
      <c r="AH152">
        <f>IF(AND(B152="",C152=""),"",IF(AND(X152&lt;&gt;"",Y152&lt;&gt;"",Z152&lt;&gt;"",AA152&lt;&gt;"",AB152="Y"),"YES","no"))</f>
        <v/>
      </c>
      <c r="AI152" s="10">
        <f>IF(AH152="YES",MAX(X152,Y152,Z152,AA152),"")</f>
        <v/>
      </c>
      <c r="AJ152">
        <f>IF(AND(B152="",C152=""),"",IF(OR(S152="Not interested",S152="Opt-out / do not contact"),"X Declined / suppressed",IF(S152="Bounced / undeliverable","X Bounced — research",IF(AC152&lt;&gt;"","13 Transacting",IF(AH152="YES","12 ACTIVATED",IF(Z152&lt;&gt;"","11 Listing live",IF(Y152&lt;&gt;"","10 Profile complete",IF(X152&lt;&gt;"","9 Approved",IF(W152&lt;&gt;"","8 KYC submitted",IF(V152&lt;&gt;"","7 Registered",IF(T152&lt;&gt;"","5 Interested",IF(R152&lt;&gt;"","4 Responded",IF(O152&lt;&gt;"","2 Contacted","1 Not yet contacted")))))))))))))</f>
        <v/>
      </c>
      <c r="AK152" s="10">
        <f>IF(AF152&lt;&gt;"",AF152,IF(OR(O152="",R152&lt;&gt;"",LEFT(AJ152,1)="X"),"",IF(Q152&lt;&gt;"","",IF(P152&lt;&gt;"",P152+SETTINGS!$B$4,O152+SETTINGS!$B$3))))</f>
        <v/>
      </c>
      <c r="AL152">
        <f>IF(AJ152="","",IF(LEFT(AJ152,1)="X","None — do not contact",IF(AJ152="1 Not yet contacted","Verify route today, then send M1",IF(AND(R152="",Q152&lt;&gt;""),"Sequence complete — no contact before "&amp;TEXT(Q152+SETTINGS!$B$5,"yyyy-mm-dd"),IF(AND(R152="",P152&lt;&gt;""),"Send final note (M4)",IF(R152="","Send follow-up (M2)",IF(AJ152="12 ACTIVATED","7-day check-in; consent &amp; referral soft ask",IF(AJ152="13 Transacting","Repeat-activity support","Onboarding: move to next stage (see playbook §6)"))))))))</f>
        <v/>
      </c>
      <c r="AM152">
        <f>IF(ISNUMBER(AK152),IF(AK152&lt;=TODAY(),"DUE",""),"")</f>
        <v/>
      </c>
      <c r="AN152">
        <f>IF(COUNT(O152,P152,Q152,R152,T152,V152,W152,X152,Y152,Z152,AA152,AC152)=0,"",TODAY()-MAX(O152,P152,Q152,R152,T152,V152,W152,X152,Y152,Z152,AA152,AC152))</f>
        <v/>
      </c>
      <c r="AO152">
        <f>IF(AJ152="","",IF(AND(T152&lt;&gt;"",U152&lt;&gt;"Active (verified)"),"GST: escalate (no tax advice)",IF(AND(IFERROR(VALUE(LEFT(AJ152,2)),0)&gt;=5,AH152&lt;&gt;"YES",ISNUMBER(AN152),AN152&gt;SETTINGS!$B$14),"STUCK in onboarding","")))</f>
        <v/>
      </c>
    </row>
    <row r="153">
      <c r="A153" t="n">
        <v>152</v>
      </c>
      <c r="B153" t="inlineStr">
        <is>
          <t>UPK2-FL-244</t>
        </is>
      </c>
      <c r="C153" t="inlineStr">
        <is>
          <t>Shahin Mannan</t>
        </is>
      </c>
      <c r="D153" t="inlineStr">
        <is>
          <t>Fashion &amp; Lifestyle</t>
        </is>
      </c>
      <c r="E153" t="inlineStr">
        <is>
          <t>FL-JEWELLERY</t>
        </is>
      </c>
      <c r="F153" t="inlineStr">
        <is>
          <t>Delhi NCR</t>
        </is>
      </c>
      <c r="G153" t="inlineStr">
        <is>
          <t>B</t>
        </is>
      </c>
      <c r="H153" t="inlineStr">
        <is>
          <t>P0</t>
        </is>
      </c>
      <c r="I153" t="inlineStr">
        <is>
          <t>stockist-listed|large catalogue</t>
        </is>
      </c>
      <c r="J153" t="inlineStr">
        <is>
          <t>Personal 1:1 email from founder/team to published business email</t>
        </is>
      </c>
      <c r="K153" t="inlineStr">
        <is>
          <t>https://www.shahinmannan.com/pages/contact-us</t>
        </is>
      </c>
      <c r="L153" t="inlineStr">
        <is>
          <t>W2 Expansion</t>
        </is>
      </c>
      <c r="M153" t="inlineStr"/>
      <c r="N153" t="inlineStr"/>
      <c r="O153" s="10" t="inlineStr"/>
      <c r="P153" s="10" t="inlineStr"/>
      <c r="Q153" s="10" t="inlineStr"/>
      <c r="R153" s="10" t="inlineStr"/>
      <c r="S153" t="inlineStr"/>
      <c r="T153" s="10" t="inlineStr"/>
      <c r="U153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t="inlineStr"/>
      <c r="AC153" s="10" t="inlineStr"/>
      <c r="AD153" t="inlineStr"/>
      <c r="AE153" t="inlineStr"/>
      <c r="AF153" s="10" t="inlineStr"/>
      <c r="AG153" t="inlineStr"/>
      <c r="AH153">
        <f>IF(AND(B153="",C153=""),"",IF(AND(X153&lt;&gt;"",Y153&lt;&gt;"",Z153&lt;&gt;"",AA153&lt;&gt;"",AB153="Y"),"YES","no"))</f>
        <v/>
      </c>
      <c r="AI153" s="10">
        <f>IF(AH153="YES",MAX(X153,Y153,Z153,AA153),"")</f>
        <v/>
      </c>
      <c r="AJ153">
        <f>IF(AND(B153="",C153=""),"",IF(OR(S153="Not interested",S153="Opt-out / do not contact"),"X Declined / suppressed",IF(S153="Bounced / undeliverable","X Bounced — research",IF(AC153&lt;&gt;"","13 Transacting",IF(AH153="YES","12 ACTIVATED",IF(Z153&lt;&gt;"","11 Listing live",IF(Y153&lt;&gt;"","10 Profile complete",IF(X153&lt;&gt;"","9 Approved",IF(W153&lt;&gt;"","8 KYC submitted",IF(V153&lt;&gt;"","7 Registered",IF(T153&lt;&gt;"","5 Interested",IF(R153&lt;&gt;"","4 Responded",IF(O153&lt;&gt;"","2 Contacted","1 Not yet contacted")))))))))))))</f>
        <v/>
      </c>
      <c r="AK153" s="10">
        <f>IF(AF153&lt;&gt;"",AF153,IF(OR(O153="",R153&lt;&gt;"",LEFT(AJ153,1)="X"),"",IF(Q153&lt;&gt;"","",IF(P153&lt;&gt;"",P153+SETTINGS!$B$4,O153+SETTINGS!$B$3))))</f>
        <v/>
      </c>
      <c r="AL153">
        <f>IF(AJ153="","",IF(LEFT(AJ153,1)="X","None — do not contact",IF(AJ153="1 Not yet contacted","Verify route today, then send M1",IF(AND(R153="",Q153&lt;&gt;""),"Sequence complete — no contact before "&amp;TEXT(Q153+SETTINGS!$B$5,"yyyy-mm-dd"),IF(AND(R153="",P153&lt;&gt;""),"Send final note (M4)",IF(R153="","Send follow-up (M2)",IF(AJ153="12 ACTIVATED","7-day check-in; consent &amp; referral soft ask",IF(AJ153="13 Transacting","Repeat-activity support","Onboarding: move to next stage (see playbook §6)"))))))))</f>
        <v/>
      </c>
      <c r="AM153">
        <f>IF(ISNUMBER(AK153),IF(AK153&lt;=TODAY(),"DUE",""),"")</f>
        <v/>
      </c>
      <c r="AN153">
        <f>IF(COUNT(O153,P153,Q153,R153,T153,V153,W153,X153,Y153,Z153,AA153,AC153)=0,"",TODAY()-MAX(O153,P153,Q153,R153,T153,V153,W153,X153,Y153,Z153,AA153,AC153))</f>
        <v/>
      </c>
      <c r="AO153">
        <f>IF(AJ153="","",IF(AND(T153&lt;&gt;"",U153&lt;&gt;"Active (verified)"),"GST: escalate (no tax advice)",IF(AND(IFERROR(VALUE(LEFT(AJ153,2)),0)&gt;=5,AH153&lt;&gt;"YES",ISNUMBER(AN153),AN153&gt;SETTINGS!$B$14),"STUCK in onboarding","")))</f>
        <v/>
      </c>
    </row>
    <row r="154">
      <c r="A154" t="n">
        <v>153</v>
      </c>
      <c r="B154" t="inlineStr">
        <is>
          <t>UPK2-SD-284</t>
        </is>
      </c>
      <c r="C154" t="inlineStr">
        <is>
          <t>Astoria Living</t>
        </is>
      </c>
      <c r="D154" t="inlineStr">
        <is>
          <t>Space &amp; Design</t>
        </is>
      </c>
      <c r="E154" t="inlineStr">
        <is>
          <t>SD-PRODUCT-MAKER</t>
        </is>
      </c>
      <c r="F154" t="inlineStr">
        <is>
          <t>Delhi NCR</t>
        </is>
      </c>
      <c r="G154" t="inlineStr">
        <is>
          <t>B</t>
        </is>
      </c>
      <c r="H154" t="inlineStr">
        <is>
          <t>P0</t>
        </is>
      </c>
      <c r="I154" t="inlineStr"/>
      <c r="J154" t="inlineStr">
        <is>
          <t>Personal 1:1 email from founder/team to published business email</t>
        </is>
      </c>
      <c r="K154" t="inlineStr">
        <is>
          <t>https://astorialiving.in/</t>
        </is>
      </c>
      <c r="L154" t="inlineStr">
        <is>
          <t>W2 Expansion</t>
        </is>
      </c>
      <c r="M154" t="inlineStr"/>
      <c r="N154" t="inlineStr"/>
      <c r="O154" s="10" t="inlineStr"/>
      <c r="P154" s="10" t="inlineStr"/>
      <c r="Q154" s="10" t="inlineStr"/>
      <c r="R154" s="10" t="inlineStr"/>
      <c r="S154" t="inlineStr"/>
      <c r="T154" s="10" t="inlineStr"/>
      <c r="U154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t="inlineStr"/>
      <c r="AC154" s="10" t="inlineStr"/>
      <c r="AD154" t="inlineStr"/>
      <c r="AE154" t="inlineStr"/>
      <c r="AF154" s="10" t="inlineStr"/>
      <c r="AG154" t="inlineStr"/>
      <c r="AH154">
        <f>IF(AND(B154="",C154=""),"",IF(AND(X154&lt;&gt;"",Y154&lt;&gt;"",Z154&lt;&gt;"",AA154&lt;&gt;"",AB154="Y"),"YES","no"))</f>
        <v/>
      </c>
      <c r="AI154" s="10">
        <f>IF(AH154="YES",MAX(X154,Y154,Z154,AA154),"")</f>
        <v/>
      </c>
      <c r="AJ154">
        <f>IF(AND(B154="",C154=""),"",IF(OR(S154="Not interested",S154="Opt-out / do not contact"),"X Declined / suppressed",IF(S154="Bounced / undeliverable","X Bounced — research",IF(AC154&lt;&gt;"","13 Transacting",IF(AH154="YES","12 ACTIVATED",IF(Z154&lt;&gt;"","11 Listing live",IF(Y154&lt;&gt;"","10 Profile complete",IF(X154&lt;&gt;"","9 Approved",IF(W154&lt;&gt;"","8 KYC submitted",IF(V154&lt;&gt;"","7 Registered",IF(T154&lt;&gt;"","5 Interested",IF(R154&lt;&gt;"","4 Responded",IF(O154&lt;&gt;"","2 Contacted","1 Not yet contacted")))))))))))))</f>
        <v/>
      </c>
      <c r="AK154" s="10">
        <f>IF(AF154&lt;&gt;"",AF154,IF(OR(O154="",R154&lt;&gt;"",LEFT(AJ154,1)="X"),"",IF(Q154&lt;&gt;"","",IF(P154&lt;&gt;"",P154+SETTINGS!$B$4,O154+SETTINGS!$B$3))))</f>
        <v/>
      </c>
      <c r="AL154">
        <f>IF(AJ154="","",IF(LEFT(AJ154,1)="X","None — do not contact",IF(AJ154="1 Not yet contacted","Verify route today, then send M1",IF(AND(R154="",Q154&lt;&gt;""),"Sequence complete — no contact before "&amp;TEXT(Q154+SETTINGS!$B$5,"yyyy-mm-dd"),IF(AND(R154="",P154&lt;&gt;""),"Send final note (M4)",IF(R154="","Send follow-up (M2)",IF(AJ154="12 ACTIVATED","7-day check-in; consent &amp; referral soft ask",IF(AJ154="13 Transacting","Repeat-activity support","Onboarding: move to next stage (see playbook §6)"))))))))</f>
        <v/>
      </c>
      <c r="AM154">
        <f>IF(ISNUMBER(AK154),IF(AK154&lt;=TODAY(),"DUE",""),"")</f>
        <v/>
      </c>
      <c r="AN154">
        <f>IF(COUNT(O154,P154,Q154,R154,T154,V154,W154,X154,Y154,Z154,AA154,AC154)=0,"",TODAY()-MAX(O154,P154,Q154,R154,T154,V154,W154,X154,Y154,Z154,AA154,AC154))</f>
        <v/>
      </c>
      <c r="AO154">
        <f>IF(AJ154="","",IF(AND(T154&lt;&gt;"",U154&lt;&gt;"Active (verified)"),"GST: escalate (no tax advice)",IF(AND(IFERROR(VALUE(LEFT(AJ154,2)),0)&gt;=5,AH154&lt;&gt;"YES",ISNUMBER(AN154),AN154&gt;SETTINGS!$B$14),"STUCK in onboarding","")))</f>
        <v/>
      </c>
    </row>
    <row r="155">
      <c r="A155" t="n">
        <v>154</v>
      </c>
      <c r="B155" t="inlineStr">
        <is>
          <t>UPK2-SD-280</t>
        </is>
      </c>
      <c r="C155" t="inlineStr">
        <is>
          <t>Jade Design Q</t>
        </is>
      </c>
      <c r="D155" t="inlineStr">
        <is>
          <t>Space &amp; Design</t>
        </is>
      </c>
      <c r="E155" t="inlineStr">
        <is>
          <t>SD-PRODUCT-MAKER</t>
        </is>
      </c>
      <c r="F155" t="inlineStr">
        <is>
          <t>Mumbai</t>
        </is>
      </c>
      <c r="G155" t="inlineStr">
        <is>
          <t>B</t>
        </is>
      </c>
      <c r="H155" t="inlineStr">
        <is>
          <t>P0</t>
        </is>
      </c>
      <c r="I155" t="inlineStr"/>
      <c r="J155" t="inlineStr">
        <is>
          <t>Personal 1:1 email from founder/team to published business email</t>
        </is>
      </c>
      <c r="K155" t="inlineStr">
        <is>
          <t>https://jadedesignq.com/contact-us/</t>
        </is>
      </c>
      <c r="L155" t="inlineStr">
        <is>
          <t>W2 Expansion</t>
        </is>
      </c>
      <c r="M155" t="inlineStr"/>
      <c r="N155" t="inlineStr"/>
      <c r="O155" s="10" t="inlineStr"/>
      <c r="P155" s="10" t="inlineStr"/>
      <c r="Q155" s="10" t="inlineStr"/>
      <c r="R155" s="10" t="inlineStr"/>
      <c r="S155" t="inlineStr"/>
      <c r="T155" s="10" t="inlineStr"/>
      <c r="U155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t="inlineStr"/>
      <c r="AC155" s="10" t="inlineStr"/>
      <c r="AD155" t="inlineStr"/>
      <c r="AE155" t="inlineStr"/>
      <c r="AF155" s="10" t="inlineStr"/>
      <c r="AG155" t="inlineStr"/>
      <c r="AH155">
        <f>IF(AND(B155="",C155=""),"",IF(AND(X155&lt;&gt;"",Y155&lt;&gt;"",Z155&lt;&gt;"",AA155&lt;&gt;"",AB155="Y"),"YES","no"))</f>
        <v/>
      </c>
      <c r="AI155" s="10">
        <f>IF(AH155="YES",MAX(X155,Y155,Z155,AA155),"")</f>
        <v/>
      </c>
      <c r="AJ155">
        <f>IF(AND(B155="",C155=""),"",IF(OR(S155="Not interested",S155="Opt-out / do not contact"),"X Declined / suppressed",IF(S155="Bounced / undeliverable","X Bounced — research",IF(AC155&lt;&gt;"","13 Transacting",IF(AH155="YES","12 ACTIVATED",IF(Z155&lt;&gt;"","11 Listing live",IF(Y155&lt;&gt;"","10 Profile complete",IF(X155&lt;&gt;"","9 Approved",IF(W155&lt;&gt;"","8 KYC submitted",IF(V155&lt;&gt;"","7 Registered",IF(T155&lt;&gt;"","5 Interested",IF(R155&lt;&gt;"","4 Responded",IF(O155&lt;&gt;"","2 Contacted","1 Not yet contacted")))))))))))))</f>
        <v/>
      </c>
      <c r="AK155" s="10">
        <f>IF(AF155&lt;&gt;"",AF155,IF(OR(O155="",R155&lt;&gt;"",LEFT(AJ155,1)="X"),"",IF(Q155&lt;&gt;"","",IF(P155&lt;&gt;"",P155+SETTINGS!$B$4,O155+SETTINGS!$B$3))))</f>
        <v/>
      </c>
      <c r="AL155">
        <f>IF(AJ155="","",IF(LEFT(AJ155,1)="X","None — do not contact",IF(AJ155="1 Not yet contacted","Verify route today, then send M1",IF(AND(R155="",Q155&lt;&gt;""),"Sequence complete — no contact before "&amp;TEXT(Q155+SETTINGS!$B$5,"yyyy-mm-dd"),IF(AND(R155="",P155&lt;&gt;""),"Send final note (M4)",IF(R155="","Send follow-up (M2)",IF(AJ155="12 ACTIVATED","7-day check-in; consent &amp; referral soft ask",IF(AJ155="13 Transacting","Repeat-activity support","Onboarding: move to next stage (see playbook §6)"))))))))</f>
        <v/>
      </c>
      <c r="AM155">
        <f>IF(ISNUMBER(AK155),IF(AK155&lt;=TODAY(),"DUE",""),"")</f>
        <v/>
      </c>
      <c r="AN155">
        <f>IF(COUNT(O155,P155,Q155,R155,T155,V155,W155,X155,Y155,Z155,AA155,AC155)=0,"",TODAY()-MAX(O155,P155,Q155,R155,T155,V155,W155,X155,Y155,Z155,AA155,AC155))</f>
        <v/>
      </c>
      <c r="AO155">
        <f>IF(AJ155="","",IF(AND(T155&lt;&gt;"",U155&lt;&gt;"Active (verified)"),"GST: escalate (no tax advice)",IF(AND(IFERROR(VALUE(LEFT(AJ155,2)),0)&gt;=5,AH155&lt;&gt;"YES",ISNUMBER(AN155),AN155&gt;SETTINGS!$B$14),"STUCK in onboarding","")))</f>
        <v/>
      </c>
    </row>
    <row r="156">
      <c r="A156" t="n">
        <v>155</v>
      </c>
      <c r="B156" t="inlineStr">
        <is>
          <t>UPK2-SD-282</t>
        </is>
      </c>
      <c r="C156" t="inlineStr">
        <is>
          <t>TAANNAZ</t>
        </is>
      </c>
      <c r="D156" t="inlineStr">
        <is>
          <t>Space &amp; Design</t>
        </is>
      </c>
      <c r="E156" t="inlineStr">
        <is>
          <t>SD-PRODUCT-MAKER</t>
        </is>
      </c>
      <c r="F156" t="inlineStr">
        <is>
          <t>Mumbai</t>
        </is>
      </c>
      <c r="G156" t="inlineStr">
        <is>
          <t>B</t>
        </is>
      </c>
      <c r="H156" t="inlineStr">
        <is>
          <t>P0</t>
        </is>
      </c>
      <c r="I156" t="inlineStr"/>
      <c r="J156" t="inlineStr">
        <is>
          <t>Personal 1:1 email from founder/team to published business email</t>
        </is>
      </c>
      <c r="K156" t="inlineStr">
        <is>
          <t>https://www.taannaz.in/contact-us/</t>
        </is>
      </c>
      <c r="L156" t="inlineStr">
        <is>
          <t>W2 Expansion</t>
        </is>
      </c>
      <c r="M156" t="inlineStr"/>
      <c r="N156" t="inlineStr"/>
      <c r="O156" s="10" t="inlineStr"/>
      <c r="P156" s="10" t="inlineStr"/>
      <c r="Q156" s="10" t="inlineStr"/>
      <c r="R156" s="10" t="inlineStr"/>
      <c r="S156" t="inlineStr"/>
      <c r="T156" s="10" t="inlineStr"/>
      <c r="U156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t="inlineStr"/>
      <c r="AC156" s="10" t="inlineStr"/>
      <c r="AD156" t="inlineStr"/>
      <c r="AE156" t="inlineStr"/>
      <c r="AF156" s="10" t="inlineStr"/>
      <c r="AG156" t="inlineStr"/>
      <c r="AH156">
        <f>IF(AND(B156="",C156=""),"",IF(AND(X156&lt;&gt;"",Y156&lt;&gt;"",Z156&lt;&gt;"",AA156&lt;&gt;"",AB156="Y"),"YES","no"))</f>
        <v/>
      </c>
      <c r="AI156" s="10">
        <f>IF(AH156="YES",MAX(X156,Y156,Z156,AA156),"")</f>
        <v/>
      </c>
      <c r="AJ156">
        <f>IF(AND(B156="",C156=""),"",IF(OR(S156="Not interested",S156="Opt-out / do not contact"),"X Declined / suppressed",IF(S156="Bounced / undeliverable","X Bounced — research",IF(AC156&lt;&gt;"","13 Transacting",IF(AH156="YES","12 ACTIVATED",IF(Z156&lt;&gt;"","11 Listing live",IF(Y156&lt;&gt;"","10 Profile complete",IF(X156&lt;&gt;"","9 Approved",IF(W156&lt;&gt;"","8 KYC submitted",IF(V156&lt;&gt;"","7 Registered",IF(T156&lt;&gt;"","5 Interested",IF(R156&lt;&gt;"","4 Responded",IF(O156&lt;&gt;"","2 Contacted","1 Not yet contacted")))))))))))))</f>
        <v/>
      </c>
      <c r="AK156" s="10">
        <f>IF(AF156&lt;&gt;"",AF156,IF(OR(O156="",R156&lt;&gt;"",LEFT(AJ156,1)="X"),"",IF(Q156&lt;&gt;"","",IF(P156&lt;&gt;"",P156+SETTINGS!$B$4,O156+SETTINGS!$B$3))))</f>
        <v/>
      </c>
      <c r="AL156">
        <f>IF(AJ156="","",IF(LEFT(AJ156,1)="X","None — do not contact",IF(AJ156="1 Not yet contacted","Verify route today, then send M1",IF(AND(R156="",Q156&lt;&gt;""),"Sequence complete — no contact before "&amp;TEXT(Q156+SETTINGS!$B$5,"yyyy-mm-dd"),IF(AND(R156="",P156&lt;&gt;""),"Send final note (M4)",IF(R156="","Send follow-up (M2)",IF(AJ156="12 ACTIVATED","7-day check-in; consent &amp; referral soft ask",IF(AJ156="13 Transacting","Repeat-activity support","Onboarding: move to next stage (see playbook §6)"))))))))</f>
        <v/>
      </c>
      <c r="AM156">
        <f>IF(ISNUMBER(AK156),IF(AK156&lt;=TODAY(),"DUE",""),"")</f>
        <v/>
      </c>
      <c r="AN156">
        <f>IF(COUNT(O156,P156,Q156,R156,T156,V156,W156,X156,Y156,Z156,AA156,AC156)=0,"",TODAY()-MAX(O156,P156,Q156,R156,T156,V156,W156,X156,Y156,Z156,AA156,AC156))</f>
        <v/>
      </c>
      <c r="AO156">
        <f>IF(AJ156="","",IF(AND(T156&lt;&gt;"",U156&lt;&gt;"Active (verified)"),"GST: escalate (no tax advice)",IF(AND(IFERROR(VALUE(LEFT(AJ156,2)),0)&gt;=5,AH156&lt;&gt;"YES",ISNUMBER(AN156),AN156&gt;SETTINGS!$B$14),"STUCK in onboarding","")))</f>
        <v/>
      </c>
    </row>
    <row r="157">
      <c r="A157" t="n">
        <v>156</v>
      </c>
      <c r="B157" t="inlineStr">
        <is>
          <t>UPK2-SD-277</t>
        </is>
      </c>
      <c r="C157" t="inlineStr">
        <is>
          <t>Milaaya Interiors</t>
        </is>
      </c>
      <c r="D157" t="inlineStr">
        <is>
          <t>Space &amp; Design</t>
        </is>
      </c>
      <c r="E157" t="inlineStr">
        <is>
          <t>SD-PRODUCT-MAKER</t>
        </is>
      </c>
      <c r="F157" t="inlineStr">
        <is>
          <t>Mumbai</t>
        </is>
      </c>
      <c r="G157" t="inlineStr">
        <is>
          <t>B</t>
        </is>
      </c>
      <c r="H157" t="inlineStr">
        <is>
          <t>P0</t>
        </is>
      </c>
      <c r="I157" t="inlineStr"/>
      <c r="J157" t="inlineStr">
        <is>
          <t>Personal 1:1 email from founder/team to published business email</t>
        </is>
      </c>
      <c r="K157" t="inlineStr">
        <is>
          <t>https://milaayainteriors.com/contact/form/</t>
        </is>
      </c>
      <c r="L157" t="inlineStr">
        <is>
          <t>W2 Expansion</t>
        </is>
      </c>
      <c r="M157" t="inlineStr"/>
      <c r="N157" t="inlineStr"/>
      <c r="O157" s="10" t="inlineStr"/>
      <c r="P157" s="10" t="inlineStr"/>
      <c r="Q157" s="10" t="inlineStr"/>
      <c r="R157" s="10" t="inlineStr"/>
      <c r="S157" t="inlineStr"/>
      <c r="T157" s="10" t="inlineStr"/>
      <c r="U157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t="inlineStr"/>
      <c r="AC157" s="10" t="inlineStr"/>
      <c r="AD157" t="inlineStr"/>
      <c r="AE157" t="inlineStr"/>
      <c r="AF157" s="10" t="inlineStr"/>
      <c r="AG157" t="inlineStr"/>
      <c r="AH157">
        <f>IF(AND(B157="",C157=""),"",IF(AND(X157&lt;&gt;"",Y157&lt;&gt;"",Z157&lt;&gt;"",AA157&lt;&gt;"",AB157="Y"),"YES","no"))</f>
        <v/>
      </c>
      <c r="AI157" s="10">
        <f>IF(AH157="YES",MAX(X157,Y157,Z157,AA157),"")</f>
        <v/>
      </c>
      <c r="AJ157">
        <f>IF(AND(B157="",C157=""),"",IF(OR(S157="Not interested",S157="Opt-out / do not contact"),"X Declined / suppressed",IF(S157="Bounced / undeliverable","X Bounced — research",IF(AC157&lt;&gt;"","13 Transacting",IF(AH157="YES","12 ACTIVATED",IF(Z157&lt;&gt;"","11 Listing live",IF(Y157&lt;&gt;"","10 Profile complete",IF(X157&lt;&gt;"","9 Approved",IF(W157&lt;&gt;"","8 KYC submitted",IF(V157&lt;&gt;"","7 Registered",IF(T157&lt;&gt;"","5 Interested",IF(R157&lt;&gt;"","4 Responded",IF(O157&lt;&gt;"","2 Contacted","1 Not yet contacted")))))))))))))</f>
        <v/>
      </c>
      <c r="AK157" s="10">
        <f>IF(AF157&lt;&gt;"",AF157,IF(OR(O157="",R157&lt;&gt;"",LEFT(AJ157,1)="X"),"",IF(Q157&lt;&gt;"","",IF(P157&lt;&gt;"",P157+SETTINGS!$B$4,O157+SETTINGS!$B$3))))</f>
        <v/>
      </c>
      <c r="AL157">
        <f>IF(AJ157="","",IF(LEFT(AJ157,1)="X","None — do not contact",IF(AJ157="1 Not yet contacted","Verify route today, then send M1",IF(AND(R157="",Q157&lt;&gt;""),"Sequence complete — no contact before "&amp;TEXT(Q157+SETTINGS!$B$5,"yyyy-mm-dd"),IF(AND(R157="",P157&lt;&gt;""),"Send final note (M4)",IF(R157="","Send follow-up (M2)",IF(AJ157="12 ACTIVATED","7-day check-in; consent &amp; referral soft ask",IF(AJ157="13 Transacting","Repeat-activity support","Onboarding: move to next stage (see playbook §6)"))))))))</f>
        <v/>
      </c>
      <c r="AM157">
        <f>IF(ISNUMBER(AK157),IF(AK157&lt;=TODAY(),"DUE",""),"")</f>
        <v/>
      </c>
      <c r="AN157">
        <f>IF(COUNT(O157,P157,Q157,R157,T157,V157,W157,X157,Y157,Z157,AA157,AC157)=0,"",TODAY()-MAX(O157,P157,Q157,R157,T157,V157,W157,X157,Y157,Z157,AA157,AC157))</f>
        <v/>
      </c>
      <c r="AO157">
        <f>IF(AJ157="","",IF(AND(T157&lt;&gt;"",U157&lt;&gt;"Active (verified)"),"GST: escalate (no tax advice)",IF(AND(IFERROR(VALUE(LEFT(AJ157,2)),0)&gt;=5,AH157&lt;&gt;"YES",ISNUMBER(AN157),AN157&gt;SETTINGS!$B$14),"STUCK in onboarding","")))</f>
        <v/>
      </c>
    </row>
    <row r="158">
      <c r="A158" t="n">
        <v>157</v>
      </c>
      <c r="B158" t="inlineStr">
        <is>
          <t>UPK2-SD-278</t>
        </is>
      </c>
      <c r="C158" t="inlineStr">
        <is>
          <t>Vakr Studio</t>
        </is>
      </c>
      <c r="D158" t="inlineStr">
        <is>
          <t>Space &amp; Design</t>
        </is>
      </c>
      <c r="E158" t="inlineStr">
        <is>
          <t>SD-PRODUCT-MAKER</t>
        </is>
      </c>
      <c r="F158" t="inlineStr">
        <is>
          <t>Delhi NCR</t>
        </is>
      </c>
      <c r="G158" t="inlineStr">
        <is>
          <t>B</t>
        </is>
      </c>
      <c r="H158" t="inlineStr">
        <is>
          <t>P0</t>
        </is>
      </c>
      <c r="I158" t="inlineStr"/>
      <c r="J158" t="inlineStr">
        <is>
          <t>Personal 1:1 email from founder/team to published business email</t>
        </is>
      </c>
      <c r="K158" t="inlineStr">
        <is>
          <t>https://www.vakrstudio.com/</t>
        </is>
      </c>
      <c r="L158" t="inlineStr">
        <is>
          <t>W2 Expansion</t>
        </is>
      </c>
      <c r="M158" t="inlineStr"/>
      <c r="N158" t="inlineStr"/>
      <c r="O158" s="10" t="inlineStr"/>
      <c r="P158" s="10" t="inlineStr"/>
      <c r="Q158" s="10" t="inlineStr"/>
      <c r="R158" s="10" t="inlineStr"/>
      <c r="S158" t="inlineStr"/>
      <c r="T158" s="10" t="inlineStr"/>
      <c r="U158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t="inlineStr"/>
      <c r="AC158" s="10" t="inlineStr"/>
      <c r="AD158" t="inlineStr"/>
      <c r="AE158" t="inlineStr"/>
      <c r="AF158" s="10" t="inlineStr"/>
      <c r="AG158" t="inlineStr"/>
      <c r="AH158">
        <f>IF(AND(B158="",C158=""),"",IF(AND(X158&lt;&gt;"",Y158&lt;&gt;"",Z158&lt;&gt;"",AA158&lt;&gt;"",AB158="Y"),"YES","no"))</f>
        <v/>
      </c>
      <c r="AI158" s="10">
        <f>IF(AH158="YES",MAX(X158,Y158,Z158,AA158),"")</f>
        <v/>
      </c>
      <c r="AJ158">
        <f>IF(AND(B158="",C158=""),"",IF(OR(S158="Not interested",S158="Opt-out / do not contact"),"X Declined / suppressed",IF(S158="Bounced / undeliverable","X Bounced — research",IF(AC158&lt;&gt;"","13 Transacting",IF(AH158="YES","12 ACTIVATED",IF(Z158&lt;&gt;"","11 Listing live",IF(Y158&lt;&gt;"","10 Profile complete",IF(X158&lt;&gt;"","9 Approved",IF(W158&lt;&gt;"","8 KYC submitted",IF(V158&lt;&gt;"","7 Registered",IF(T158&lt;&gt;"","5 Interested",IF(R158&lt;&gt;"","4 Responded",IF(O158&lt;&gt;"","2 Contacted","1 Not yet contacted")))))))))))))</f>
        <v/>
      </c>
      <c r="AK158" s="10">
        <f>IF(AF158&lt;&gt;"",AF158,IF(OR(O158="",R158&lt;&gt;"",LEFT(AJ158,1)="X"),"",IF(Q158&lt;&gt;"","",IF(P158&lt;&gt;"",P158+SETTINGS!$B$4,O158+SETTINGS!$B$3))))</f>
        <v/>
      </c>
      <c r="AL158">
        <f>IF(AJ158="","",IF(LEFT(AJ158,1)="X","None — do not contact",IF(AJ158="1 Not yet contacted","Verify route today, then send M1",IF(AND(R158="",Q158&lt;&gt;""),"Sequence complete — no contact before "&amp;TEXT(Q158+SETTINGS!$B$5,"yyyy-mm-dd"),IF(AND(R158="",P158&lt;&gt;""),"Send final note (M4)",IF(R158="","Send follow-up (M2)",IF(AJ158="12 ACTIVATED","7-day check-in; consent &amp; referral soft ask",IF(AJ158="13 Transacting","Repeat-activity support","Onboarding: move to next stage (see playbook §6)"))))))))</f>
        <v/>
      </c>
      <c r="AM158">
        <f>IF(ISNUMBER(AK158),IF(AK158&lt;=TODAY(),"DUE",""),"")</f>
        <v/>
      </c>
      <c r="AN158">
        <f>IF(COUNT(O158,P158,Q158,R158,T158,V158,W158,X158,Y158,Z158,AA158,AC158)=0,"",TODAY()-MAX(O158,P158,Q158,R158,T158,V158,W158,X158,Y158,Z158,AA158,AC158))</f>
        <v/>
      </c>
      <c r="AO158">
        <f>IF(AJ158="","",IF(AND(T158&lt;&gt;"",U158&lt;&gt;"Active (verified)"),"GST: escalate (no tax advice)",IF(AND(IFERROR(VALUE(LEFT(AJ158,2)),0)&gt;=5,AH158&lt;&gt;"YES",ISNUMBER(AN158),AN158&gt;SETTINGS!$B$14),"STUCK in onboarding","")))</f>
        <v/>
      </c>
    </row>
    <row r="159">
      <c r="A159" t="n">
        <v>158</v>
      </c>
      <c r="B159" t="inlineStr">
        <is>
          <t>UPK2-SD-287</t>
        </is>
      </c>
      <c r="C159" t="inlineStr">
        <is>
          <t>stem design</t>
        </is>
      </c>
      <c r="D159" t="inlineStr">
        <is>
          <t>Space &amp; Design</t>
        </is>
      </c>
      <c r="E159" t="inlineStr">
        <is>
          <t>SD-PRODUCT-MAKER</t>
        </is>
      </c>
      <c r="F159" t="inlineStr">
        <is>
          <t>Delhi NCR</t>
        </is>
      </c>
      <c r="G159" t="inlineStr">
        <is>
          <t>B</t>
        </is>
      </c>
      <c r="H159" t="inlineStr">
        <is>
          <t>P0</t>
        </is>
      </c>
      <c r="I159" t="inlineStr"/>
      <c r="J159" t="inlineStr">
        <is>
          <t>Personal 1:1 email from founder/team to published business email</t>
        </is>
      </c>
      <c r="K159" t="inlineStr">
        <is>
          <t>https://stemdesign.co/</t>
        </is>
      </c>
      <c r="L159" t="inlineStr">
        <is>
          <t>W2 Expansion</t>
        </is>
      </c>
      <c r="M159" t="inlineStr"/>
      <c r="N159" t="inlineStr"/>
      <c r="O159" s="10" t="inlineStr"/>
      <c r="P159" s="10" t="inlineStr"/>
      <c r="Q159" s="10" t="inlineStr"/>
      <c r="R159" s="10" t="inlineStr"/>
      <c r="S159" t="inlineStr"/>
      <c r="T159" s="10" t="inlineStr"/>
      <c r="U159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t="inlineStr"/>
      <c r="AC159" s="10" t="inlineStr"/>
      <c r="AD159" t="inlineStr"/>
      <c r="AE159" t="inlineStr"/>
      <c r="AF159" s="10" t="inlineStr"/>
      <c r="AG159" t="inlineStr"/>
      <c r="AH159">
        <f>IF(AND(B159="",C159=""),"",IF(AND(X159&lt;&gt;"",Y159&lt;&gt;"",Z159&lt;&gt;"",AA159&lt;&gt;"",AB159="Y"),"YES","no"))</f>
        <v/>
      </c>
      <c r="AI159" s="10">
        <f>IF(AH159="YES",MAX(X159,Y159,Z159,AA159),"")</f>
        <v/>
      </c>
      <c r="AJ159">
        <f>IF(AND(B159="",C159=""),"",IF(OR(S159="Not interested",S159="Opt-out / do not contact"),"X Declined / suppressed",IF(S159="Bounced / undeliverable","X Bounced — research",IF(AC159&lt;&gt;"","13 Transacting",IF(AH159="YES","12 ACTIVATED",IF(Z159&lt;&gt;"","11 Listing live",IF(Y159&lt;&gt;"","10 Profile complete",IF(X159&lt;&gt;"","9 Approved",IF(W159&lt;&gt;"","8 KYC submitted",IF(V159&lt;&gt;"","7 Registered",IF(T159&lt;&gt;"","5 Interested",IF(R159&lt;&gt;"","4 Responded",IF(O159&lt;&gt;"","2 Contacted","1 Not yet contacted")))))))))))))</f>
        <v/>
      </c>
      <c r="AK159" s="10">
        <f>IF(AF159&lt;&gt;"",AF159,IF(OR(O159="",R159&lt;&gt;"",LEFT(AJ159,1)="X"),"",IF(Q159&lt;&gt;"","",IF(P159&lt;&gt;"",P159+SETTINGS!$B$4,O159+SETTINGS!$B$3))))</f>
        <v/>
      </c>
      <c r="AL159">
        <f>IF(AJ159="","",IF(LEFT(AJ159,1)="X","None — do not contact",IF(AJ159="1 Not yet contacted","Verify route today, then send M1",IF(AND(R159="",Q159&lt;&gt;""),"Sequence complete — no contact before "&amp;TEXT(Q159+SETTINGS!$B$5,"yyyy-mm-dd"),IF(AND(R159="",P159&lt;&gt;""),"Send final note (M4)",IF(R159="","Send follow-up (M2)",IF(AJ159="12 ACTIVATED","7-day check-in; consent &amp; referral soft ask",IF(AJ159="13 Transacting","Repeat-activity support","Onboarding: move to next stage (see playbook §6)"))))))))</f>
        <v/>
      </c>
      <c r="AM159">
        <f>IF(ISNUMBER(AK159),IF(AK159&lt;=TODAY(),"DUE",""),"")</f>
        <v/>
      </c>
      <c r="AN159">
        <f>IF(COUNT(O159,P159,Q159,R159,T159,V159,W159,X159,Y159,Z159,AA159,AC159)=0,"",TODAY()-MAX(O159,P159,Q159,R159,T159,V159,W159,X159,Y159,Z159,AA159,AC159))</f>
        <v/>
      </c>
      <c r="AO159">
        <f>IF(AJ159="","",IF(AND(T159&lt;&gt;"",U159&lt;&gt;"Active (verified)"),"GST: escalate (no tax advice)",IF(AND(IFERROR(VALUE(LEFT(AJ159,2)),0)&gt;=5,AH159&lt;&gt;"YES",ISNUMBER(AN159),AN159&gt;SETTINGS!$B$14),"STUCK in onboarding","")))</f>
        <v/>
      </c>
    </row>
    <row r="160">
      <c r="A160" t="n">
        <v>159</v>
      </c>
      <c r="B160" t="inlineStr">
        <is>
          <t>UPK2-SD-288</t>
        </is>
      </c>
      <c r="C160" t="inlineStr">
        <is>
          <t>Baby Select</t>
        </is>
      </c>
      <c r="D160" t="inlineStr">
        <is>
          <t>Space &amp; Design</t>
        </is>
      </c>
      <c r="E160" t="inlineStr">
        <is>
          <t>SD-PRODUCT-MAKER</t>
        </is>
      </c>
      <c r="F160" t="inlineStr">
        <is>
          <t>Delhi NCR</t>
        </is>
      </c>
      <c r="G160" t="inlineStr">
        <is>
          <t>B</t>
        </is>
      </c>
      <c r="H160" t="inlineStr">
        <is>
          <t>P0</t>
        </is>
      </c>
      <c r="I160" t="inlineStr"/>
      <c r="J160" t="inlineStr">
        <is>
          <t>Personal 1:1 email from founder/team to published business email</t>
        </is>
      </c>
      <c r="K160" t="inlineStr">
        <is>
          <t>https://www.babyselect.in/</t>
        </is>
      </c>
      <c r="L160" t="inlineStr">
        <is>
          <t>W2 Expansion</t>
        </is>
      </c>
      <c r="M160" t="inlineStr"/>
      <c r="N160" t="inlineStr"/>
      <c r="O160" s="10" t="inlineStr"/>
      <c r="P160" s="10" t="inlineStr"/>
      <c r="Q160" s="10" t="inlineStr"/>
      <c r="R160" s="10" t="inlineStr"/>
      <c r="S160" t="inlineStr"/>
      <c r="T160" s="10" t="inlineStr"/>
      <c r="U160" t="inlineStr"/>
      <c r="V160" s="10" t="inlineStr"/>
      <c r="W160" s="10" t="inlineStr"/>
      <c r="X160" s="10" t="inlineStr"/>
      <c r="Y160" s="10" t="inlineStr"/>
      <c r="Z160" s="10" t="inlineStr"/>
      <c r="AA160" s="10" t="inlineStr"/>
      <c r="AB160" t="inlineStr"/>
      <c r="AC160" s="10" t="inlineStr"/>
      <c r="AD160" t="inlineStr"/>
      <c r="AE160" t="inlineStr"/>
      <c r="AF160" s="10" t="inlineStr"/>
      <c r="AG160" t="inlineStr"/>
      <c r="AH160">
        <f>IF(AND(B160="",C160=""),"",IF(AND(X160&lt;&gt;"",Y160&lt;&gt;"",Z160&lt;&gt;"",AA160&lt;&gt;"",AB160="Y"),"YES","no"))</f>
        <v/>
      </c>
      <c r="AI160" s="10">
        <f>IF(AH160="YES",MAX(X160,Y160,Z160,AA160),"")</f>
        <v/>
      </c>
      <c r="AJ160">
        <f>IF(AND(B160="",C160=""),"",IF(OR(S160="Not interested",S160="Opt-out / do not contact"),"X Declined / suppressed",IF(S160="Bounced / undeliverable","X Bounced — research",IF(AC160&lt;&gt;"","13 Transacting",IF(AH160="YES","12 ACTIVATED",IF(Z160&lt;&gt;"","11 Listing live",IF(Y160&lt;&gt;"","10 Profile complete",IF(X160&lt;&gt;"","9 Approved",IF(W160&lt;&gt;"","8 KYC submitted",IF(V160&lt;&gt;"","7 Registered",IF(T160&lt;&gt;"","5 Interested",IF(R160&lt;&gt;"","4 Responded",IF(O160&lt;&gt;"","2 Contacted","1 Not yet contacted")))))))))))))</f>
        <v/>
      </c>
      <c r="AK160" s="10">
        <f>IF(AF160&lt;&gt;"",AF160,IF(OR(O160="",R160&lt;&gt;"",LEFT(AJ160,1)="X"),"",IF(Q160&lt;&gt;"","",IF(P160&lt;&gt;"",P160+SETTINGS!$B$4,O160+SETTINGS!$B$3))))</f>
        <v/>
      </c>
      <c r="AL160">
        <f>IF(AJ160="","",IF(LEFT(AJ160,1)="X","None — do not contact",IF(AJ160="1 Not yet contacted","Verify route today, then send M1",IF(AND(R160="",Q160&lt;&gt;""),"Sequence complete — no contact before "&amp;TEXT(Q160+SETTINGS!$B$5,"yyyy-mm-dd"),IF(AND(R160="",P160&lt;&gt;""),"Send final note (M4)",IF(R160="","Send follow-up (M2)",IF(AJ160="12 ACTIVATED","7-day check-in; consent &amp; referral soft ask",IF(AJ160="13 Transacting","Repeat-activity support","Onboarding: move to next stage (see playbook §6)"))))))))</f>
        <v/>
      </c>
      <c r="AM160">
        <f>IF(ISNUMBER(AK160),IF(AK160&lt;=TODAY(),"DUE",""),"")</f>
        <v/>
      </c>
      <c r="AN160">
        <f>IF(COUNT(O160,P160,Q160,R160,T160,V160,W160,X160,Y160,Z160,AA160,AC160)=0,"",TODAY()-MAX(O160,P160,Q160,R160,T160,V160,W160,X160,Y160,Z160,AA160,AC160))</f>
        <v/>
      </c>
      <c r="AO160">
        <f>IF(AJ160="","",IF(AND(T160&lt;&gt;"",U160&lt;&gt;"Active (verified)"),"GST: escalate (no tax advice)",IF(AND(IFERROR(VALUE(LEFT(AJ160,2)),0)&gt;=5,AH160&lt;&gt;"YES",ISNUMBER(AN160),AN160&gt;SETTINGS!$B$14),"STUCK in onboarding","")))</f>
        <v/>
      </c>
    </row>
    <row r="161">
      <c r="A161" t="n">
        <v>160</v>
      </c>
      <c r="B161" t="inlineStr">
        <is>
          <t>UPK2-SD-295</t>
        </is>
      </c>
      <c r="C161" t="inlineStr">
        <is>
          <t>apartment9</t>
        </is>
      </c>
      <c r="D161" t="inlineStr">
        <is>
          <t>Space &amp; Design</t>
        </is>
      </c>
      <c r="E161" t="inlineStr">
        <is>
          <t>SD-PRODUCT-MAKER</t>
        </is>
      </c>
      <c r="F161" t="inlineStr">
        <is>
          <t>Delhi NCR</t>
        </is>
      </c>
      <c r="G161" t="inlineStr">
        <is>
          <t>B</t>
        </is>
      </c>
      <c r="H161" t="inlineStr">
        <is>
          <t>P0</t>
        </is>
      </c>
      <c r="I161" t="inlineStr"/>
      <c r="J161" t="inlineStr">
        <is>
          <t>Personal 1:1 email from founder/team to published business email</t>
        </is>
      </c>
      <c r="K161" t="inlineStr">
        <is>
          <t>https://apartment9.in/</t>
        </is>
      </c>
      <c r="L161" t="inlineStr">
        <is>
          <t>W2 Expansion</t>
        </is>
      </c>
      <c r="M161" t="inlineStr"/>
      <c r="N161" t="inlineStr"/>
      <c r="O161" s="10" t="inlineStr"/>
      <c r="P161" s="10" t="inlineStr"/>
      <c r="Q161" s="10" t="inlineStr"/>
      <c r="R161" s="10" t="inlineStr"/>
      <c r="S161" t="inlineStr"/>
      <c r="T161" s="10" t="inlineStr"/>
      <c r="U161" t="inlineStr"/>
      <c r="V161" s="10" t="inlineStr"/>
      <c r="W161" s="10" t="inlineStr"/>
      <c r="X161" s="10" t="inlineStr"/>
      <c r="Y161" s="10" t="inlineStr"/>
      <c r="Z161" s="10" t="inlineStr"/>
      <c r="AA161" s="10" t="inlineStr"/>
      <c r="AB161" t="inlineStr"/>
      <c r="AC161" s="10" t="inlineStr"/>
      <c r="AD161" t="inlineStr"/>
      <c r="AE161" t="inlineStr"/>
      <c r="AF161" s="10" t="inlineStr"/>
      <c r="AG161" t="inlineStr"/>
      <c r="AH161">
        <f>IF(AND(B161="",C161=""),"",IF(AND(X161&lt;&gt;"",Y161&lt;&gt;"",Z161&lt;&gt;"",AA161&lt;&gt;"",AB161="Y"),"YES","no"))</f>
        <v/>
      </c>
      <c r="AI161" s="10">
        <f>IF(AH161="YES",MAX(X161,Y161,Z161,AA161),"")</f>
        <v/>
      </c>
      <c r="AJ161">
        <f>IF(AND(B161="",C161=""),"",IF(OR(S161="Not interested",S161="Opt-out / do not contact"),"X Declined / suppressed",IF(S161="Bounced / undeliverable","X Bounced — research",IF(AC161&lt;&gt;"","13 Transacting",IF(AH161="YES","12 ACTIVATED",IF(Z161&lt;&gt;"","11 Listing live",IF(Y161&lt;&gt;"","10 Profile complete",IF(X161&lt;&gt;"","9 Approved",IF(W161&lt;&gt;"","8 KYC submitted",IF(V161&lt;&gt;"","7 Registered",IF(T161&lt;&gt;"","5 Interested",IF(R161&lt;&gt;"","4 Responded",IF(O161&lt;&gt;"","2 Contacted","1 Not yet contacted")))))))))))))</f>
        <v/>
      </c>
      <c r="AK161" s="10">
        <f>IF(AF161&lt;&gt;"",AF161,IF(OR(O161="",R161&lt;&gt;"",LEFT(AJ161,1)="X"),"",IF(Q161&lt;&gt;"","",IF(P161&lt;&gt;"",P161+SETTINGS!$B$4,O161+SETTINGS!$B$3))))</f>
        <v/>
      </c>
      <c r="AL161">
        <f>IF(AJ161="","",IF(LEFT(AJ161,1)="X","None — do not contact",IF(AJ161="1 Not yet contacted","Verify route today, then send M1",IF(AND(R161="",Q161&lt;&gt;""),"Sequence complete — no contact before "&amp;TEXT(Q161+SETTINGS!$B$5,"yyyy-mm-dd"),IF(AND(R161="",P161&lt;&gt;""),"Send final note (M4)",IF(R161="","Send follow-up (M2)",IF(AJ161="12 ACTIVATED","7-day check-in; consent &amp; referral soft ask",IF(AJ161="13 Transacting","Repeat-activity support","Onboarding: move to next stage (see playbook §6)"))))))))</f>
        <v/>
      </c>
      <c r="AM161">
        <f>IF(ISNUMBER(AK161),IF(AK161&lt;=TODAY(),"DUE",""),"")</f>
        <v/>
      </c>
      <c r="AN161">
        <f>IF(COUNT(O161,P161,Q161,R161,T161,V161,W161,X161,Y161,Z161,AA161,AC161)=0,"",TODAY()-MAX(O161,P161,Q161,R161,T161,V161,W161,X161,Y161,Z161,AA161,AC161))</f>
        <v/>
      </c>
      <c r="AO161">
        <f>IF(AJ161="","",IF(AND(T161&lt;&gt;"",U161&lt;&gt;"Active (verified)"),"GST: escalate (no tax advice)",IF(AND(IFERROR(VALUE(LEFT(AJ161,2)),0)&gt;=5,AH161&lt;&gt;"YES",ISNUMBER(AN161),AN161&gt;SETTINGS!$B$14),"STUCK in onboarding","")))</f>
        <v/>
      </c>
    </row>
    <row r="162">
      <c r="A162" t="n">
        <v>161</v>
      </c>
      <c r="B162" t="inlineStr">
        <is>
          <t>UPK2-SD-314</t>
        </is>
      </c>
      <c r="C162" t="inlineStr">
        <is>
          <t>Alaiia Gujral Studio</t>
        </is>
      </c>
      <c r="D162" t="inlineStr">
        <is>
          <t>Space &amp; Design</t>
        </is>
      </c>
      <c r="E162" t="inlineStr">
        <is>
          <t>SD-PRODUCT-MAKER</t>
        </is>
      </c>
      <c r="F162" t="inlineStr">
        <is>
          <t>Delhi NCR</t>
        </is>
      </c>
      <c r="G162" t="inlineStr">
        <is>
          <t>B</t>
        </is>
      </c>
      <c r="H162" t="inlineStr">
        <is>
          <t>P0</t>
        </is>
      </c>
      <c r="I162" t="inlineStr"/>
      <c r="J162" t="inlineStr">
        <is>
          <t>Personal 1:1 email from founder/team to published business email</t>
        </is>
      </c>
      <c r="K162" t="inlineStr">
        <is>
          <t>https://alaiiagujral.com/</t>
        </is>
      </c>
      <c r="L162" t="inlineStr">
        <is>
          <t>W2 Expansion</t>
        </is>
      </c>
      <c r="M162" t="inlineStr"/>
      <c r="N162" t="inlineStr"/>
      <c r="O162" s="10" t="inlineStr"/>
      <c r="P162" s="10" t="inlineStr"/>
      <c r="Q162" s="10" t="inlineStr"/>
      <c r="R162" s="10" t="inlineStr"/>
      <c r="S162" t="inlineStr"/>
      <c r="T162" s="10" t="inlineStr"/>
      <c r="U162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t="inlineStr"/>
      <c r="AC162" s="10" t="inlineStr"/>
      <c r="AD162" t="inlineStr"/>
      <c r="AE162" t="inlineStr"/>
      <c r="AF162" s="10" t="inlineStr"/>
      <c r="AG162" t="inlineStr"/>
      <c r="AH162">
        <f>IF(AND(B162="",C162=""),"",IF(AND(X162&lt;&gt;"",Y162&lt;&gt;"",Z162&lt;&gt;"",AA162&lt;&gt;"",AB162="Y"),"YES","no"))</f>
        <v/>
      </c>
      <c r="AI162" s="10">
        <f>IF(AH162="YES",MAX(X162,Y162,Z162,AA162),"")</f>
        <v/>
      </c>
      <c r="AJ162">
        <f>IF(AND(B162="",C162=""),"",IF(OR(S162="Not interested",S162="Opt-out / do not contact"),"X Declined / suppressed",IF(S162="Bounced / undeliverable","X Bounced — research",IF(AC162&lt;&gt;"","13 Transacting",IF(AH162="YES","12 ACTIVATED",IF(Z162&lt;&gt;"","11 Listing live",IF(Y162&lt;&gt;"","10 Profile complete",IF(X162&lt;&gt;"","9 Approved",IF(W162&lt;&gt;"","8 KYC submitted",IF(V162&lt;&gt;"","7 Registered",IF(T162&lt;&gt;"","5 Interested",IF(R162&lt;&gt;"","4 Responded",IF(O162&lt;&gt;"","2 Contacted","1 Not yet contacted")))))))))))))</f>
        <v/>
      </c>
      <c r="AK162" s="10">
        <f>IF(AF162&lt;&gt;"",AF162,IF(OR(O162="",R162&lt;&gt;"",LEFT(AJ162,1)="X"),"",IF(Q162&lt;&gt;"","",IF(P162&lt;&gt;"",P162+SETTINGS!$B$4,O162+SETTINGS!$B$3))))</f>
        <v/>
      </c>
      <c r="AL162">
        <f>IF(AJ162="","",IF(LEFT(AJ162,1)="X","None — do not contact",IF(AJ162="1 Not yet contacted","Verify route today, then send M1",IF(AND(R162="",Q162&lt;&gt;""),"Sequence complete — no contact before "&amp;TEXT(Q162+SETTINGS!$B$5,"yyyy-mm-dd"),IF(AND(R162="",P162&lt;&gt;""),"Send final note (M4)",IF(R162="","Send follow-up (M2)",IF(AJ162="12 ACTIVATED","7-day check-in; consent &amp; referral soft ask",IF(AJ162="13 Transacting","Repeat-activity support","Onboarding: move to next stage (see playbook §6)"))))))))</f>
        <v/>
      </c>
      <c r="AM162">
        <f>IF(ISNUMBER(AK162),IF(AK162&lt;=TODAY(),"DUE",""),"")</f>
        <v/>
      </c>
      <c r="AN162">
        <f>IF(COUNT(O162,P162,Q162,R162,T162,V162,W162,X162,Y162,Z162,AA162,AC162)=0,"",TODAY()-MAX(O162,P162,Q162,R162,T162,V162,W162,X162,Y162,Z162,AA162,AC162))</f>
        <v/>
      </c>
      <c r="AO162">
        <f>IF(AJ162="","",IF(AND(T162&lt;&gt;"",U162&lt;&gt;"Active (verified)"),"GST: escalate (no tax advice)",IF(AND(IFERROR(VALUE(LEFT(AJ162,2)),0)&gt;=5,AH162&lt;&gt;"YES",ISNUMBER(AN162),AN162&gt;SETTINGS!$B$14),"STUCK in onboarding","")))</f>
        <v/>
      </c>
    </row>
    <row r="163">
      <c r="A163" t="n">
        <v>162</v>
      </c>
      <c r="B163" t="inlineStr">
        <is>
          <t>UPK2-SD-323</t>
        </is>
      </c>
      <c r="C163" t="inlineStr">
        <is>
          <t>Studio Metallurgy Home</t>
        </is>
      </c>
      <c r="D163" t="inlineStr">
        <is>
          <t>Space &amp; Design</t>
        </is>
      </c>
      <c r="E163" t="inlineStr">
        <is>
          <t>SD-PRODUCT-MAKER</t>
        </is>
      </c>
      <c r="F163" t="inlineStr">
        <is>
          <t>Delhi NCR</t>
        </is>
      </c>
      <c r="G163" t="inlineStr">
        <is>
          <t>B</t>
        </is>
      </c>
      <c r="H163" t="inlineStr">
        <is>
          <t>P0</t>
        </is>
      </c>
      <c r="I163" t="inlineStr"/>
      <c r="J163" t="inlineStr">
        <is>
          <t>Personal 1:1 email from founder/team to published business email</t>
        </is>
      </c>
      <c r="K163" t="inlineStr">
        <is>
          <t>https://studiometallurgyhome.com/</t>
        </is>
      </c>
      <c r="L163" t="inlineStr">
        <is>
          <t>W2 Expansion</t>
        </is>
      </c>
      <c r="M163" t="inlineStr"/>
      <c r="N163" t="inlineStr"/>
      <c r="O163" s="10" t="inlineStr"/>
      <c r="P163" s="10" t="inlineStr"/>
      <c r="Q163" s="10" t="inlineStr"/>
      <c r="R163" s="10" t="inlineStr"/>
      <c r="S163" t="inlineStr"/>
      <c r="T163" s="10" t="inlineStr"/>
      <c r="U163" t="inlineStr"/>
      <c r="V163" s="10" t="inlineStr"/>
      <c r="W163" s="10" t="inlineStr"/>
      <c r="X163" s="10" t="inlineStr"/>
      <c r="Y163" s="10" t="inlineStr"/>
      <c r="Z163" s="10" t="inlineStr"/>
      <c r="AA163" s="10" t="inlineStr"/>
      <c r="AB163" t="inlineStr"/>
      <c r="AC163" s="10" t="inlineStr"/>
      <c r="AD163" t="inlineStr"/>
      <c r="AE163" t="inlineStr"/>
      <c r="AF163" s="10" t="inlineStr"/>
      <c r="AG163" t="inlineStr"/>
      <c r="AH163">
        <f>IF(AND(B163="",C163=""),"",IF(AND(X163&lt;&gt;"",Y163&lt;&gt;"",Z163&lt;&gt;"",AA163&lt;&gt;"",AB163="Y"),"YES","no"))</f>
        <v/>
      </c>
      <c r="AI163" s="10">
        <f>IF(AH163="YES",MAX(X163,Y163,Z163,AA163),"")</f>
        <v/>
      </c>
      <c r="AJ163">
        <f>IF(AND(B163="",C163=""),"",IF(OR(S163="Not interested",S163="Opt-out / do not contact"),"X Declined / suppressed",IF(S163="Bounced / undeliverable","X Bounced — research",IF(AC163&lt;&gt;"","13 Transacting",IF(AH163="YES","12 ACTIVATED",IF(Z163&lt;&gt;"","11 Listing live",IF(Y163&lt;&gt;"","10 Profile complete",IF(X163&lt;&gt;"","9 Approved",IF(W163&lt;&gt;"","8 KYC submitted",IF(V163&lt;&gt;"","7 Registered",IF(T163&lt;&gt;"","5 Interested",IF(R163&lt;&gt;"","4 Responded",IF(O163&lt;&gt;"","2 Contacted","1 Not yet contacted")))))))))))))</f>
        <v/>
      </c>
      <c r="AK163" s="10">
        <f>IF(AF163&lt;&gt;"",AF163,IF(OR(O163="",R163&lt;&gt;"",LEFT(AJ163,1)="X"),"",IF(Q163&lt;&gt;"","",IF(P163&lt;&gt;"",P163+SETTINGS!$B$4,O163+SETTINGS!$B$3))))</f>
        <v/>
      </c>
      <c r="AL163">
        <f>IF(AJ163="","",IF(LEFT(AJ163,1)="X","None — do not contact",IF(AJ163="1 Not yet contacted","Verify route today, then send M1",IF(AND(R163="",Q163&lt;&gt;""),"Sequence complete — no contact before "&amp;TEXT(Q163+SETTINGS!$B$5,"yyyy-mm-dd"),IF(AND(R163="",P163&lt;&gt;""),"Send final note (M4)",IF(R163="","Send follow-up (M2)",IF(AJ163="12 ACTIVATED","7-day check-in; consent &amp; referral soft ask",IF(AJ163="13 Transacting","Repeat-activity support","Onboarding: move to next stage (see playbook §6)"))))))))</f>
        <v/>
      </c>
      <c r="AM163">
        <f>IF(ISNUMBER(AK163),IF(AK163&lt;=TODAY(),"DUE",""),"")</f>
        <v/>
      </c>
      <c r="AN163">
        <f>IF(COUNT(O163,P163,Q163,R163,T163,V163,W163,X163,Y163,Z163,AA163,AC163)=0,"",TODAY()-MAX(O163,P163,Q163,R163,T163,V163,W163,X163,Y163,Z163,AA163,AC163))</f>
        <v/>
      </c>
      <c r="AO163">
        <f>IF(AJ163="","",IF(AND(T163&lt;&gt;"",U163&lt;&gt;"Active (verified)"),"GST: escalate (no tax advice)",IF(AND(IFERROR(VALUE(LEFT(AJ163,2)),0)&gt;=5,AH163&lt;&gt;"YES",ISNUMBER(AN163),AN163&gt;SETTINGS!$B$14),"STUCK in onboarding","")))</f>
        <v/>
      </c>
    </row>
    <row r="164">
      <c r="A164" t="n">
        <v>163</v>
      </c>
      <c r="B164" t="inlineStr">
        <is>
          <t>UPK2-SD-024</t>
        </is>
      </c>
      <c r="C164" t="inlineStr">
        <is>
          <t>Dotform Design Studio</t>
        </is>
      </c>
      <c r="D164" t="inlineStr">
        <is>
          <t>Space &amp; Design</t>
        </is>
      </c>
      <c r="E164" t="inlineStr">
        <is>
          <t>SD-PRODUCT-MAKER</t>
        </is>
      </c>
      <c r="F164" t="inlineStr">
        <is>
          <t>Delhi NCR</t>
        </is>
      </c>
      <c r="G164" t="inlineStr">
        <is>
          <t>A</t>
        </is>
      </c>
      <c r="H164" t="inlineStr">
        <is>
          <t>P0</t>
        </is>
      </c>
      <c r="I164" t="inlineStr">
        <is>
          <t>under-discovered</t>
        </is>
      </c>
      <c r="J164" t="inlineStr">
        <is>
          <t>Personal 1:1 email from founder/team to published business email</t>
        </is>
      </c>
      <c r="K164" t="inlineStr">
        <is>
          <t>https://www.dotform.in/</t>
        </is>
      </c>
      <c r="L164" t="inlineStr">
        <is>
          <t>W2 Expansion</t>
        </is>
      </c>
      <c r="M164" t="inlineStr"/>
      <c r="N164" t="inlineStr"/>
      <c r="O164" s="10" t="inlineStr"/>
      <c r="P164" s="10" t="inlineStr"/>
      <c r="Q164" s="10" t="inlineStr"/>
      <c r="R164" s="10" t="inlineStr"/>
      <c r="S164" t="inlineStr"/>
      <c r="T164" s="10" t="inlineStr"/>
      <c r="U164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t="inlineStr"/>
      <c r="AC164" s="10" t="inlineStr"/>
      <c r="AD164" t="inlineStr"/>
      <c r="AE164" t="inlineStr"/>
      <c r="AF164" s="10" t="inlineStr"/>
      <c r="AG164" t="inlineStr"/>
      <c r="AH164">
        <f>IF(AND(B164="",C164=""),"",IF(AND(X164&lt;&gt;"",Y164&lt;&gt;"",Z164&lt;&gt;"",AA164&lt;&gt;"",AB164="Y"),"YES","no"))</f>
        <v/>
      </c>
      <c r="AI164" s="10">
        <f>IF(AH164="YES",MAX(X164,Y164,Z164,AA164),"")</f>
        <v/>
      </c>
      <c r="AJ164">
        <f>IF(AND(B164="",C164=""),"",IF(OR(S164="Not interested",S164="Opt-out / do not contact"),"X Declined / suppressed",IF(S164="Bounced / undeliverable","X Bounced — research",IF(AC164&lt;&gt;"","13 Transacting",IF(AH164="YES","12 ACTIVATED",IF(Z164&lt;&gt;"","11 Listing live",IF(Y164&lt;&gt;"","10 Profile complete",IF(X164&lt;&gt;"","9 Approved",IF(W164&lt;&gt;"","8 KYC submitted",IF(V164&lt;&gt;"","7 Registered",IF(T164&lt;&gt;"","5 Interested",IF(R164&lt;&gt;"","4 Responded",IF(O164&lt;&gt;"","2 Contacted","1 Not yet contacted")))))))))))))</f>
        <v/>
      </c>
      <c r="AK164" s="10">
        <f>IF(AF164&lt;&gt;"",AF164,IF(OR(O164="",R164&lt;&gt;"",LEFT(AJ164,1)="X"),"",IF(Q164&lt;&gt;"","",IF(P164&lt;&gt;"",P164+SETTINGS!$B$4,O164+SETTINGS!$B$3))))</f>
        <v/>
      </c>
      <c r="AL164">
        <f>IF(AJ164="","",IF(LEFT(AJ164,1)="X","None — do not contact",IF(AJ164="1 Not yet contacted","Verify route today, then send M1",IF(AND(R164="",Q164&lt;&gt;""),"Sequence complete — no contact before "&amp;TEXT(Q164+SETTINGS!$B$5,"yyyy-mm-dd"),IF(AND(R164="",P164&lt;&gt;""),"Send final note (M4)",IF(R164="","Send follow-up (M2)",IF(AJ164="12 ACTIVATED","7-day check-in; consent &amp; referral soft ask",IF(AJ164="13 Transacting","Repeat-activity support","Onboarding: move to next stage (see playbook §6)"))))))))</f>
        <v/>
      </c>
      <c r="AM164">
        <f>IF(ISNUMBER(AK164),IF(AK164&lt;=TODAY(),"DUE",""),"")</f>
        <v/>
      </c>
      <c r="AN164">
        <f>IF(COUNT(O164,P164,Q164,R164,T164,V164,W164,X164,Y164,Z164,AA164,AC164)=0,"",TODAY()-MAX(O164,P164,Q164,R164,T164,V164,W164,X164,Y164,Z164,AA164,AC164))</f>
        <v/>
      </c>
      <c r="AO164">
        <f>IF(AJ164="","",IF(AND(T164&lt;&gt;"",U164&lt;&gt;"Active (verified)"),"GST: escalate (no tax advice)",IF(AND(IFERROR(VALUE(LEFT(AJ164,2)),0)&gt;=5,AH164&lt;&gt;"YES",ISNUMBER(AN164),AN164&gt;SETTINGS!$B$14),"STUCK in onboarding","")))</f>
        <v/>
      </c>
    </row>
    <row r="165">
      <c r="A165" t="n">
        <v>164</v>
      </c>
      <c r="B165" t="inlineStr">
        <is>
          <t>UPK2-SD-364</t>
        </is>
      </c>
      <c r="C165" t="inlineStr">
        <is>
          <t>PortsideCafe Furniture Studio</t>
        </is>
      </c>
      <c r="D165" t="inlineStr">
        <is>
          <t>Space &amp; Design</t>
        </is>
      </c>
      <c r="E165" t="inlineStr">
        <is>
          <t>SD-PRODUCT-MAKER</t>
        </is>
      </c>
      <c r="F165" t="inlineStr">
        <is>
          <t>Delhi NCR</t>
        </is>
      </c>
      <c r="G165" t="inlineStr">
        <is>
          <t>B</t>
        </is>
      </c>
      <c r="H165" t="inlineStr">
        <is>
          <t>P0</t>
        </is>
      </c>
      <c r="I165" t="inlineStr"/>
      <c r="J165" t="inlineStr">
        <is>
          <t>1:1 message via own-website contact form</t>
        </is>
      </c>
      <c r="K165" t="inlineStr">
        <is>
          <t>https://portsidecafeshop.com/</t>
        </is>
      </c>
      <c r="L165" t="inlineStr">
        <is>
          <t>W2 Expansion</t>
        </is>
      </c>
      <c r="M165" t="inlineStr"/>
      <c r="N165" t="inlineStr"/>
      <c r="O165" s="10" t="inlineStr"/>
      <c r="P165" s="10" t="inlineStr"/>
      <c r="Q165" s="10" t="inlineStr"/>
      <c r="R165" s="10" t="inlineStr"/>
      <c r="S165" t="inlineStr"/>
      <c r="T165" s="10" t="inlineStr"/>
      <c r="U165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t="inlineStr"/>
      <c r="AC165" s="10" t="inlineStr"/>
      <c r="AD165" t="inlineStr"/>
      <c r="AE165" t="inlineStr"/>
      <c r="AF165" s="10" t="inlineStr"/>
      <c r="AG165" t="inlineStr"/>
      <c r="AH165">
        <f>IF(AND(B165="",C165=""),"",IF(AND(X165&lt;&gt;"",Y165&lt;&gt;"",Z165&lt;&gt;"",AA165&lt;&gt;"",AB165="Y"),"YES","no"))</f>
        <v/>
      </c>
      <c r="AI165" s="10">
        <f>IF(AH165="YES",MAX(X165,Y165,Z165,AA165),"")</f>
        <v/>
      </c>
      <c r="AJ165">
        <f>IF(AND(B165="",C165=""),"",IF(OR(S165="Not interested",S165="Opt-out / do not contact"),"X Declined / suppressed",IF(S165="Bounced / undeliverable","X Bounced — research",IF(AC165&lt;&gt;"","13 Transacting",IF(AH165="YES","12 ACTIVATED",IF(Z165&lt;&gt;"","11 Listing live",IF(Y165&lt;&gt;"","10 Profile complete",IF(X165&lt;&gt;"","9 Approved",IF(W165&lt;&gt;"","8 KYC submitted",IF(V165&lt;&gt;"","7 Registered",IF(T165&lt;&gt;"","5 Interested",IF(R165&lt;&gt;"","4 Responded",IF(O165&lt;&gt;"","2 Contacted","1 Not yet contacted")))))))))))))</f>
        <v/>
      </c>
      <c r="AK165" s="10">
        <f>IF(AF165&lt;&gt;"",AF165,IF(OR(O165="",R165&lt;&gt;"",LEFT(AJ165,1)="X"),"",IF(Q165&lt;&gt;"","",IF(P165&lt;&gt;"",P165+SETTINGS!$B$4,O165+SETTINGS!$B$3))))</f>
        <v/>
      </c>
      <c r="AL165">
        <f>IF(AJ165="","",IF(LEFT(AJ165,1)="X","None — do not contact",IF(AJ165="1 Not yet contacted","Verify route today, then send M1",IF(AND(R165="",Q165&lt;&gt;""),"Sequence complete — no contact before "&amp;TEXT(Q165+SETTINGS!$B$5,"yyyy-mm-dd"),IF(AND(R165="",P165&lt;&gt;""),"Send final note (M4)",IF(R165="","Send follow-up (M2)",IF(AJ165="12 ACTIVATED","7-day check-in; consent &amp; referral soft ask",IF(AJ165="13 Transacting","Repeat-activity support","Onboarding: move to next stage (see playbook §6)"))))))))</f>
        <v/>
      </c>
      <c r="AM165">
        <f>IF(ISNUMBER(AK165),IF(AK165&lt;=TODAY(),"DUE",""),"")</f>
        <v/>
      </c>
      <c r="AN165">
        <f>IF(COUNT(O165,P165,Q165,R165,T165,V165,W165,X165,Y165,Z165,AA165,AC165)=0,"",TODAY()-MAX(O165,P165,Q165,R165,T165,V165,W165,X165,Y165,Z165,AA165,AC165))</f>
        <v/>
      </c>
      <c r="AO165">
        <f>IF(AJ165="","",IF(AND(T165&lt;&gt;"",U165&lt;&gt;"Active (verified)"),"GST: escalate (no tax advice)",IF(AND(IFERROR(VALUE(LEFT(AJ165,2)),0)&gt;=5,AH165&lt;&gt;"YES",ISNUMBER(AN165),AN165&gt;SETTINGS!$B$14),"STUCK in onboarding","")))</f>
        <v/>
      </c>
    </row>
    <row r="166">
      <c r="A166" t="n">
        <v>165</v>
      </c>
      <c r="B166" t="inlineStr">
        <is>
          <t>UPK2-SD-393</t>
        </is>
      </c>
      <c r="C166" t="inlineStr">
        <is>
          <t>Paarkhi</t>
        </is>
      </c>
      <c r="D166" t="inlineStr">
        <is>
          <t>Space &amp; Design</t>
        </is>
      </c>
      <c r="E166" t="inlineStr">
        <is>
          <t>SD-PRODUCT-MAKER</t>
        </is>
      </c>
      <c r="F166" t="inlineStr">
        <is>
          <t>Bengaluru</t>
        </is>
      </c>
      <c r="G166" t="inlineStr">
        <is>
          <t>B</t>
        </is>
      </c>
      <c r="H166" t="inlineStr">
        <is>
          <t>P0</t>
        </is>
      </c>
      <c r="I166" t="inlineStr"/>
      <c r="J166" t="inlineStr">
        <is>
          <t>1:1 message via own-website contact form</t>
        </is>
      </c>
      <c r="K166" t="inlineStr">
        <is>
          <t>https://paarkhi.com/pages/contact</t>
        </is>
      </c>
      <c r="L166" t="inlineStr">
        <is>
          <t>W2 Expansion</t>
        </is>
      </c>
      <c r="M166" t="inlineStr"/>
      <c r="N166" t="inlineStr"/>
      <c r="O166" s="10" t="inlineStr"/>
      <c r="P166" s="10" t="inlineStr"/>
      <c r="Q166" s="10" t="inlineStr"/>
      <c r="R166" s="10" t="inlineStr"/>
      <c r="S166" t="inlineStr"/>
      <c r="T166" s="10" t="inlineStr"/>
      <c r="U166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t="inlineStr"/>
      <c r="AC166" s="10" t="inlineStr"/>
      <c r="AD166" t="inlineStr"/>
      <c r="AE166" t="inlineStr"/>
      <c r="AF166" s="10" t="inlineStr"/>
      <c r="AG166" t="inlineStr"/>
      <c r="AH166">
        <f>IF(AND(B166="",C166=""),"",IF(AND(X166&lt;&gt;"",Y166&lt;&gt;"",Z166&lt;&gt;"",AA166&lt;&gt;"",AB166="Y"),"YES","no"))</f>
        <v/>
      </c>
      <c r="AI166" s="10">
        <f>IF(AH166="YES",MAX(X166,Y166,Z166,AA166),"")</f>
        <v/>
      </c>
      <c r="AJ166">
        <f>IF(AND(B166="",C166=""),"",IF(OR(S166="Not interested",S166="Opt-out / do not contact"),"X Declined / suppressed",IF(S166="Bounced / undeliverable","X Bounced — research",IF(AC166&lt;&gt;"","13 Transacting",IF(AH166="YES","12 ACTIVATED",IF(Z166&lt;&gt;"","11 Listing live",IF(Y166&lt;&gt;"","10 Profile complete",IF(X166&lt;&gt;"","9 Approved",IF(W166&lt;&gt;"","8 KYC submitted",IF(V166&lt;&gt;"","7 Registered",IF(T166&lt;&gt;"","5 Interested",IF(R166&lt;&gt;"","4 Responded",IF(O166&lt;&gt;"","2 Contacted","1 Not yet contacted")))))))))))))</f>
        <v/>
      </c>
      <c r="AK166" s="10">
        <f>IF(AF166&lt;&gt;"",AF166,IF(OR(O166="",R166&lt;&gt;"",LEFT(AJ166,1)="X"),"",IF(Q166&lt;&gt;"","",IF(P166&lt;&gt;"",P166+SETTINGS!$B$4,O166+SETTINGS!$B$3))))</f>
        <v/>
      </c>
      <c r="AL166">
        <f>IF(AJ166="","",IF(LEFT(AJ166,1)="X","None — do not contact",IF(AJ166="1 Not yet contacted","Verify route today, then send M1",IF(AND(R166="",Q166&lt;&gt;""),"Sequence complete — no contact before "&amp;TEXT(Q166+SETTINGS!$B$5,"yyyy-mm-dd"),IF(AND(R166="",P166&lt;&gt;""),"Send final note (M4)",IF(R166="","Send follow-up (M2)",IF(AJ166="12 ACTIVATED","7-day check-in; consent &amp; referral soft ask",IF(AJ166="13 Transacting","Repeat-activity support","Onboarding: move to next stage (see playbook §6)"))))))))</f>
        <v/>
      </c>
      <c r="AM166">
        <f>IF(ISNUMBER(AK166),IF(AK166&lt;=TODAY(),"DUE",""),"")</f>
        <v/>
      </c>
      <c r="AN166">
        <f>IF(COUNT(O166,P166,Q166,R166,T166,V166,W166,X166,Y166,Z166,AA166,AC166)=0,"",TODAY()-MAX(O166,P166,Q166,R166,T166,V166,W166,X166,Y166,Z166,AA166,AC166))</f>
        <v/>
      </c>
      <c r="AO166">
        <f>IF(AJ166="","",IF(AND(T166&lt;&gt;"",U166&lt;&gt;"Active (verified)"),"GST: escalate (no tax advice)",IF(AND(IFERROR(VALUE(LEFT(AJ166,2)),0)&gt;=5,AH166&lt;&gt;"YES",ISNUMBER(AN166),AN166&gt;SETTINGS!$B$14),"STUCK in onboarding","")))</f>
        <v/>
      </c>
    </row>
    <row r="167">
      <c r="A167" t="n">
        <v>166</v>
      </c>
      <c r="B167" t="inlineStr">
        <is>
          <t>UPK2-SD-285</t>
        </is>
      </c>
      <c r="C167" t="inlineStr">
        <is>
          <t>White Domus</t>
        </is>
      </c>
      <c r="D167" t="inlineStr">
        <is>
          <t>Space &amp; Design</t>
        </is>
      </c>
      <c r="E167" t="inlineStr">
        <is>
          <t>SD-PRODUCT-MAKER</t>
        </is>
      </c>
      <c r="F167" t="inlineStr">
        <is>
          <t>Delhi NCR</t>
        </is>
      </c>
      <c r="G167" t="inlineStr">
        <is>
          <t>B</t>
        </is>
      </c>
      <c r="H167" t="inlineStr">
        <is>
          <t>P0</t>
        </is>
      </c>
      <c r="I167" t="inlineStr"/>
      <c r="J167" t="inlineStr">
        <is>
          <t>Personal 1:1 email from founder/team to published business email</t>
        </is>
      </c>
      <c r="K167" t="inlineStr">
        <is>
          <t>https://whitedomus.com/</t>
        </is>
      </c>
      <c r="L167" t="inlineStr">
        <is>
          <t>W2 Expansion</t>
        </is>
      </c>
      <c r="M167" t="inlineStr"/>
      <c r="N167" t="inlineStr"/>
      <c r="O167" s="10" t="inlineStr"/>
      <c r="P167" s="10" t="inlineStr"/>
      <c r="Q167" s="10" t="inlineStr"/>
      <c r="R167" s="10" t="inlineStr"/>
      <c r="S167" t="inlineStr"/>
      <c r="T167" s="10" t="inlineStr"/>
      <c r="U167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t="inlineStr"/>
      <c r="AC167" s="10" t="inlineStr"/>
      <c r="AD167" t="inlineStr"/>
      <c r="AE167" t="inlineStr"/>
      <c r="AF167" s="10" t="inlineStr"/>
      <c r="AG167" t="inlineStr"/>
      <c r="AH167">
        <f>IF(AND(B167="",C167=""),"",IF(AND(X167&lt;&gt;"",Y167&lt;&gt;"",Z167&lt;&gt;"",AA167&lt;&gt;"",AB167="Y"),"YES","no"))</f>
        <v/>
      </c>
      <c r="AI167" s="10">
        <f>IF(AH167="YES",MAX(X167,Y167,Z167,AA167),"")</f>
        <v/>
      </c>
      <c r="AJ167">
        <f>IF(AND(B167="",C167=""),"",IF(OR(S167="Not interested",S167="Opt-out / do not contact"),"X Declined / suppressed",IF(S167="Bounced / undeliverable","X Bounced — research",IF(AC167&lt;&gt;"","13 Transacting",IF(AH167="YES","12 ACTIVATED",IF(Z167&lt;&gt;"","11 Listing live",IF(Y167&lt;&gt;"","10 Profile complete",IF(X167&lt;&gt;"","9 Approved",IF(W167&lt;&gt;"","8 KYC submitted",IF(V167&lt;&gt;"","7 Registered",IF(T167&lt;&gt;"","5 Interested",IF(R167&lt;&gt;"","4 Responded",IF(O167&lt;&gt;"","2 Contacted","1 Not yet contacted")))))))))))))</f>
        <v/>
      </c>
      <c r="AK167" s="10">
        <f>IF(AF167&lt;&gt;"",AF167,IF(OR(O167="",R167&lt;&gt;"",LEFT(AJ167,1)="X"),"",IF(Q167&lt;&gt;"","",IF(P167&lt;&gt;"",P167+SETTINGS!$B$4,O167+SETTINGS!$B$3))))</f>
        <v/>
      </c>
      <c r="AL167">
        <f>IF(AJ167="","",IF(LEFT(AJ167,1)="X","None — do not contact",IF(AJ167="1 Not yet contacted","Verify route today, then send M1",IF(AND(R167="",Q167&lt;&gt;""),"Sequence complete — no contact before "&amp;TEXT(Q167+SETTINGS!$B$5,"yyyy-mm-dd"),IF(AND(R167="",P167&lt;&gt;""),"Send final note (M4)",IF(R167="","Send follow-up (M2)",IF(AJ167="12 ACTIVATED","7-day check-in; consent &amp; referral soft ask",IF(AJ167="13 Transacting","Repeat-activity support","Onboarding: move to next stage (see playbook §6)"))))))))</f>
        <v/>
      </c>
      <c r="AM167">
        <f>IF(ISNUMBER(AK167),IF(AK167&lt;=TODAY(),"DUE",""),"")</f>
        <v/>
      </c>
      <c r="AN167">
        <f>IF(COUNT(O167,P167,Q167,R167,T167,V167,W167,X167,Y167,Z167,AA167,AC167)=0,"",TODAY()-MAX(O167,P167,Q167,R167,T167,V167,W167,X167,Y167,Z167,AA167,AC167))</f>
        <v/>
      </c>
      <c r="AO167">
        <f>IF(AJ167="","",IF(AND(T167&lt;&gt;"",U167&lt;&gt;"Active (verified)"),"GST: escalate (no tax advice)",IF(AND(IFERROR(VALUE(LEFT(AJ167,2)),0)&gt;=5,AH167&lt;&gt;"YES",ISNUMBER(AN167),AN167&gt;SETTINGS!$B$14),"STUCK in onboarding","")))</f>
        <v/>
      </c>
    </row>
    <row r="168">
      <c r="A168" t="n">
        <v>167</v>
      </c>
      <c r="B168" t="inlineStr">
        <is>
          <t>UPK2-SD-029</t>
        </is>
      </c>
      <c r="C168" t="inlineStr">
        <is>
          <t>Palm Studio By Mayank</t>
        </is>
      </c>
      <c r="D168" t="inlineStr">
        <is>
          <t>Space &amp; Design</t>
        </is>
      </c>
      <c r="E168" t="inlineStr">
        <is>
          <t>SD-PRODUCT-MAKER</t>
        </is>
      </c>
      <c r="F168" t="inlineStr">
        <is>
          <t>Delhi NCR</t>
        </is>
      </c>
      <c r="G168" t="inlineStr">
        <is>
          <t>A</t>
        </is>
      </c>
      <c r="H168" t="inlineStr">
        <is>
          <t>P0</t>
        </is>
      </c>
      <c r="I168" t="inlineStr">
        <is>
          <t>under-discovered</t>
        </is>
      </c>
      <c r="J168" t="inlineStr">
        <is>
          <t>Personal 1:1 email from founder/team to published business email</t>
        </is>
      </c>
      <c r="K168" t="inlineStr">
        <is>
          <t>https://www.palmstudiobymayank.com/contact</t>
        </is>
      </c>
      <c r="L168" t="inlineStr">
        <is>
          <t>W2 Expansion</t>
        </is>
      </c>
      <c r="M168" t="inlineStr"/>
      <c r="N168" t="inlineStr"/>
      <c r="O168" s="10" t="inlineStr"/>
      <c r="P168" s="10" t="inlineStr"/>
      <c r="Q168" s="10" t="inlineStr"/>
      <c r="R168" s="10" t="inlineStr"/>
      <c r="S168" t="inlineStr"/>
      <c r="T168" s="10" t="inlineStr"/>
      <c r="U168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t="inlineStr"/>
      <c r="AC168" s="10" t="inlineStr"/>
      <c r="AD168" t="inlineStr"/>
      <c r="AE168" t="inlineStr"/>
      <c r="AF168" s="10" t="inlineStr"/>
      <c r="AG168" t="inlineStr"/>
      <c r="AH168">
        <f>IF(AND(B168="",C168=""),"",IF(AND(X168&lt;&gt;"",Y168&lt;&gt;"",Z168&lt;&gt;"",AA168&lt;&gt;"",AB168="Y"),"YES","no"))</f>
        <v/>
      </c>
      <c r="AI168" s="10">
        <f>IF(AH168="YES",MAX(X168,Y168,Z168,AA168),"")</f>
        <v/>
      </c>
      <c r="AJ168">
        <f>IF(AND(B168="",C168=""),"",IF(OR(S168="Not interested",S168="Opt-out / do not contact"),"X Declined / suppressed",IF(S168="Bounced / undeliverable","X Bounced — research",IF(AC168&lt;&gt;"","13 Transacting",IF(AH168="YES","12 ACTIVATED",IF(Z168&lt;&gt;"","11 Listing live",IF(Y168&lt;&gt;"","10 Profile complete",IF(X168&lt;&gt;"","9 Approved",IF(W168&lt;&gt;"","8 KYC submitted",IF(V168&lt;&gt;"","7 Registered",IF(T168&lt;&gt;"","5 Interested",IF(R168&lt;&gt;"","4 Responded",IF(O168&lt;&gt;"","2 Contacted","1 Not yet contacted")))))))))))))</f>
        <v/>
      </c>
      <c r="AK168" s="10">
        <f>IF(AF168&lt;&gt;"",AF168,IF(OR(O168="",R168&lt;&gt;"",LEFT(AJ168,1)="X"),"",IF(Q168&lt;&gt;"","",IF(P168&lt;&gt;"",P168+SETTINGS!$B$4,O168+SETTINGS!$B$3))))</f>
        <v/>
      </c>
      <c r="AL168">
        <f>IF(AJ168="","",IF(LEFT(AJ168,1)="X","None — do not contact",IF(AJ168="1 Not yet contacted","Verify route today, then send M1",IF(AND(R168="",Q168&lt;&gt;""),"Sequence complete — no contact before "&amp;TEXT(Q168+SETTINGS!$B$5,"yyyy-mm-dd"),IF(AND(R168="",P168&lt;&gt;""),"Send final note (M4)",IF(R168="","Send follow-up (M2)",IF(AJ168="12 ACTIVATED","7-day check-in; consent &amp; referral soft ask",IF(AJ168="13 Transacting","Repeat-activity support","Onboarding: move to next stage (see playbook §6)"))))))))</f>
        <v/>
      </c>
      <c r="AM168">
        <f>IF(ISNUMBER(AK168),IF(AK168&lt;=TODAY(),"DUE",""),"")</f>
        <v/>
      </c>
      <c r="AN168">
        <f>IF(COUNT(O168,P168,Q168,R168,T168,V168,W168,X168,Y168,Z168,AA168,AC168)=0,"",TODAY()-MAX(O168,P168,Q168,R168,T168,V168,W168,X168,Y168,Z168,AA168,AC168))</f>
        <v/>
      </c>
      <c r="AO168">
        <f>IF(AJ168="","",IF(AND(T168&lt;&gt;"",U168&lt;&gt;"Active (verified)"),"GST: escalate (no tax advice)",IF(AND(IFERROR(VALUE(LEFT(AJ168,2)),0)&gt;=5,AH168&lt;&gt;"YES",ISNUMBER(AN168),AN168&gt;SETTINGS!$B$14),"STUCK in onboarding","")))</f>
        <v/>
      </c>
    </row>
    <row r="169">
      <c r="A169" t="n">
        <v>168</v>
      </c>
      <c r="B169" t="inlineStr">
        <is>
          <t>UPK2-SD-020</t>
        </is>
      </c>
      <c r="C169" t="inlineStr">
        <is>
          <t>Studio Juggernaut</t>
        </is>
      </c>
      <c r="D169" t="inlineStr">
        <is>
          <t>Space &amp; Design</t>
        </is>
      </c>
      <c r="E169" t="inlineStr">
        <is>
          <t>SD-ARCHITECTURE</t>
        </is>
      </c>
      <c r="F169" t="inlineStr">
        <is>
          <t>Delhi NCR</t>
        </is>
      </c>
      <c r="G169" t="inlineStr">
        <is>
          <t>B</t>
        </is>
      </c>
      <c r="H169" t="inlineStr">
        <is>
          <t>P0</t>
        </is>
      </c>
      <c r="I169" t="inlineStr"/>
      <c r="J169" t="inlineStr">
        <is>
          <t>Personal 1:1 email from founder/team to published business email</t>
        </is>
      </c>
      <c r="K169" t="inlineStr">
        <is>
          <t>https://studiojuggernaut.com/contact</t>
        </is>
      </c>
      <c r="L169" t="inlineStr">
        <is>
          <t>W2 Expansion</t>
        </is>
      </c>
      <c r="M169" t="inlineStr"/>
      <c r="N169" t="inlineStr"/>
      <c r="O169" s="10" t="inlineStr"/>
      <c r="P169" s="10" t="inlineStr"/>
      <c r="Q169" s="10" t="inlineStr"/>
      <c r="R169" s="10" t="inlineStr"/>
      <c r="S169" t="inlineStr"/>
      <c r="T169" s="10" t="inlineStr"/>
      <c r="U169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t="inlineStr"/>
      <c r="AC169" s="10" t="inlineStr"/>
      <c r="AD169" t="inlineStr"/>
      <c r="AE169" t="inlineStr"/>
      <c r="AF169" s="10" t="inlineStr"/>
      <c r="AG169" t="inlineStr"/>
      <c r="AH169">
        <f>IF(AND(B169="",C169=""),"",IF(AND(X169&lt;&gt;"",Y169&lt;&gt;"",Z169&lt;&gt;"",AA169&lt;&gt;"",AB169="Y"),"YES","no"))</f>
        <v/>
      </c>
      <c r="AI169" s="10">
        <f>IF(AH169="YES",MAX(X169,Y169,Z169,AA169),"")</f>
        <v/>
      </c>
      <c r="AJ169">
        <f>IF(AND(B169="",C169=""),"",IF(OR(S169="Not interested",S169="Opt-out / do not contact"),"X Declined / suppressed",IF(S169="Bounced / undeliverable","X Bounced — research",IF(AC169&lt;&gt;"","13 Transacting",IF(AH169="YES","12 ACTIVATED",IF(Z169&lt;&gt;"","11 Listing live",IF(Y169&lt;&gt;"","10 Profile complete",IF(X169&lt;&gt;"","9 Approved",IF(W169&lt;&gt;"","8 KYC submitted",IF(V169&lt;&gt;"","7 Registered",IF(T169&lt;&gt;"","5 Interested",IF(R169&lt;&gt;"","4 Responded",IF(O169&lt;&gt;"","2 Contacted","1 Not yet contacted")))))))))))))</f>
        <v/>
      </c>
      <c r="AK169" s="10">
        <f>IF(AF169&lt;&gt;"",AF169,IF(OR(O169="",R169&lt;&gt;"",LEFT(AJ169,1)="X"),"",IF(Q169&lt;&gt;"","",IF(P169&lt;&gt;"",P169+SETTINGS!$B$4,O169+SETTINGS!$B$3))))</f>
        <v/>
      </c>
      <c r="AL169">
        <f>IF(AJ169="","",IF(LEFT(AJ169,1)="X","None — do not contact",IF(AJ169="1 Not yet contacted","Verify route today, then send M1",IF(AND(R169="",Q169&lt;&gt;""),"Sequence complete — no contact before "&amp;TEXT(Q169+SETTINGS!$B$5,"yyyy-mm-dd"),IF(AND(R169="",P169&lt;&gt;""),"Send final note (M4)",IF(R169="","Send follow-up (M2)",IF(AJ169="12 ACTIVATED","7-day check-in; consent &amp; referral soft ask",IF(AJ169="13 Transacting","Repeat-activity support","Onboarding: move to next stage (see playbook §6)"))))))))</f>
        <v/>
      </c>
      <c r="AM169">
        <f>IF(ISNUMBER(AK169),IF(AK169&lt;=TODAY(),"DUE",""),"")</f>
        <v/>
      </c>
      <c r="AN169">
        <f>IF(COUNT(O169,P169,Q169,R169,T169,V169,W169,X169,Y169,Z169,AA169,AC169)=0,"",TODAY()-MAX(O169,P169,Q169,R169,T169,V169,W169,X169,Y169,Z169,AA169,AC169))</f>
        <v/>
      </c>
      <c r="AO169">
        <f>IF(AJ169="","",IF(AND(T169&lt;&gt;"",U169&lt;&gt;"Active (verified)"),"GST: escalate (no tax advice)",IF(AND(IFERROR(VALUE(LEFT(AJ169,2)),0)&gt;=5,AH169&lt;&gt;"YES",ISNUMBER(AN169),AN169&gt;SETTINGS!$B$14),"STUCK in onboarding","")))</f>
        <v/>
      </c>
    </row>
    <row r="170">
      <c r="A170" t="n">
        <v>169</v>
      </c>
      <c r="B170" t="inlineStr">
        <is>
          <t>UPK2-SD-019</t>
        </is>
      </c>
      <c r="C170" t="inlineStr">
        <is>
          <t>Sage Haus (Sage Design Co)</t>
        </is>
      </c>
      <c r="D170" t="inlineStr">
        <is>
          <t>Space &amp; Design</t>
        </is>
      </c>
      <c r="E170" t="inlineStr">
        <is>
          <t>SD-INTERIOR</t>
        </is>
      </c>
      <c r="F170" t="inlineStr">
        <is>
          <t>Delhi NCR</t>
        </is>
      </c>
      <c r="G170" t="inlineStr">
        <is>
          <t>B</t>
        </is>
      </c>
      <c r="H170" t="inlineStr">
        <is>
          <t>P0</t>
        </is>
      </c>
      <c r="I170" t="inlineStr"/>
      <c r="J170" t="inlineStr">
        <is>
          <t>Personal 1:1 email from founder/team to published business email</t>
        </is>
      </c>
      <c r="K170" t="inlineStr">
        <is>
          <t>https://www.sagehaus.in/</t>
        </is>
      </c>
      <c r="L170" t="inlineStr">
        <is>
          <t>W2 Expansion</t>
        </is>
      </c>
      <c r="M170" t="inlineStr"/>
      <c r="N170" t="inlineStr"/>
      <c r="O170" s="10" t="inlineStr"/>
      <c r="P170" s="10" t="inlineStr"/>
      <c r="Q170" s="10" t="inlineStr"/>
      <c r="R170" s="10" t="inlineStr"/>
      <c r="S170" t="inlineStr"/>
      <c r="T170" s="10" t="inlineStr"/>
      <c r="U17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t="inlineStr"/>
      <c r="AC170" s="10" t="inlineStr"/>
      <c r="AD170" t="inlineStr"/>
      <c r="AE170" t="inlineStr"/>
      <c r="AF170" s="10" t="inlineStr"/>
      <c r="AG170" t="inlineStr"/>
      <c r="AH170">
        <f>IF(AND(B170="",C170=""),"",IF(AND(X170&lt;&gt;"",Y170&lt;&gt;"",Z170&lt;&gt;"",AA170&lt;&gt;"",AB170="Y"),"YES","no"))</f>
        <v/>
      </c>
      <c r="AI170" s="10">
        <f>IF(AH170="YES",MAX(X170,Y170,Z170,AA170),"")</f>
        <v/>
      </c>
      <c r="AJ170">
        <f>IF(AND(B170="",C170=""),"",IF(OR(S170="Not interested",S170="Opt-out / do not contact"),"X Declined / suppressed",IF(S170="Bounced / undeliverable","X Bounced — research",IF(AC170&lt;&gt;"","13 Transacting",IF(AH170="YES","12 ACTIVATED",IF(Z170&lt;&gt;"","11 Listing live",IF(Y170&lt;&gt;"","10 Profile complete",IF(X170&lt;&gt;"","9 Approved",IF(W170&lt;&gt;"","8 KYC submitted",IF(V170&lt;&gt;"","7 Registered",IF(T170&lt;&gt;"","5 Interested",IF(R170&lt;&gt;"","4 Responded",IF(O170&lt;&gt;"","2 Contacted","1 Not yet contacted")))))))))))))</f>
        <v/>
      </c>
      <c r="AK170" s="10">
        <f>IF(AF170&lt;&gt;"",AF170,IF(OR(O170="",R170&lt;&gt;"",LEFT(AJ170,1)="X"),"",IF(Q170&lt;&gt;"","",IF(P170&lt;&gt;"",P170+SETTINGS!$B$4,O170+SETTINGS!$B$3))))</f>
        <v/>
      </c>
      <c r="AL170">
        <f>IF(AJ170="","",IF(LEFT(AJ170,1)="X","None — do not contact",IF(AJ170="1 Not yet contacted","Verify route today, then send M1",IF(AND(R170="",Q170&lt;&gt;""),"Sequence complete — no contact before "&amp;TEXT(Q170+SETTINGS!$B$5,"yyyy-mm-dd"),IF(AND(R170="",P170&lt;&gt;""),"Send final note (M4)",IF(R170="","Send follow-up (M2)",IF(AJ170="12 ACTIVATED","7-day check-in; consent &amp; referral soft ask",IF(AJ170="13 Transacting","Repeat-activity support","Onboarding: move to next stage (see playbook §6)"))))))))</f>
        <v/>
      </c>
      <c r="AM170">
        <f>IF(ISNUMBER(AK170),IF(AK170&lt;=TODAY(),"DUE",""),"")</f>
        <v/>
      </c>
      <c r="AN170">
        <f>IF(COUNT(O170,P170,Q170,R170,T170,V170,W170,X170,Y170,Z170,AA170,AC170)=0,"",TODAY()-MAX(O170,P170,Q170,R170,T170,V170,W170,X170,Y170,Z170,AA170,AC170))</f>
        <v/>
      </c>
      <c r="AO170">
        <f>IF(AJ170="","",IF(AND(T170&lt;&gt;"",U170&lt;&gt;"Active (verified)"),"GST: escalate (no tax advice)",IF(AND(IFERROR(VALUE(LEFT(AJ170,2)),0)&gt;=5,AH170&lt;&gt;"YES",ISNUMBER(AN170),AN170&gt;SETTINGS!$B$14),"STUCK in onboarding","")))</f>
        <v/>
      </c>
    </row>
    <row r="171">
      <c r="A171" t="n">
        <v>170</v>
      </c>
      <c r="B171" t="inlineStr">
        <is>
          <t>UPK2-SD-022</t>
        </is>
      </c>
      <c r="C171" t="inlineStr">
        <is>
          <t>Delhi Collective</t>
        </is>
      </c>
      <c r="D171" t="inlineStr">
        <is>
          <t>Space &amp; Design</t>
        </is>
      </c>
      <c r="E171" t="inlineStr">
        <is>
          <t>SD-ARCHITECTURE</t>
        </is>
      </c>
      <c r="F171" t="inlineStr">
        <is>
          <t>Delhi NCR</t>
        </is>
      </c>
      <c r="G171" t="inlineStr">
        <is>
          <t>B</t>
        </is>
      </c>
      <c r="H171" t="inlineStr">
        <is>
          <t>P0</t>
        </is>
      </c>
      <c r="I171" t="inlineStr"/>
      <c r="J171" t="inlineStr">
        <is>
          <t>Personal 1:1 email from founder/team to published business email</t>
        </is>
      </c>
      <c r="K171" t="inlineStr">
        <is>
          <t>https://www.delhicollective.com/contact</t>
        </is>
      </c>
      <c r="L171" t="inlineStr">
        <is>
          <t>W2 Expansion</t>
        </is>
      </c>
      <c r="M171" t="inlineStr"/>
      <c r="N171" t="inlineStr"/>
      <c r="O171" s="10" t="inlineStr"/>
      <c r="P171" s="10" t="inlineStr"/>
      <c r="Q171" s="10" t="inlineStr"/>
      <c r="R171" s="10" t="inlineStr"/>
      <c r="S171" t="inlineStr"/>
      <c r="T171" s="10" t="inlineStr"/>
      <c r="U171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t="inlineStr"/>
      <c r="AC171" s="10" t="inlineStr"/>
      <c r="AD171" t="inlineStr"/>
      <c r="AE171" t="inlineStr"/>
      <c r="AF171" s="10" t="inlineStr"/>
      <c r="AG171" t="inlineStr"/>
      <c r="AH171">
        <f>IF(AND(B171="",C171=""),"",IF(AND(X171&lt;&gt;"",Y171&lt;&gt;"",Z171&lt;&gt;"",AA171&lt;&gt;"",AB171="Y"),"YES","no"))</f>
        <v/>
      </c>
      <c r="AI171" s="10">
        <f>IF(AH171="YES",MAX(X171,Y171,Z171,AA171),"")</f>
        <v/>
      </c>
      <c r="AJ171">
        <f>IF(AND(B171="",C171=""),"",IF(OR(S171="Not interested",S171="Opt-out / do not contact"),"X Declined / suppressed",IF(S171="Bounced / undeliverable","X Bounced — research",IF(AC171&lt;&gt;"","13 Transacting",IF(AH171="YES","12 ACTIVATED",IF(Z171&lt;&gt;"","11 Listing live",IF(Y171&lt;&gt;"","10 Profile complete",IF(X171&lt;&gt;"","9 Approved",IF(W171&lt;&gt;"","8 KYC submitted",IF(V171&lt;&gt;"","7 Registered",IF(T171&lt;&gt;"","5 Interested",IF(R171&lt;&gt;"","4 Responded",IF(O171&lt;&gt;"","2 Contacted","1 Not yet contacted")))))))))))))</f>
        <v/>
      </c>
      <c r="AK171" s="10">
        <f>IF(AF171&lt;&gt;"",AF171,IF(OR(O171="",R171&lt;&gt;"",LEFT(AJ171,1)="X"),"",IF(Q171&lt;&gt;"","",IF(P171&lt;&gt;"",P171+SETTINGS!$B$4,O171+SETTINGS!$B$3))))</f>
        <v/>
      </c>
      <c r="AL171">
        <f>IF(AJ171="","",IF(LEFT(AJ171,1)="X","None — do not contact",IF(AJ171="1 Not yet contacted","Verify route today, then send M1",IF(AND(R171="",Q171&lt;&gt;""),"Sequence complete — no contact before "&amp;TEXT(Q171+SETTINGS!$B$5,"yyyy-mm-dd"),IF(AND(R171="",P171&lt;&gt;""),"Send final note (M4)",IF(R171="","Send follow-up (M2)",IF(AJ171="12 ACTIVATED","7-day check-in; consent &amp; referral soft ask",IF(AJ171="13 Transacting","Repeat-activity support","Onboarding: move to next stage (see playbook §6)"))))))))</f>
        <v/>
      </c>
      <c r="AM171">
        <f>IF(ISNUMBER(AK171),IF(AK171&lt;=TODAY(),"DUE",""),"")</f>
        <v/>
      </c>
      <c r="AN171">
        <f>IF(COUNT(O171,P171,Q171,R171,T171,V171,W171,X171,Y171,Z171,AA171,AC171)=0,"",TODAY()-MAX(O171,P171,Q171,R171,T171,V171,W171,X171,Y171,Z171,AA171,AC171))</f>
        <v/>
      </c>
      <c r="AO171">
        <f>IF(AJ171="","",IF(AND(T171&lt;&gt;"",U171&lt;&gt;"Active (verified)"),"GST: escalate (no tax advice)",IF(AND(IFERROR(VALUE(LEFT(AJ171,2)),0)&gt;=5,AH171&lt;&gt;"YES",ISNUMBER(AN171),AN171&gt;SETTINGS!$B$14),"STUCK in onboarding","")))</f>
        <v/>
      </c>
    </row>
    <row r="172">
      <c r="A172" t="n">
        <v>171</v>
      </c>
      <c r="B172" t="inlineStr">
        <is>
          <t>UPK2-SD-007</t>
        </is>
      </c>
      <c r="C172" t="inlineStr">
        <is>
          <t>HōmAnAn</t>
        </is>
      </c>
      <c r="D172" t="inlineStr">
        <is>
          <t>Space &amp; Design</t>
        </is>
      </c>
      <c r="E172" t="inlineStr">
        <is>
          <t>SD-PRODUCT-MAKER</t>
        </is>
      </c>
      <c r="F172" t="inlineStr">
        <is>
          <t>Delhi NCR</t>
        </is>
      </c>
      <c r="G172" t="inlineStr">
        <is>
          <t>C</t>
        </is>
      </c>
      <c r="H172" t="inlineStr">
        <is>
          <t>P0</t>
        </is>
      </c>
      <c r="I172" t="inlineStr"/>
      <c r="J172" t="inlineStr">
        <is>
          <t>Personal 1:1 email from founder/team to published business email</t>
        </is>
      </c>
      <c r="K172" t="inlineStr">
        <is>
          <t>https://homanan.com/</t>
        </is>
      </c>
      <c r="L172" t="inlineStr">
        <is>
          <t>W2 Expansion</t>
        </is>
      </c>
      <c r="M172" t="inlineStr"/>
      <c r="N172" t="inlineStr"/>
      <c r="O172" s="10" t="inlineStr"/>
      <c r="P172" s="10" t="inlineStr"/>
      <c r="Q172" s="10" t="inlineStr"/>
      <c r="R172" s="10" t="inlineStr"/>
      <c r="S172" t="inlineStr"/>
      <c r="T172" s="10" t="inlineStr"/>
      <c r="U172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t="inlineStr"/>
      <c r="AC172" s="10" t="inlineStr"/>
      <c r="AD172" t="inlineStr"/>
      <c r="AE172" t="inlineStr"/>
      <c r="AF172" s="10" t="inlineStr"/>
      <c r="AG172" t="inlineStr"/>
      <c r="AH172">
        <f>IF(AND(B172="",C172=""),"",IF(AND(X172&lt;&gt;"",Y172&lt;&gt;"",Z172&lt;&gt;"",AA172&lt;&gt;"",AB172="Y"),"YES","no"))</f>
        <v/>
      </c>
      <c r="AI172" s="10">
        <f>IF(AH172="YES",MAX(X172,Y172,Z172,AA172),"")</f>
        <v/>
      </c>
      <c r="AJ172">
        <f>IF(AND(B172="",C172=""),"",IF(OR(S172="Not interested",S172="Opt-out / do not contact"),"X Declined / suppressed",IF(S172="Bounced / undeliverable","X Bounced — research",IF(AC172&lt;&gt;"","13 Transacting",IF(AH172="YES","12 ACTIVATED",IF(Z172&lt;&gt;"","11 Listing live",IF(Y172&lt;&gt;"","10 Profile complete",IF(X172&lt;&gt;"","9 Approved",IF(W172&lt;&gt;"","8 KYC submitted",IF(V172&lt;&gt;"","7 Registered",IF(T172&lt;&gt;"","5 Interested",IF(R172&lt;&gt;"","4 Responded",IF(O172&lt;&gt;"","2 Contacted","1 Not yet contacted")))))))))))))</f>
        <v/>
      </c>
      <c r="AK172" s="10">
        <f>IF(AF172&lt;&gt;"",AF172,IF(OR(O172="",R172&lt;&gt;"",LEFT(AJ172,1)="X"),"",IF(Q172&lt;&gt;"","",IF(P172&lt;&gt;"",P172+SETTINGS!$B$4,O172+SETTINGS!$B$3))))</f>
        <v/>
      </c>
      <c r="AL172">
        <f>IF(AJ172="","",IF(LEFT(AJ172,1)="X","None — do not contact",IF(AJ172="1 Not yet contacted","Verify route today, then send M1",IF(AND(R172="",Q172&lt;&gt;""),"Sequence complete — no contact before "&amp;TEXT(Q172+SETTINGS!$B$5,"yyyy-mm-dd"),IF(AND(R172="",P172&lt;&gt;""),"Send final note (M4)",IF(R172="","Send follow-up (M2)",IF(AJ172="12 ACTIVATED","7-day check-in; consent &amp; referral soft ask",IF(AJ172="13 Transacting","Repeat-activity support","Onboarding: move to next stage (see playbook §6)"))))))))</f>
        <v/>
      </c>
      <c r="AM172">
        <f>IF(ISNUMBER(AK172),IF(AK172&lt;=TODAY(),"DUE",""),"")</f>
        <v/>
      </c>
      <c r="AN172">
        <f>IF(COUNT(O172,P172,Q172,R172,T172,V172,W172,X172,Y172,Z172,AA172,AC172)=0,"",TODAY()-MAX(O172,P172,Q172,R172,T172,V172,W172,X172,Y172,Z172,AA172,AC172))</f>
        <v/>
      </c>
      <c r="AO172">
        <f>IF(AJ172="","",IF(AND(T172&lt;&gt;"",U172&lt;&gt;"Active (verified)"),"GST: escalate (no tax advice)",IF(AND(IFERROR(VALUE(LEFT(AJ172,2)),0)&gt;=5,AH172&lt;&gt;"YES",ISNUMBER(AN172),AN172&gt;SETTINGS!$B$14),"STUCK in onboarding","")))</f>
        <v/>
      </c>
    </row>
    <row r="173">
      <c r="A173" t="n">
        <v>172</v>
      </c>
      <c r="B173" t="inlineStr">
        <is>
          <t>UPK2-SD-012</t>
        </is>
      </c>
      <c r="C173" t="inlineStr">
        <is>
          <t>TAS World</t>
        </is>
      </c>
      <c r="D173" t="inlineStr">
        <is>
          <t>Space &amp; Design</t>
        </is>
      </c>
      <c r="E173" t="inlineStr">
        <is>
          <t>SD-ARCHITECTURE</t>
        </is>
      </c>
      <c r="F173" t="inlineStr">
        <is>
          <t>Delhi NCR</t>
        </is>
      </c>
      <c r="G173" t="inlineStr">
        <is>
          <t>C</t>
        </is>
      </c>
      <c r="H173" t="inlineStr">
        <is>
          <t>P0</t>
        </is>
      </c>
      <c r="I173" t="inlineStr"/>
      <c r="J173" t="inlineStr">
        <is>
          <t>Personal 1:1 email from founder/team to published business email</t>
        </is>
      </c>
      <c r="K173" t="inlineStr">
        <is>
          <t>https://www.tasworld.in/contact/</t>
        </is>
      </c>
      <c r="L173" t="inlineStr">
        <is>
          <t>W2 Expansion</t>
        </is>
      </c>
      <c r="M173" t="inlineStr"/>
      <c r="N173" t="inlineStr"/>
      <c r="O173" s="10" t="inlineStr"/>
      <c r="P173" s="10" t="inlineStr"/>
      <c r="Q173" s="10" t="inlineStr"/>
      <c r="R173" s="10" t="inlineStr"/>
      <c r="S173" t="inlineStr"/>
      <c r="T173" s="10" t="inlineStr"/>
      <c r="U173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t="inlineStr"/>
      <c r="AC173" s="10" t="inlineStr"/>
      <c r="AD173" t="inlineStr"/>
      <c r="AE173" t="inlineStr"/>
      <c r="AF173" s="10" t="inlineStr"/>
      <c r="AG173" t="inlineStr"/>
      <c r="AH173">
        <f>IF(AND(B173="",C173=""),"",IF(AND(X173&lt;&gt;"",Y173&lt;&gt;"",Z173&lt;&gt;"",AA173&lt;&gt;"",AB173="Y"),"YES","no"))</f>
        <v/>
      </c>
      <c r="AI173" s="10">
        <f>IF(AH173="YES",MAX(X173,Y173,Z173,AA173),"")</f>
        <v/>
      </c>
      <c r="AJ173">
        <f>IF(AND(B173="",C173=""),"",IF(OR(S173="Not interested",S173="Opt-out / do not contact"),"X Declined / suppressed",IF(S173="Bounced / undeliverable","X Bounced — research",IF(AC173&lt;&gt;"","13 Transacting",IF(AH173="YES","12 ACTIVATED",IF(Z173&lt;&gt;"","11 Listing live",IF(Y173&lt;&gt;"","10 Profile complete",IF(X173&lt;&gt;"","9 Approved",IF(W173&lt;&gt;"","8 KYC submitted",IF(V173&lt;&gt;"","7 Registered",IF(T173&lt;&gt;"","5 Interested",IF(R173&lt;&gt;"","4 Responded",IF(O173&lt;&gt;"","2 Contacted","1 Not yet contacted")))))))))))))</f>
        <v/>
      </c>
      <c r="AK173" s="10">
        <f>IF(AF173&lt;&gt;"",AF173,IF(OR(O173="",R173&lt;&gt;"",LEFT(AJ173,1)="X"),"",IF(Q173&lt;&gt;"","",IF(P173&lt;&gt;"",P173+SETTINGS!$B$4,O173+SETTINGS!$B$3))))</f>
        <v/>
      </c>
      <c r="AL173">
        <f>IF(AJ173="","",IF(LEFT(AJ173,1)="X","None — do not contact",IF(AJ173="1 Not yet contacted","Verify route today, then send M1",IF(AND(R173="",Q173&lt;&gt;""),"Sequence complete — no contact before "&amp;TEXT(Q173+SETTINGS!$B$5,"yyyy-mm-dd"),IF(AND(R173="",P173&lt;&gt;""),"Send final note (M4)",IF(R173="","Send follow-up (M2)",IF(AJ173="12 ACTIVATED","7-day check-in; consent &amp; referral soft ask",IF(AJ173="13 Transacting","Repeat-activity support","Onboarding: move to next stage (see playbook §6)"))))))))</f>
        <v/>
      </c>
      <c r="AM173">
        <f>IF(ISNUMBER(AK173),IF(AK173&lt;=TODAY(),"DUE",""),"")</f>
        <v/>
      </c>
      <c r="AN173">
        <f>IF(COUNT(O173,P173,Q173,R173,T173,V173,W173,X173,Y173,Z173,AA173,AC173)=0,"",TODAY()-MAX(O173,P173,Q173,R173,T173,V173,W173,X173,Y173,Z173,AA173,AC173))</f>
        <v/>
      </c>
      <c r="AO173">
        <f>IF(AJ173="","",IF(AND(T173&lt;&gt;"",U173&lt;&gt;"Active (verified)"),"GST: escalate (no tax advice)",IF(AND(IFERROR(VALUE(LEFT(AJ173,2)),0)&gt;=5,AH173&lt;&gt;"YES",ISNUMBER(AN173),AN173&gt;SETTINGS!$B$14),"STUCK in onboarding","")))</f>
        <v/>
      </c>
    </row>
    <row r="174">
      <c r="A174" t="n">
        <v>173</v>
      </c>
      <c r="B174" t="inlineStr">
        <is>
          <t>UPK2-SD-008</t>
        </is>
      </c>
      <c r="C174" t="inlineStr">
        <is>
          <t>Qube Designs</t>
        </is>
      </c>
      <c r="D174" t="inlineStr">
        <is>
          <t>Space &amp; Design</t>
        </is>
      </c>
      <c r="E174" t="inlineStr">
        <is>
          <t>SD-INTERIOR</t>
        </is>
      </c>
      <c r="F174" t="inlineStr">
        <is>
          <t>Delhi NCR</t>
        </is>
      </c>
      <c r="G174" t="inlineStr">
        <is>
          <t>B</t>
        </is>
      </c>
      <c r="H174" t="inlineStr">
        <is>
          <t>P0</t>
        </is>
      </c>
      <c r="I174" t="inlineStr"/>
      <c r="J174" t="inlineStr">
        <is>
          <t>Personal 1:1 email from founder/team to published business email</t>
        </is>
      </c>
      <c r="K174" t="inlineStr">
        <is>
          <t>https://qubedesigns.in/</t>
        </is>
      </c>
      <c r="L174" t="inlineStr">
        <is>
          <t>W2 Expansion</t>
        </is>
      </c>
      <c r="M174" t="inlineStr"/>
      <c r="N174" t="inlineStr"/>
      <c r="O174" s="10" t="inlineStr"/>
      <c r="P174" s="10" t="inlineStr"/>
      <c r="Q174" s="10" t="inlineStr"/>
      <c r="R174" s="10" t="inlineStr"/>
      <c r="S174" t="inlineStr"/>
      <c r="T174" s="10" t="inlineStr"/>
      <c r="U174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t="inlineStr"/>
      <c r="AC174" s="10" t="inlineStr"/>
      <c r="AD174" t="inlineStr"/>
      <c r="AE174" t="inlineStr"/>
      <c r="AF174" s="10" t="inlineStr"/>
      <c r="AG174" t="inlineStr"/>
      <c r="AH174">
        <f>IF(AND(B174="",C174=""),"",IF(AND(X174&lt;&gt;"",Y174&lt;&gt;"",Z174&lt;&gt;"",AA174&lt;&gt;"",AB174="Y"),"YES","no"))</f>
        <v/>
      </c>
      <c r="AI174" s="10">
        <f>IF(AH174="YES",MAX(X174,Y174,Z174,AA174),"")</f>
        <v/>
      </c>
      <c r="AJ174">
        <f>IF(AND(B174="",C174=""),"",IF(OR(S174="Not interested",S174="Opt-out / do not contact"),"X Declined / suppressed",IF(S174="Bounced / undeliverable","X Bounced — research",IF(AC174&lt;&gt;"","13 Transacting",IF(AH174="YES","12 ACTIVATED",IF(Z174&lt;&gt;"","11 Listing live",IF(Y174&lt;&gt;"","10 Profile complete",IF(X174&lt;&gt;"","9 Approved",IF(W174&lt;&gt;"","8 KYC submitted",IF(V174&lt;&gt;"","7 Registered",IF(T174&lt;&gt;"","5 Interested",IF(R174&lt;&gt;"","4 Responded",IF(O174&lt;&gt;"","2 Contacted","1 Not yet contacted")))))))))))))</f>
        <v/>
      </c>
      <c r="AK174" s="10">
        <f>IF(AF174&lt;&gt;"",AF174,IF(OR(O174="",R174&lt;&gt;"",LEFT(AJ174,1)="X"),"",IF(Q174&lt;&gt;"","",IF(P174&lt;&gt;"",P174+SETTINGS!$B$4,O174+SETTINGS!$B$3))))</f>
        <v/>
      </c>
      <c r="AL174">
        <f>IF(AJ174="","",IF(LEFT(AJ174,1)="X","None — do not contact",IF(AJ174="1 Not yet contacted","Verify route today, then send M1",IF(AND(R174="",Q174&lt;&gt;""),"Sequence complete — no contact before "&amp;TEXT(Q174+SETTINGS!$B$5,"yyyy-mm-dd"),IF(AND(R174="",P174&lt;&gt;""),"Send final note (M4)",IF(R174="","Send follow-up (M2)",IF(AJ174="12 ACTIVATED","7-day check-in; consent &amp; referral soft ask",IF(AJ174="13 Transacting","Repeat-activity support","Onboarding: move to next stage (see playbook §6)"))))))))</f>
        <v/>
      </c>
      <c r="AM174">
        <f>IF(ISNUMBER(AK174),IF(AK174&lt;=TODAY(),"DUE",""),"")</f>
        <v/>
      </c>
      <c r="AN174">
        <f>IF(COUNT(O174,P174,Q174,R174,T174,V174,W174,X174,Y174,Z174,AA174,AC174)=0,"",TODAY()-MAX(O174,P174,Q174,R174,T174,V174,W174,X174,Y174,Z174,AA174,AC174))</f>
        <v/>
      </c>
      <c r="AO174">
        <f>IF(AJ174="","",IF(AND(T174&lt;&gt;"",U174&lt;&gt;"Active (verified)"),"GST: escalate (no tax advice)",IF(AND(IFERROR(VALUE(LEFT(AJ174,2)),0)&gt;=5,AH174&lt;&gt;"YES",ISNUMBER(AN174),AN174&gt;SETTINGS!$B$14),"STUCK in onboarding","")))</f>
        <v/>
      </c>
    </row>
    <row r="175">
      <c r="A175" t="n">
        <v>174</v>
      </c>
      <c r="B175" t="inlineStr">
        <is>
          <t>UPK2-SD-013</t>
        </is>
      </c>
      <c r="C175" t="inlineStr">
        <is>
          <t>World of Outdoors</t>
        </is>
      </c>
      <c r="D175" t="inlineStr">
        <is>
          <t>Space &amp; Design</t>
        </is>
      </c>
      <c r="E175" t="inlineStr">
        <is>
          <t>SD-PRODUCT-MAKER</t>
        </is>
      </c>
      <c r="F175" t="inlineStr">
        <is>
          <t>Delhi NCR</t>
        </is>
      </c>
      <c r="G175" t="inlineStr">
        <is>
          <t>B</t>
        </is>
      </c>
      <c r="H175" t="inlineStr">
        <is>
          <t>P0</t>
        </is>
      </c>
      <c r="I175" t="inlineStr"/>
      <c r="J175" t="inlineStr">
        <is>
          <t>Personal 1:1 email from founder/team to published business email</t>
        </is>
      </c>
      <c r="K175" t="inlineStr">
        <is>
          <t>https://worldofoutdoors.in/contact</t>
        </is>
      </c>
      <c r="L175" t="inlineStr">
        <is>
          <t>W2 Expansion</t>
        </is>
      </c>
      <c r="M175" t="inlineStr"/>
      <c r="N175" t="inlineStr"/>
      <c r="O175" s="10" t="inlineStr"/>
      <c r="P175" s="10" t="inlineStr"/>
      <c r="Q175" s="10" t="inlineStr"/>
      <c r="R175" s="10" t="inlineStr"/>
      <c r="S175" t="inlineStr"/>
      <c r="T175" s="10" t="inlineStr"/>
      <c r="U175" t="inlineStr"/>
      <c r="V175" s="10" t="inlineStr"/>
      <c r="W175" s="10" t="inlineStr"/>
      <c r="X175" s="10" t="inlineStr"/>
      <c r="Y175" s="10" t="inlineStr"/>
      <c r="Z175" s="10" t="inlineStr"/>
      <c r="AA175" s="10" t="inlineStr"/>
      <c r="AB175" t="inlineStr"/>
      <c r="AC175" s="10" t="inlineStr"/>
      <c r="AD175" t="inlineStr"/>
      <c r="AE175" t="inlineStr"/>
      <c r="AF175" s="10" t="inlineStr"/>
      <c r="AG175" t="inlineStr"/>
      <c r="AH175">
        <f>IF(AND(B175="",C175=""),"",IF(AND(X175&lt;&gt;"",Y175&lt;&gt;"",Z175&lt;&gt;"",AA175&lt;&gt;"",AB175="Y"),"YES","no"))</f>
        <v/>
      </c>
      <c r="AI175" s="10">
        <f>IF(AH175="YES",MAX(X175,Y175,Z175,AA175),"")</f>
        <v/>
      </c>
      <c r="AJ175">
        <f>IF(AND(B175="",C175=""),"",IF(OR(S175="Not interested",S175="Opt-out / do not contact"),"X Declined / suppressed",IF(S175="Bounced / undeliverable","X Bounced — research",IF(AC175&lt;&gt;"","13 Transacting",IF(AH175="YES","12 ACTIVATED",IF(Z175&lt;&gt;"","11 Listing live",IF(Y175&lt;&gt;"","10 Profile complete",IF(X175&lt;&gt;"","9 Approved",IF(W175&lt;&gt;"","8 KYC submitted",IF(V175&lt;&gt;"","7 Registered",IF(T175&lt;&gt;"","5 Interested",IF(R175&lt;&gt;"","4 Responded",IF(O175&lt;&gt;"","2 Contacted","1 Not yet contacted")))))))))))))</f>
        <v/>
      </c>
      <c r="AK175" s="10">
        <f>IF(AF175&lt;&gt;"",AF175,IF(OR(O175="",R175&lt;&gt;"",LEFT(AJ175,1)="X"),"",IF(Q175&lt;&gt;"","",IF(P175&lt;&gt;"",P175+SETTINGS!$B$4,O175+SETTINGS!$B$3))))</f>
        <v/>
      </c>
      <c r="AL175">
        <f>IF(AJ175="","",IF(LEFT(AJ175,1)="X","None — do not contact",IF(AJ175="1 Not yet contacted","Verify route today, then send M1",IF(AND(R175="",Q175&lt;&gt;""),"Sequence complete — no contact before "&amp;TEXT(Q175+SETTINGS!$B$5,"yyyy-mm-dd"),IF(AND(R175="",P175&lt;&gt;""),"Send final note (M4)",IF(R175="","Send follow-up (M2)",IF(AJ175="12 ACTIVATED","7-day check-in; consent &amp; referral soft ask",IF(AJ175="13 Transacting","Repeat-activity support","Onboarding: move to next stage (see playbook §6)"))))))))</f>
        <v/>
      </c>
      <c r="AM175">
        <f>IF(ISNUMBER(AK175),IF(AK175&lt;=TODAY(),"DUE",""),"")</f>
        <v/>
      </c>
      <c r="AN175">
        <f>IF(COUNT(O175,P175,Q175,R175,T175,V175,W175,X175,Y175,Z175,AA175,AC175)=0,"",TODAY()-MAX(O175,P175,Q175,R175,T175,V175,W175,X175,Y175,Z175,AA175,AC175))</f>
        <v/>
      </c>
      <c r="AO175">
        <f>IF(AJ175="","",IF(AND(T175&lt;&gt;"",U175&lt;&gt;"Active (verified)"),"GST: escalate (no tax advice)",IF(AND(IFERROR(VALUE(LEFT(AJ175,2)),0)&gt;=5,AH175&lt;&gt;"YES",ISNUMBER(AN175),AN175&gt;SETTINGS!$B$14),"STUCK in onboarding","")))</f>
        <v/>
      </c>
    </row>
    <row r="176">
      <c r="A176" t="n">
        <v>175</v>
      </c>
      <c r="B176" t="inlineStr">
        <is>
          <t>UPK2-SD-010</t>
        </is>
      </c>
      <c r="C176" t="inlineStr">
        <is>
          <t>UrbanMistrii</t>
        </is>
      </c>
      <c r="D176" t="inlineStr">
        <is>
          <t>Space &amp; Design</t>
        </is>
      </c>
      <c r="E176" t="inlineStr">
        <is>
          <t>SD-ARCHITECTURE</t>
        </is>
      </c>
      <c r="F176" t="inlineStr">
        <is>
          <t>Delhi NCR</t>
        </is>
      </c>
      <c r="G176" t="inlineStr">
        <is>
          <t>B</t>
        </is>
      </c>
      <c r="H176" t="inlineStr">
        <is>
          <t>P0</t>
        </is>
      </c>
      <c r="I176" t="inlineStr"/>
      <c r="J176" t="inlineStr">
        <is>
          <t>Personal 1:1 email from founder/team to published business email</t>
        </is>
      </c>
      <c r="K176" t="inlineStr">
        <is>
          <t>https://urbanmistrii.com/</t>
        </is>
      </c>
      <c r="L176" t="inlineStr">
        <is>
          <t>W2 Expansion</t>
        </is>
      </c>
      <c r="M176" t="inlineStr"/>
      <c r="N176" t="inlineStr"/>
      <c r="O176" s="10" t="inlineStr"/>
      <c r="P176" s="10" t="inlineStr"/>
      <c r="Q176" s="10" t="inlineStr"/>
      <c r="R176" s="10" t="inlineStr"/>
      <c r="S176" t="inlineStr"/>
      <c r="T176" s="10" t="inlineStr"/>
      <c r="U176" t="inlineStr"/>
      <c r="V176" s="10" t="inlineStr"/>
      <c r="W176" s="10" t="inlineStr"/>
      <c r="X176" s="10" t="inlineStr"/>
      <c r="Y176" s="10" t="inlineStr"/>
      <c r="Z176" s="10" t="inlineStr"/>
      <c r="AA176" s="10" t="inlineStr"/>
      <c r="AB176" t="inlineStr"/>
      <c r="AC176" s="10" t="inlineStr"/>
      <c r="AD176" t="inlineStr"/>
      <c r="AE176" t="inlineStr"/>
      <c r="AF176" s="10" t="inlineStr"/>
      <c r="AG176" t="inlineStr"/>
      <c r="AH176">
        <f>IF(AND(B176="",C176=""),"",IF(AND(X176&lt;&gt;"",Y176&lt;&gt;"",Z176&lt;&gt;"",AA176&lt;&gt;"",AB176="Y"),"YES","no"))</f>
        <v/>
      </c>
      <c r="AI176" s="10">
        <f>IF(AH176="YES",MAX(X176,Y176,Z176,AA176),"")</f>
        <v/>
      </c>
      <c r="AJ176">
        <f>IF(AND(B176="",C176=""),"",IF(OR(S176="Not interested",S176="Opt-out / do not contact"),"X Declined / suppressed",IF(S176="Bounced / undeliverable","X Bounced — research",IF(AC176&lt;&gt;"","13 Transacting",IF(AH176="YES","12 ACTIVATED",IF(Z176&lt;&gt;"","11 Listing live",IF(Y176&lt;&gt;"","10 Profile complete",IF(X176&lt;&gt;"","9 Approved",IF(W176&lt;&gt;"","8 KYC submitted",IF(V176&lt;&gt;"","7 Registered",IF(T176&lt;&gt;"","5 Interested",IF(R176&lt;&gt;"","4 Responded",IF(O176&lt;&gt;"","2 Contacted","1 Not yet contacted")))))))))))))</f>
        <v/>
      </c>
      <c r="AK176" s="10">
        <f>IF(AF176&lt;&gt;"",AF176,IF(OR(O176="",R176&lt;&gt;"",LEFT(AJ176,1)="X"),"",IF(Q176&lt;&gt;"","",IF(P176&lt;&gt;"",P176+SETTINGS!$B$4,O176+SETTINGS!$B$3))))</f>
        <v/>
      </c>
      <c r="AL176">
        <f>IF(AJ176="","",IF(LEFT(AJ176,1)="X","None — do not contact",IF(AJ176="1 Not yet contacted","Verify route today, then send M1",IF(AND(R176="",Q176&lt;&gt;""),"Sequence complete — no contact before "&amp;TEXT(Q176+SETTINGS!$B$5,"yyyy-mm-dd"),IF(AND(R176="",P176&lt;&gt;""),"Send final note (M4)",IF(R176="","Send follow-up (M2)",IF(AJ176="12 ACTIVATED","7-day check-in; consent &amp; referral soft ask",IF(AJ176="13 Transacting","Repeat-activity support","Onboarding: move to next stage (see playbook §6)"))))))))</f>
        <v/>
      </c>
      <c r="AM176">
        <f>IF(ISNUMBER(AK176),IF(AK176&lt;=TODAY(),"DUE",""),"")</f>
        <v/>
      </c>
      <c r="AN176">
        <f>IF(COUNT(O176,P176,Q176,R176,T176,V176,W176,X176,Y176,Z176,AA176,AC176)=0,"",TODAY()-MAX(O176,P176,Q176,R176,T176,V176,W176,X176,Y176,Z176,AA176,AC176))</f>
        <v/>
      </c>
      <c r="AO176">
        <f>IF(AJ176="","",IF(AND(T176&lt;&gt;"",U176&lt;&gt;"Active (verified)"),"GST: escalate (no tax advice)",IF(AND(IFERROR(VALUE(LEFT(AJ176,2)),0)&gt;=5,AH176&lt;&gt;"YES",ISNUMBER(AN176),AN176&gt;SETTINGS!$B$14),"STUCK in onboarding","")))</f>
        <v/>
      </c>
    </row>
    <row r="177">
      <c r="A177" t="n">
        <v>176</v>
      </c>
      <c r="B177" t="inlineStr">
        <is>
          <t>UPK2-SD-053</t>
        </is>
      </c>
      <c r="C177" t="inlineStr">
        <is>
          <t>IDEAS (Ideas Jaipur)</t>
        </is>
      </c>
      <c r="D177" t="inlineStr">
        <is>
          <t>Space &amp; Design</t>
        </is>
      </c>
      <c r="E177" t="inlineStr">
        <is>
          <t>SD-ARCHITECTURE</t>
        </is>
      </c>
      <c r="F177" t="inlineStr">
        <is>
          <t>Jaipur</t>
        </is>
      </c>
      <c r="G177" t="inlineStr">
        <is>
          <t>C</t>
        </is>
      </c>
      <c r="H177" t="inlineStr">
        <is>
          <t>P0</t>
        </is>
      </c>
      <c r="I177" t="inlineStr"/>
      <c r="J177" t="inlineStr">
        <is>
          <t>Personal 1:1 email from founder/team to published business email</t>
        </is>
      </c>
      <c r="K177" t="inlineStr">
        <is>
          <t>https://ideasjaipur.com/</t>
        </is>
      </c>
      <c r="L177" t="inlineStr">
        <is>
          <t>W2 Expansion</t>
        </is>
      </c>
      <c r="M177" t="inlineStr"/>
      <c r="N177" t="inlineStr"/>
      <c r="O177" s="10" t="inlineStr"/>
      <c r="P177" s="10" t="inlineStr"/>
      <c r="Q177" s="10" t="inlineStr"/>
      <c r="R177" s="10" t="inlineStr"/>
      <c r="S177" t="inlineStr"/>
      <c r="T177" s="10" t="inlineStr"/>
      <c r="U177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t="inlineStr"/>
      <c r="AC177" s="10" t="inlineStr"/>
      <c r="AD177" t="inlineStr"/>
      <c r="AE177" t="inlineStr"/>
      <c r="AF177" s="10" t="inlineStr"/>
      <c r="AG177" t="inlineStr"/>
      <c r="AH177">
        <f>IF(AND(B177="",C177=""),"",IF(AND(X177&lt;&gt;"",Y177&lt;&gt;"",Z177&lt;&gt;"",AA177&lt;&gt;"",AB177="Y"),"YES","no"))</f>
        <v/>
      </c>
      <c r="AI177" s="10">
        <f>IF(AH177="YES",MAX(X177,Y177,Z177,AA177),"")</f>
        <v/>
      </c>
      <c r="AJ177">
        <f>IF(AND(B177="",C177=""),"",IF(OR(S177="Not interested",S177="Opt-out / do not contact"),"X Declined / suppressed",IF(S177="Bounced / undeliverable","X Bounced — research",IF(AC177&lt;&gt;"","13 Transacting",IF(AH177="YES","12 ACTIVATED",IF(Z177&lt;&gt;"","11 Listing live",IF(Y177&lt;&gt;"","10 Profile complete",IF(X177&lt;&gt;"","9 Approved",IF(W177&lt;&gt;"","8 KYC submitted",IF(V177&lt;&gt;"","7 Registered",IF(T177&lt;&gt;"","5 Interested",IF(R177&lt;&gt;"","4 Responded",IF(O177&lt;&gt;"","2 Contacted","1 Not yet contacted")))))))))))))</f>
        <v/>
      </c>
      <c r="AK177" s="10">
        <f>IF(AF177&lt;&gt;"",AF177,IF(OR(O177="",R177&lt;&gt;"",LEFT(AJ177,1)="X"),"",IF(Q177&lt;&gt;"","",IF(P177&lt;&gt;"",P177+SETTINGS!$B$4,O177+SETTINGS!$B$3))))</f>
        <v/>
      </c>
      <c r="AL177">
        <f>IF(AJ177="","",IF(LEFT(AJ177,1)="X","None — do not contact",IF(AJ177="1 Not yet contacted","Verify route today, then send M1",IF(AND(R177="",Q177&lt;&gt;""),"Sequence complete — no contact before "&amp;TEXT(Q177+SETTINGS!$B$5,"yyyy-mm-dd"),IF(AND(R177="",P177&lt;&gt;""),"Send final note (M4)",IF(R177="","Send follow-up (M2)",IF(AJ177="12 ACTIVATED","7-day check-in; consent &amp; referral soft ask",IF(AJ177="13 Transacting","Repeat-activity support","Onboarding: move to next stage (see playbook §6)"))))))))</f>
        <v/>
      </c>
      <c r="AM177">
        <f>IF(ISNUMBER(AK177),IF(AK177&lt;=TODAY(),"DUE",""),"")</f>
        <v/>
      </c>
      <c r="AN177">
        <f>IF(COUNT(O177,P177,Q177,R177,T177,V177,W177,X177,Y177,Z177,AA177,AC177)=0,"",TODAY()-MAX(O177,P177,Q177,R177,T177,V177,W177,X177,Y177,Z177,AA177,AC177))</f>
        <v/>
      </c>
      <c r="AO177">
        <f>IF(AJ177="","",IF(AND(T177&lt;&gt;"",U177&lt;&gt;"Active (verified)"),"GST: escalate (no tax advice)",IF(AND(IFERROR(VALUE(LEFT(AJ177,2)),0)&gt;=5,AH177&lt;&gt;"YES",ISNUMBER(AN177),AN177&gt;SETTINGS!$B$14),"STUCK in onboarding","")))</f>
        <v/>
      </c>
    </row>
    <row r="178">
      <c r="A178" t="n">
        <v>177</v>
      </c>
      <c r="B178" t="inlineStr">
        <is>
          <t>UPK2-SD-016</t>
        </is>
      </c>
      <c r="C178" t="inlineStr">
        <is>
          <t>Matrix Design Works</t>
        </is>
      </c>
      <c r="D178" t="inlineStr">
        <is>
          <t>Space &amp; Design</t>
        </is>
      </c>
      <c r="E178" t="inlineStr">
        <is>
          <t>SD-INTERIOR</t>
        </is>
      </c>
      <c r="F178" t="inlineStr">
        <is>
          <t>Delhi NCR</t>
        </is>
      </c>
      <c r="G178" t="inlineStr">
        <is>
          <t>B</t>
        </is>
      </c>
      <c r="H178" t="inlineStr">
        <is>
          <t>P0</t>
        </is>
      </c>
      <c r="I178" t="inlineStr"/>
      <c r="J178" t="inlineStr">
        <is>
          <t>Personal 1:1 email from founder/team to published business email</t>
        </is>
      </c>
      <c r="K178" t="inlineStr">
        <is>
          <t>https://matrixdesignworks.in/index.php/contact/</t>
        </is>
      </c>
      <c r="L178" t="inlineStr">
        <is>
          <t>W2 Expansion</t>
        </is>
      </c>
      <c r="M178" t="inlineStr"/>
      <c r="N178" t="inlineStr"/>
      <c r="O178" s="10" t="inlineStr"/>
      <c r="P178" s="10" t="inlineStr"/>
      <c r="Q178" s="10" t="inlineStr"/>
      <c r="R178" s="10" t="inlineStr"/>
      <c r="S178" t="inlineStr"/>
      <c r="T178" s="10" t="inlineStr"/>
      <c r="U178" t="inlineStr"/>
      <c r="V178" s="10" t="inlineStr"/>
      <c r="W178" s="10" t="inlineStr"/>
      <c r="X178" s="10" t="inlineStr"/>
      <c r="Y178" s="10" t="inlineStr"/>
      <c r="Z178" s="10" t="inlineStr"/>
      <c r="AA178" s="10" t="inlineStr"/>
      <c r="AB178" t="inlineStr"/>
      <c r="AC178" s="10" t="inlineStr"/>
      <c r="AD178" t="inlineStr"/>
      <c r="AE178" t="inlineStr"/>
      <c r="AF178" s="10" t="inlineStr"/>
      <c r="AG178" t="inlineStr"/>
      <c r="AH178">
        <f>IF(AND(B178="",C178=""),"",IF(AND(X178&lt;&gt;"",Y178&lt;&gt;"",Z178&lt;&gt;"",AA178&lt;&gt;"",AB178="Y"),"YES","no"))</f>
        <v/>
      </c>
      <c r="AI178" s="10">
        <f>IF(AH178="YES",MAX(X178,Y178,Z178,AA178),"")</f>
        <v/>
      </c>
      <c r="AJ178">
        <f>IF(AND(B178="",C178=""),"",IF(OR(S178="Not interested",S178="Opt-out / do not contact"),"X Declined / suppressed",IF(S178="Bounced / undeliverable","X Bounced — research",IF(AC178&lt;&gt;"","13 Transacting",IF(AH178="YES","12 ACTIVATED",IF(Z178&lt;&gt;"","11 Listing live",IF(Y178&lt;&gt;"","10 Profile complete",IF(X178&lt;&gt;"","9 Approved",IF(W178&lt;&gt;"","8 KYC submitted",IF(V178&lt;&gt;"","7 Registered",IF(T178&lt;&gt;"","5 Interested",IF(R178&lt;&gt;"","4 Responded",IF(O178&lt;&gt;"","2 Contacted","1 Not yet contacted")))))))))))))</f>
        <v/>
      </c>
      <c r="AK178" s="10">
        <f>IF(AF178&lt;&gt;"",AF178,IF(OR(O178="",R178&lt;&gt;"",LEFT(AJ178,1)="X"),"",IF(Q178&lt;&gt;"","",IF(P178&lt;&gt;"",P178+SETTINGS!$B$4,O178+SETTINGS!$B$3))))</f>
        <v/>
      </c>
      <c r="AL178">
        <f>IF(AJ178="","",IF(LEFT(AJ178,1)="X","None — do not contact",IF(AJ178="1 Not yet contacted","Verify route today, then send M1",IF(AND(R178="",Q178&lt;&gt;""),"Sequence complete — no contact before "&amp;TEXT(Q178+SETTINGS!$B$5,"yyyy-mm-dd"),IF(AND(R178="",P178&lt;&gt;""),"Send final note (M4)",IF(R178="","Send follow-up (M2)",IF(AJ178="12 ACTIVATED","7-day check-in; consent &amp; referral soft ask",IF(AJ178="13 Transacting","Repeat-activity support","Onboarding: move to next stage (see playbook §6)"))))))))</f>
        <v/>
      </c>
      <c r="AM178">
        <f>IF(ISNUMBER(AK178),IF(AK178&lt;=TODAY(),"DUE",""),"")</f>
        <v/>
      </c>
      <c r="AN178">
        <f>IF(COUNT(O178,P178,Q178,R178,T178,V178,W178,X178,Y178,Z178,AA178,AC178)=0,"",TODAY()-MAX(O178,P178,Q178,R178,T178,V178,W178,X178,Y178,Z178,AA178,AC178))</f>
        <v/>
      </c>
      <c r="AO178">
        <f>IF(AJ178="","",IF(AND(T178&lt;&gt;"",U178&lt;&gt;"Active (verified)"),"GST: escalate (no tax advice)",IF(AND(IFERROR(VALUE(LEFT(AJ178,2)),0)&gt;=5,AH178&lt;&gt;"YES",ISNUMBER(AN178),AN178&gt;SETTINGS!$B$14),"STUCK in onboarding","")))</f>
        <v/>
      </c>
    </row>
    <row r="179">
      <c r="A179" t="n">
        <v>178</v>
      </c>
      <c r="B179" t="inlineStr">
        <is>
          <t>UPK2-SD-004</t>
        </is>
      </c>
      <c r="C179" t="inlineStr">
        <is>
          <t>Aura Architecture Studio</t>
        </is>
      </c>
      <c r="D179" t="inlineStr">
        <is>
          <t>Space &amp; Design</t>
        </is>
      </c>
      <c r="E179" t="inlineStr">
        <is>
          <t>SD-ARCHITECTURE</t>
        </is>
      </c>
      <c r="F179" t="inlineStr">
        <is>
          <t>Delhi NCR</t>
        </is>
      </c>
      <c r="G179" t="inlineStr">
        <is>
          <t>B</t>
        </is>
      </c>
      <c r="H179" t="inlineStr">
        <is>
          <t>P1</t>
        </is>
      </c>
      <c r="I179" t="inlineStr"/>
      <c r="J179" t="inlineStr">
        <is>
          <t>Personal 1:1 email from founder/team to published business email</t>
        </is>
      </c>
      <c r="K179" t="inlineStr">
        <is>
          <t>https://www.auraarchitecturestudio.com/</t>
        </is>
      </c>
      <c r="L179" t="inlineStr">
        <is>
          <t>W2 Expansion</t>
        </is>
      </c>
      <c r="M179" t="inlineStr"/>
      <c r="N179" t="inlineStr"/>
      <c r="O179" s="10" t="inlineStr"/>
      <c r="P179" s="10" t="inlineStr"/>
      <c r="Q179" s="10" t="inlineStr"/>
      <c r="R179" s="10" t="inlineStr"/>
      <c r="S179" t="inlineStr"/>
      <c r="T179" s="10" t="inlineStr"/>
      <c r="U179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t="inlineStr"/>
      <c r="AC179" s="10" t="inlineStr"/>
      <c r="AD179" t="inlineStr"/>
      <c r="AE179" t="inlineStr"/>
      <c r="AF179" s="10" t="inlineStr"/>
      <c r="AG179" t="inlineStr"/>
      <c r="AH179">
        <f>IF(AND(B179="",C179=""),"",IF(AND(X179&lt;&gt;"",Y179&lt;&gt;"",Z179&lt;&gt;"",AA179&lt;&gt;"",AB179="Y"),"YES","no"))</f>
        <v/>
      </c>
      <c r="AI179" s="10">
        <f>IF(AH179="YES",MAX(X179,Y179,Z179,AA179),"")</f>
        <v/>
      </c>
      <c r="AJ179">
        <f>IF(AND(B179="",C179=""),"",IF(OR(S179="Not interested",S179="Opt-out / do not contact"),"X Declined / suppressed",IF(S179="Bounced / undeliverable","X Bounced — research",IF(AC179&lt;&gt;"","13 Transacting",IF(AH179="YES","12 ACTIVATED",IF(Z179&lt;&gt;"","11 Listing live",IF(Y179&lt;&gt;"","10 Profile complete",IF(X179&lt;&gt;"","9 Approved",IF(W179&lt;&gt;"","8 KYC submitted",IF(V179&lt;&gt;"","7 Registered",IF(T179&lt;&gt;"","5 Interested",IF(R179&lt;&gt;"","4 Responded",IF(O179&lt;&gt;"","2 Contacted","1 Not yet contacted")))))))))))))</f>
        <v/>
      </c>
      <c r="AK179" s="10">
        <f>IF(AF179&lt;&gt;"",AF179,IF(OR(O179="",R179&lt;&gt;"",LEFT(AJ179,1)="X"),"",IF(Q179&lt;&gt;"","",IF(P179&lt;&gt;"",P179+SETTINGS!$B$4,O179+SETTINGS!$B$3))))</f>
        <v/>
      </c>
      <c r="AL179">
        <f>IF(AJ179="","",IF(LEFT(AJ179,1)="X","None — do not contact",IF(AJ179="1 Not yet contacted","Verify route today, then send M1",IF(AND(R179="",Q179&lt;&gt;""),"Sequence complete — no contact before "&amp;TEXT(Q179+SETTINGS!$B$5,"yyyy-mm-dd"),IF(AND(R179="",P179&lt;&gt;""),"Send final note (M4)",IF(R179="","Send follow-up (M2)",IF(AJ179="12 ACTIVATED","7-day check-in; consent &amp; referral soft ask",IF(AJ179="13 Transacting","Repeat-activity support","Onboarding: move to next stage (see playbook §6)"))))))))</f>
        <v/>
      </c>
      <c r="AM179">
        <f>IF(ISNUMBER(AK179),IF(AK179&lt;=TODAY(),"DUE",""),"")</f>
        <v/>
      </c>
      <c r="AN179">
        <f>IF(COUNT(O179,P179,Q179,R179,T179,V179,W179,X179,Y179,Z179,AA179,AC179)=0,"",TODAY()-MAX(O179,P179,Q179,R179,T179,V179,W179,X179,Y179,Z179,AA179,AC179))</f>
        <v/>
      </c>
      <c r="AO179">
        <f>IF(AJ179="","",IF(AND(T179&lt;&gt;"",U179&lt;&gt;"Active (verified)"),"GST: escalate (no tax advice)",IF(AND(IFERROR(VALUE(LEFT(AJ179,2)),0)&gt;=5,AH179&lt;&gt;"YES",ISNUMBER(AN179),AN179&gt;SETTINGS!$B$14),"STUCK in onboarding","")))</f>
        <v/>
      </c>
    </row>
    <row r="180">
      <c r="A180" t="n">
        <v>179</v>
      </c>
      <c r="B180" t="inlineStr">
        <is>
          <t>UPK2-SD-014</t>
        </is>
      </c>
      <c r="C180" t="inlineStr">
        <is>
          <t>IIDC Architects</t>
        </is>
      </c>
      <c r="D180" t="inlineStr">
        <is>
          <t>Space &amp; Design</t>
        </is>
      </c>
      <c r="E180" t="inlineStr">
        <is>
          <t>SD-ARCHITECTURE</t>
        </is>
      </c>
      <c r="F180" t="inlineStr">
        <is>
          <t>Delhi NCR</t>
        </is>
      </c>
      <c r="G180" t="inlineStr">
        <is>
          <t>C</t>
        </is>
      </c>
      <c r="H180" t="inlineStr">
        <is>
          <t>P0</t>
        </is>
      </c>
      <c r="I180" t="inlineStr"/>
      <c r="J180" t="inlineStr">
        <is>
          <t>Personal 1:1 email from founder/team to published business email</t>
        </is>
      </c>
      <c r="K180" t="inlineStr">
        <is>
          <t>https://iidcarchitects.com/</t>
        </is>
      </c>
      <c r="L180" t="inlineStr">
        <is>
          <t>W2 Expansion</t>
        </is>
      </c>
      <c r="M180" t="inlineStr"/>
      <c r="N180" t="inlineStr"/>
      <c r="O180" s="10" t="inlineStr"/>
      <c r="P180" s="10" t="inlineStr"/>
      <c r="Q180" s="10" t="inlineStr"/>
      <c r="R180" s="10" t="inlineStr"/>
      <c r="S180" t="inlineStr"/>
      <c r="T180" s="10" t="inlineStr"/>
      <c r="U18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t="inlineStr"/>
      <c r="AC180" s="10" t="inlineStr"/>
      <c r="AD180" t="inlineStr"/>
      <c r="AE180" t="inlineStr"/>
      <c r="AF180" s="10" t="inlineStr"/>
      <c r="AG180" t="inlineStr"/>
      <c r="AH180">
        <f>IF(AND(B180="",C180=""),"",IF(AND(X180&lt;&gt;"",Y180&lt;&gt;"",Z180&lt;&gt;"",AA180&lt;&gt;"",AB180="Y"),"YES","no"))</f>
        <v/>
      </c>
      <c r="AI180" s="10">
        <f>IF(AH180="YES",MAX(X180,Y180,Z180,AA180),"")</f>
        <v/>
      </c>
      <c r="AJ180">
        <f>IF(AND(B180="",C180=""),"",IF(OR(S180="Not interested",S180="Opt-out / do not contact"),"X Declined / suppressed",IF(S180="Bounced / undeliverable","X Bounced — research",IF(AC180&lt;&gt;"","13 Transacting",IF(AH180="YES","12 ACTIVATED",IF(Z180&lt;&gt;"","11 Listing live",IF(Y180&lt;&gt;"","10 Profile complete",IF(X180&lt;&gt;"","9 Approved",IF(W180&lt;&gt;"","8 KYC submitted",IF(V180&lt;&gt;"","7 Registered",IF(T180&lt;&gt;"","5 Interested",IF(R180&lt;&gt;"","4 Responded",IF(O180&lt;&gt;"","2 Contacted","1 Not yet contacted")))))))))))))</f>
        <v/>
      </c>
      <c r="AK180" s="10">
        <f>IF(AF180&lt;&gt;"",AF180,IF(OR(O180="",R180&lt;&gt;"",LEFT(AJ180,1)="X"),"",IF(Q180&lt;&gt;"","",IF(P180&lt;&gt;"",P180+SETTINGS!$B$4,O180+SETTINGS!$B$3))))</f>
        <v/>
      </c>
      <c r="AL180">
        <f>IF(AJ180="","",IF(LEFT(AJ180,1)="X","None — do not contact",IF(AJ180="1 Not yet contacted","Verify route today, then send M1",IF(AND(R180="",Q180&lt;&gt;""),"Sequence complete — no contact before "&amp;TEXT(Q180+SETTINGS!$B$5,"yyyy-mm-dd"),IF(AND(R180="",P180&lt;&gt;""),"Send final note (M4)",IF(R180="","Send follow-up (M2)",IF(AJ180="12 ACTIVATED","7-day check-in; consent &amp; referral soft ask",IF(AJ180="13 Transacting","Repeat-activity support","Onboarding: move to next stage (see playbook §6)"))))))))</f>
        <v/>
      </c>
      <c r="AM180">
        <f>IF(ISNUMBER(AK180),IF(AK180&lt;=TODAY(),"DUE",""),"")</f>
        <v/>
      </c>
      <c r="AN180">
        <f>IF(COUNT(O180,P180,Q180,R180,T180,V180,W180,X180,Y180,Z180,AA180,AC180)=0,"",TODAY()-MAX(O180,P180,Q180,R180,T180,V180,W180,X180,Y180,Z180,AA180,AC180))</f>
        <v/>
      </c>
      <c r="AO180">
        <f>IF(AJ180="","",IF(AND(T180&lt;&gt;"",U180&lt;&gt;"Active (verified)"),"GST: escalate (no tax advice)",IF(AND(IFERROR(VALUE(LEFT(AJ180,2)),0)&gt;=5,AH180&lt;&gt;"YES",ISNUMBER(AN180),AN180&gt;SETTINGS!$B$14),"STUCK in onboarding","")))</f>
        <v/>
      </c>
    </row>
    <row r="181">
      <c r="A181" t="n">
        <v>180</v>
      </c>
      <c r="B181" t="inlineStr">
        <is>
          <t>UPK2-SD-086</t>
        </is>
      </c>
      <c r="C181" t="inlineStr">
        <is>
          <t>MySpace Architects</t>
        </is>
      </c>
      <c r="D181" t="inlineStr">
        <is>
          <t>Space &amp; Design</t>
        </is>
      </c>
      <c r="E181" t="inlineStr">
        <is>
          <t>SD-ARCHITECTURE</t>
        </is>
      </c>
      <c r="F181" t="inlineStr">
        <is>
          <t>Delhi NCR</t>
        </is>
      </c>
      <c r="G181" t="inlineStr">
        <is>
          <t>B</t>
        </is>
      </c>
      <c r="H181" t="inlineStr">
        <is>
          <t>P0</t>
        </is>
      </c>
      <c r="I181" t="inlineStr"/>
      <c r="J181" t="inlineStr">
        <is>
          <t>1:1 message via own-website contact form</t>
        </is>
      </c>
      <c r="K181" t="inlineStr">
        <is>
          <t>https://www.myspacearchitects.com/contactus</t>
        </is>
      </c>
      <c r="L181" t="inlineStr">
        <is>
          <t>W2 Expansion</t>
        </is>
      </c>
      <c r="M181" t="inlineStr"/>
      <c r="N181" t="inlineStr"/>
      <c r="O181" s="10" t="inlineStr"/>
      <c r="P181" s="10" t="inlineStr"/>
      <c r="Q181" s="10" t="inlineStr"/>
      <c r="R181" s="10" t="inlineStr"/>
      <c r="S181" t="inlineStr"/>
      <c r="T181" s="10" t="inlineStr"/>
      <c r="U181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t="inlineStr"/>
      <c r="AC181" s="10" t="inlineStr"/>
      <c r="AD181" t="inlineStr"/>
      <c r="AE181" t="inlineStr"/>
      <c r="AF181" s="10" t="inlineStr"/>
      <c r="AG181" t="inlineStr"/>
      <c r="AH181">
        <f>IF(AND(B181="",C181=""),"",IF(AND(X181&lt;&gt;"",Y181&lt;&gt;"",Z181&lt;&gt;"",AA181&lt;&gt;"",AB181="Y"),"YES","no"))</f>
        <v/>
      </c>
      <c r="AI181" s="10">
        <f>IF(AH181="YES",MAX(X181,Y181,Z181,AA181),"")</f>
        <v/>
      </c>
      <c r="AJ181">
        <f>IF(AND(B181="",C181=""),"",IF(OR(S181="Not interested",S181="Opt-out / do not contact"),"X Declined / suppressed",IF(S181="Bounced / undeliverable","X Bounced — research",IF(AC181&lt;&gt;"","13 Transacting",IF(AH181="YES","12 ACTIVATED",IF(Z181&lt;&gt;"","11 Listing live",IF(Y181&lt;&gt;"","10 Profile complete",IF(X181&lt;&gt;"","9 Approved",IF(W181&lt;&gt;"","8 KYC submitted",IF(V181&lt;&gt;"","7 Registered",IF(T181&lt;&gt;"","5 Interested",IF(R181&lt;&gt;"","4 Responded",IF(O181&lt;&gt;"","2 Contacted","1 Not yet contacted")))))))))))))</f>
        <v/>
      </c>
      <c r="AK181" s="10">
        <f>IF(AF181&lt;&gt;"",AF181,IF(OR(O181="",R181&lt;&gt;"",LEFT(AJ181,1)="X"),"",IF(Q181&lt;&gt;"","",IF(P181&lt;&gt;"",P181+SETTINGS!$B$4,O181+SETTINGS!$B$3))))</f>
        <v/>
      </c>
      <c r="AL181">
        <f>IF(AJ181="","",IF(LEFT(AJ181,1)="X","None — do not contact",IF(AJ181="1 Not yet contacted","Verify route today, then send M1",IF(AND(R181="",Q181&lt;&gt;""),"Sequence complete — no contact before "&amp;TEXT(Q181+SETTINGS!$B$5,"yyyy-mm-dd"),IF(AND(R181="",P181&lt;&gt;""),"Send final note (M4)",IF(R181="","Send follow-up (M2)",IF(AJ181="12 ACTIVATED","7-day check-in; consent &amp; referral soft ask",IF(AJ181="13 Transacting","Repeat-activity support","Onboarding: move to next stage (see playbook §6)"))))))))</f>
        <v/>
      </c>
      <c r="AM181">
        <f>IF(ISNUMBER(AK181),IF(AK181&lt;=TODAY(),"DUE",""),"")</f>
        <v/>
      </c>
      <c r="AN181">
        <f>IF(COUNT(O181,P181,Q181,R181,T181,V181,W181,X181,Y181,Z181,AA181,AC181)=0,"",TODAY()-MAX(O181,P181,Q181,R181,T181,V181,W181,X181,Y181,Z181,AA181,AC181))</f>
        <v/>
      </c>
      <c r="AO181">
        <f>IF(AJ181="","",IF(AND(T181&lt;&gt;"",U181&lt;&gt;"Active (verified)"),"GST: escalate (no tax advice)",IF(AND(IFERROR(VALUE(LEFT(AJ181,2)),0)&gt;=5,AH181&lt;&gt;"YES",ISNUMBER(AN181),AN181&gt;SETTINGS!$B$14),"STUCK in onboarding","")))</f>
        <v/>
      </c>
    </row>
    <row r="182">
      <c r="A182" t="n">
        <v>181</v>
      </c>
      <c r="B182" t="inlineStr">
        <is>
          <t>UPK2-SD-026</t>
        </is>
      </c>
      <c r="C182" t="inlineStr">
        <is>
          <t>DADA Partners</t>
        </is>
      </c>
      <c r="D182" t="inlineStr">
        <is>
          <t>Space &amp; Design</t>
        </is>
      </c>
      <c r="E182" t="inlineStr">
        <is>
          <t>SD-ARCHITECTURE</t>
        </is>
      </c>
      <c r="F182" t="inlineStr">
        <is>
          <t>Delhi NCR</t>
        </is>
      </c>
      <c r="G182" t="inlineStr">
        <is>
          <t>C</t>
        </is>
      </c>
      <c r="H182" t="inlineStr">
        <is>
          <t>P0</t>
        </is>
      </c>
      <c r="I182" t="inlineStr"/>
      <c r="J182" t="inlineStr">
        <is>
          <t>Personal 1:1 email from founder/team to published business email</t>
        </is>
      </c>
      <c r="K182" t="inlineStr">
        <is>
          <t>https://dadapartners.com/</t>
        </is>
      </c>
      <c r="L182" t="inlineStr">
        <is>
          <t>W2 Expansion</t>
        </is>
      </c>
      <c r="M182" t="inlineStr"/>
      <c r="N182" t="inlineStr"/>
      <c r="O182" s="10" t="inlineStr"/>
      <c r="P182" s="10" t="inlineStr"/>
      <c r="Q182" s="10" t="inlineStr"/>
      <c r="R182" s="10" t="inlineStr"/>
      <c r="S182" t="inlineStr"/>
      <c r="T182" s="10" t="inlineStr"/>
      <c r="U182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t="inlineStr"/>
      <c r="AC182" s="10" t="inlineStr"/>
      <c r="AD182" t="inlineStr"/>
      <c r="AE182" t="inlineStr"/>
      <c r="AF182" s="10" t="inlineStr"/>
      <c r="AG182" t="inlineStr"/>
      <c r="AH182">
        <f>IF(AND(B182="",C182=""),"",IF(AND(X182&lt;&gt;"",Y182&lt;&gt;"",Z182&lt;&gt;"",AA182&lt;&gt;"",AB182="Y"),"YES","no"))</f>
        <v/>
      </c>
      <c r="AI182" s="10">
        <f>IF(AH182="YES",MAX(X182,Y182,Z182,AA182),"")</f>
        <v/>
      </c>
      <c r="AJ182">
        <f>IF(AND(B182="",C182=""),"",IF(OR(S182="Not interested",S182="Opt-out / do not contact"),"X Declined / suppressed",IF(S182="Bounced / undeliverable","X Bounced — research",IF(AC182&lt;&gt;"","13 Transacting",IF(AH182="YES","12 ACTIVATED",IF(Z182&lt;&gt;"","11 Listing live",IF(Y182&lt;&gt;"","10 Profile complete",IF(X182&lt;&gt;"","9 Approved",IF(W182&lt;&gt;"","8 KYC submitted",IF(V182&lt;&gt;"","7 Registered",IF(T182&lt;&gt;"","5 Interested",IF(R182&lt;&gt;"","4 Responded",IF(O182&lt;&gt;"","2 Contacted","1 Not yet contacted")))))))))))))</f>
        <v/>
      </c>
      <c r="AK182" s="10">
        <f>IF(AF182&lt;&gt;"",AF182,IF(OR(O182="",R182&lt;&gt;"",LEFT(AJ182,1)="X"),"",IF(Q182&lt;&gt;"","",IF(P182&lt;&gt;"",P182+SETTINGS!$B$4,O182+SETTINGS!$B$3))))</f>
        <v/>
      </c>
      <c r="AL182">
        <f>IF(AJ182="","",IF(LEFT(AJ182,1)="X","None — do not contact",IF(AJ182="1 Not yet contacted","Verify route today, then send M1",IF(AND(R182="",Q182&lt;&gt;""),"Sequence complete — no contact before "&amp;TEXT(Q182+SETTINGS!$B$5,"yyyy-mm-dd"),IF(AND(R182="",P182&lt;&gt;""),"Send final note (M4)",IF(R182="","Send follow-up (M2)",IF(AJ182="12 ACTIVATED","7-day check-in; consent &amp; referral soft ask",IF(AJ182="13 Transacting","Repeat-activity support","Onboarding: move to next stage (see playbook §6)"))))))))</f>
        <v/>
      </c>
      <c r="AM182">
        <f>IF(ISNUMBER(AK182),IF(AK182&lt;=TODAY(),"DUE",""),"")</f>
        <v/>
      </c>
      <c r="AN182">
        <f>IF(COUNT(O182,P182,Q182,R182,T182,V182,W182,X182,Y182,Z182,AA182,AC182)=0,"",TODAY()-MAX(O182,P182,Q182,R182,T182,V182,W182,X182,Y182,Z182,AA182,AC182))</f>
        <v/>
      </c>
      <c r="AO182">
        <f>IF(AJ182="","",IF(AND(T182&lt;&gt;"",U182&lt;&gt;"Active (verified)"),"GST: escalate (no tax advice)",IF(AND(IFERROR(VALUE(LEFT(AJ182,2)),0)&gt;=5,AH182&lt;&gt;"YES",ISNUMBER(AN182),AN182&gt;SETTINGS!$B$14),"STUCK in onboarding","")))</f>
        <v/>
      </c>
    </row>
    <row r="183">
      <c r="A183" t="n">
        <v>182</v>
      </c>
      <c r="B183" t="inlineStr">
        <is>
          <t>UPK2-SD-312</t>
        </is>
      </c>
      <c r="C183" t="inlineStr">
        <is>
          <t>The Black Touch</t>
        </is>
      </c>
      <c r="D183" t="inlineStr">
        <is>
          <t>Space &amp; Design</t>
        </is>
      </c>
      <c r="E183" t="inlineStr">
        <is>
          <t>SD-INTERIOR</t>
        </is>
      </c>
      <c r="F183" t="inlineStr">
        <is>
          <t>Mumbai</t>
        </is>
      </c>
      <c r="G183" t="inlineStr">
        <is>
          <t>B</t>
        </is>
      </c>
      <c r="H183" t="inlineStr">
        <is>
          <t>P0</t>
        </is>
      </c>
      <c r="I183" t="inlineStr"/>
      <c r="J183" t="inlineStr">
        <is>
          <t>Personal 1:1 email from founder/team to published business email</t>
        </is>
      </c>
      <c r="K183" t="inlineStr">
        <is>
          <t>https://theblacktouch.com/contact-us</t>
        </is>
      </c>
      <c r="L183" t="inlineStr">
        <is>
          <t>W2 Expansion</t>
        </is>
      </c>
      <c r="M183" t="inlineStr"/>
      <c r="N183" t="inlineStr"/>
      <c r="O183" s="10" t="inlineStr"/>
      <c r="P183" s="10" t="inlineStr"/>
      <c r="Q183" s="10" t="inlineStr"/>
      <c r="R183" s="10" t="inlineStr"/>
      <c r="S183" t="inlineStr"/>
      <c r="T183" s="10" t="inlineStr"/>
      <c r="U183" t="inlineStr"/>
      <c r="V183" s="10" t="inlineStr"/>
      <c r="W183" s="10" t="inlineStr"/>
      <c r="X183" s="10" t="inlineStr"/>
      <c r="Y183" s="10" t="inlineStr"/>
      <c r="Z183" s="10" t="inlineStr"/>
      <c r="AA183" s="10" t="inlineStr"/>
      <c r="AB183" t="inlineStr"/>
      <c r="AC183" s="10" t="inlineStr"/>
      <c r="AD183" t="inlineStr"/>
      <c r="AE183" t="inlineStr"/>
      <c r="AF183" s="10" t="inlineStr"/>
      <c r="AG183" t="inlineStr"/>
      <c r="AH183">
        <f>IF(AND(B183="",C183=""),"",IF(AND(X183&lt;&gt;"",Y183&lt;&gt;"",Z183&lt;&gt;"",AA183&lt;&gt;"",AB183="Y"),"YES","no"))</f>
        <v/>
      </c>
      <c r="AI183" s="10">
        <f>IF(AH183="YES",MAX(X183,Y183,Z183,AA183),"")</f>
        <v/>
      </c>
      <c r="AJ183">
        <f>IF(AND(B183="",C183=""),"",IF(OR(S183="Not interested",S183="Opt-out / do not contact"),"X Declined / suppressed",IF(S183="Bounced / undeliverable","X Bounced — research",IF(AC183&lt;&gt;"","13 Transacting",IF(AH183="YES","12 ACTIVATED",IF(Z183&lt;&gt;"","11 Listing live",IF(Y183&lt;&gt;"","10 Profile complete",IF(X183&lt;&gt;"","9 Approved",IF(W183&lt;&gt;"","8 KYC submitted",IF(V183&lt;&gt;"","7 Registered",IF(T183&lt;&gt;"","5 Interested",IF(R183&lt;&gt;"","4 Responded",IF(O183&lt;&gt;"","2 Contacted","1 Not yet contacted")))))))))))))</f>
        <v/>
      </c>
      <c r="AK183" s="10">
        <f>IF(AF183&lt;&gt;"",AF183,IF(OR(O183="",R183&lt;&gt;"",LEFT(AJ183,1)="X"),"",IF(Q183&lt;&gt;"","",IF(P183&lt;&gt;"",P183+SETTINGS!$B$4,O183+SETTINGS!$B$3))))</f>
        <v/>
      </c>
      <c r="AL183">
        <f>IF(AJ183="","",IF(LEFT(AJ183,1)="X","None — do not contact",IF(AJ183="1 Not yet contacted","Verify route today, then send M1",IF(AND(R183="",Q183&lt;&gt;""),"Sequence complete — no contact before "&amp;TEXT(Q183+SETTINGS!$B$5,"yyyy-mm-dd"),IF(AND(R183="",P183&lt;&gt;""),"Send final note (M4)",IF(R183="","Send follow-up (M2)",IF(AJ183="12 ACTIVATED","7-day check-in; consent &amp; referral soft ask",IF(AJ183="13 Transacting","Repeat-activity support","Onboarding: move to next stage (see playbook §6)"))))))))</f>
        <v/>
      </c>
      <c r="AM183">
        <f>IF(ISNUMBER(AK183),IF(AK183&lt;=TODAY(),"DUE",""),"")</f>
        <v/>
      </c>
      <c r="AN183">
        <f>IF(COUNT(O183,P183,Q183,R183,T183,V183,W183,X183,Y183,Z183,AA183,AC183)=0,"",TODAY()-MAX(O183,P183,Q183,R183,T183,V183,W183,X183,Y183,Z183,AA183,AC183))</f>
        <v/>
      </c>
      <c r="AO183">
        <f>IF(AJ183="","",IF(AND(T183&lt;&gt;"",U183&lt;&gt;"Active (verified)"),"GST: escalate (no tax advice)",IF(AND(IFERROR(VALUE(LEFT(AJ183,2)),0)&gt;=5,AH183&lt;&gt;"YES",ISNUMBER(AN183),AN183&gt;SETTINGS!$B$14),"STUCK in onboarding","")))</f>
        <v/>
      </c>
    </row>
    <row r="184">
      <c r="A184" t="n">
        <v>183</v>
      </c>
      <c r="B184" t="inlineStr">
        <is>
          <t>UPK2-SD-051</t>
        </is>
      </c>
      <c r="C184" t="inlineStr">
        <is>
          <t>TIS Living (Total Interiors Solutions)</t>
        </is>
      </c>
      <c r="D184" t="inlineStr">
        <is>
          <t>Space &amp; Design</t>
        </is>
      </c>
      <c r="E184" t="inlineStr">
        <is>
          <t>SD-INTERIOR</t>
        </is>
      </c>
      <c r="F184" t="inlineStr">
        <is>
          <t>Delhi NCR</t>
        </is>
      </c>
      <c r="G184" t="inlineStr">
        <is>
          <t>C</t>
        </is>
      </c>
      <c r="H184" t="inlineStr">
        <is>
          <t>P0</t>
        </is>
      </c>
      <c r="I184" t="inlineStr"/>
      <c r="J184" t="inlineStr">
        <is>
          <t>1:1 message via own-website contact form</t>
        </is>
      </c>
      <c r="K184" t="inlineStr">
        <is>
          <t>https://www.tisliving.com/</t>
        </is>
      </c>
      <c r="L184" t="inlineStr">
        <is>
          <t>W2 Expansion</t>
        </is>
      </c>
      <c r="M184" t="inlineStr"/>
      <c r="N184" t="inlineStr"/>
      <c r="O184" s="10" t="inlineStr"/>
      <c r="P184" s="10" t="inlineStr"/>
      <c r="Q184" s="10" t="inlineStr"/>
      <c r="R184" s="10" t="inlineStr"/>
      <c r="S184" t="inlineStr"/>
      <c r="T184" s="10" t="inlineStr"/>
      <c r="U184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t="inlineStr"/>
      <c r="AC184" s="10" t="inlineStr"/>
      <c r="AD184" t="inlineStr"/>
      <c r="AE184" t="inlineStr"/>
      <c r="AF184" s="10" t="inlineStr"/>
      <c r="AG184" t="inlineStr"/>
      <c r="AH184">
        <f>IF(AND(B184="",C184=""),"",IF(AND(X184&lt;&gt;"",Y184&lt;&gt;"",Z184&lt;&gt;"",AA184&lt;&gt;"",AB184="Y"),"YES","no"))</f>
        <v/>
      </c>
      <c r="AI184" s="10">
        <f>IF(AH184="YES",MAX(X184,Y184,Z184,AA184),"")</f>
        <v/>
      </c>
      <c r="AJ184">
        <f>IF(AND(B184="",C184=""),"",IF(OR(S184="Not interested",S184="Opt-out / do not contact"),"X Declined / suppressed",IF(S184="Bounced / undeliverable","X Bounced — research",IF(AC184&lt;&gt;"","13 Transacting",IF(AH184="YES","12 ACTIVATED",IF(Z184&lt;&gt;"","11 Listing live",IF(Y184&lt;&gt;"","10 Profile complete",IF(X184&lt;&gt;"","9 Approved",IF(W184&lt;&gt;"","8 KYC submitted",IF(V184&lt;&gt;"","7 Registered",IF(T184&lt;&gt;"","5 Interested",IF(R184&lt;&gt;"","4 Responded",IF(O184&lt;&gt;"","2 Contacted","1 Not yet contacted")))))))))))))</f>
        <v/>
      </c>
      <c r="AK184" s="10">
        <f>IF(AF184&lt;&gt;"",AF184,IF(OR(O184="",R184&lt;&gt;"",LEFT(AJ184,1)="X"),"",IF(Q184&lt;&gt;"","",IF(P184&lt;&gt;"",P184+SETTINGS!$B$4,O184+SETTINGS!$B$3))))</f>
        <v/>
      </c>
      <c r="AL184">
        <f>IF(AJ184="","",IF(LEFT(AJ184,1)="X","None — do not contact",IF(AJ184="1 Not yet contacted","Verify route today, then send M1",IF(AND(R184="",Q184&lt;&gt;""),"Sequence complete — no contact before "&amp;TEXT(Q184+SETTINGS!$B$5,"yyyy-mm-dd"),IF(AND(R184="",P184&lt;&gt;""),"Send final note (M4)",IF(R184="","Send follow-up (M2)",IF(AJ184="12 ACTIVATED","7-day check-in; consent &amp; referral soft ask",IF(AJ184="13 Transacting","Repeat-activity support","Onboarding: move to next stage (see playbook §6)"))))))))</f>
        <v/>
      </c>
      <c r="AM184">
        <f>IF(ISNUMBER(AK184),IF(AK184&lt;=TODAY(),"DUE",""),"")</f>
        <v/>
      </c>
      <c r="AN184">
        <f>IF(COUNT(O184,P184,Q184,R184,T184,V184,W184,X184,Y184,Z184,AA184,AC184)=0,"",TODAY()-MAX(O184,P184,Q184,R184,T184,V184,W184,X184,Y184,Z184,AA184,AC184))</f>
        <v/>
      </c>
      <c r="AO184">
        <f>IF(AJ184="","",IF(AND(T184&lt;&gt;"",U184&lt;&gt;"Active (verified)"),"GST: escalate (no tax advice)",IF(AND(IFERROR(VALUE(LEFT(AJ184,2)),0)&gt;=5,AH184&lt;&gt;"YES",ISNUMBER(AN184),AN184&gt;SETTINGS!$B$14),"STUCK in onboarding","")))</f>
        <v/>
      </c>
    </row>
    <row r="185">
      <c r="A185" t="n">
        <v>184</v>
      </c>
      <c r="B185" t="inlineStr">
        <is>
          <t>UPK2-SD-071</t>
        </is>
      </c>
      <c r="C185" t="inlineStr">
        <is>
          <t>Bhardwaj Design &amp; Associates (BDAA)</t>
        </is>
      </c>
      <c r="D185" t="inlineStr">
        <is>
          <t>Space &amp; Design</t>
        </is>
      </c>
      <c r="E185" t="inlineStr">
        <is>
          <t>SD-ARCHITECTURE</t>
        </is>
      </c>
      <c r="F185" t="inlineStr">
        <is>
          <t>Delhi NCR</t>
        </is>
      </c>
      <c r="G185" t="inlineStr">
        <is>
          <t>B</t>
        </is>
      </c>
      <c r="H185" t="inlineStr">
        <is>
          <t>P0</t>
        </is>
      </c>
      <c r="I185" t="inlineStr"/>
      <c r="J185" t="inlineStr">
        <is>
          <t>Personal 1:1 email from founder/team to published business email</t>
        </is>
      </c>
      <c r="K185" t="inlineStr">
        <is>
          <t>https://bdaa.in/</t>
        </is>
      </c>
      <c r="L185" t="inlineStr">
        <is>
          <t>W2 Expansion</t>
        </is>
      </c>
      <c r="M185" t="inlineStr"/>
      <c r="N185" t="inlineStr"/>
      <c r="O185" s="10" t="inlineStr"/>
      <c r="P185" s="10" t="inlineStr"/>
      <c r="Q185" s="10" t="inlineStr"/>
      <c r="R185" s="10" t="inlineStr"/>
      <c r="S185" t="inlineStr"/>
      <c r="T185" s="10" t="inlineStr"/>
      <c r="U185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t="inlineStr"/>
      <c r="AC185" s="10" t="inlineStr"/>
      <c r="AD185" t="inlineStr"/>
      <c r="AE185" t="inlineStr"/>
      <c r="AF185" s="10" t="inlineStr"/>
      <c r="AG185" t="inlineStr"/>
      <c r="AH185">
        <f>IF(AND(B185="",C185=""),"",IF(AND(X185&lt;&gt;"",Y185&lt;&gt;"",Z185&lt;&gt;"",AA185&lt;&gt;"",AB185="Y"),"YES","no"))</f>
        <v/>
      </c>
      <c r="AI185" s="10">
        <f>IF(AH185="YES",MAX(X185,Y185,Z185,AA185),"")</f>
        <v/>
      </c>
      <c r="AJ185">
        <f>IF(AND(B185="",C185=""),"",IF(OR(S185="Not interested",S185="Opt-out / do not contact"),"X Declined / suppressed",IF(S185="Bounced / undeliverable","X Bounced — research",IF(AC185&lt;&gt;"","13 Transacting",IF(AH185="YES","12 ACTIVATED",IF(Z185&lt;&gt;"","11 Listing live",IF(Y185&lt;&gt;"","10 Profile complete",IF(X185&lt;&gt;"","9 Approved",IF(W185&lt;&gt;"","8 KYC submitted",IF(V185&lt;&gt;"","7 Registered",IF(T185&lt;&gt;"","5 Interested",IF(R185&lt;&gt;"","4 Responded",IF(O185&lt;&gt;"","2 Contacted","1 Not yet contacted")))))))))))))</f>
        <v/>
      </c>
      <c r="AK185" s="10">
        <f>IF(AF185&lt;&gt;"",AF185,IF(OR(O185="",R185&lt;&gt;"",LEFT(AJ185,1)="X"),"",IF(Q185&lt;&gt;"","",IF(P185&lt;&gt;"",P185+SETTINGS!$B$4,O185+SETTINGS!$B$3))))</f>
        <v/>
      </c>
      <c r="AL185">
        <f>IF(AJ185="","",IF(LEFT(AJ185,1)="X","None — do not contact",IF(AJ185="1 Not yet contacted","Verify route today, then send M1",IF(AND(R185="",Q185&lt;&gt;""),"Sequence complete — no contact before "&amp;TEXT(Q185+SETTINGS!$B$5,"yyyy-mm-dd"),IF(AND(R185="",P185&lt;&gt;""),"Send final note (M4)",IF(R185="","Send follow-up (M2)",IF(AJ185="12 ACTIVATED","7-day check-in; consent &amp; referral soft ask",IF(AJ185="13 Transacting","Repeat-activity support","Onboarding: move to next stage (see playbook §6)"))))))))</f>
        <v/>
      </c>
      <c r="AM185">
        <f>IF(ISNUMBER(AK185),IF(AK185&lt;=TODAY(),"DUE",""),"")</f>
        <v/>
      </c>
      <c r="AN185">
        <f>IF(COUNT(O185,P185,Q185,R185,T185,V185,W185,X185,Y185,Z185,AA185,AC185)=0,"",TODAY()-MAX(O185,P185,Q185,R185,T185,V185,W185,X185,Y185,Z185,AA185,AC185))</f>
        <v/>
      </c>
      <c r="AO185">
        <f>IF(AJ185="","",IF(AND(T185&lt;&gt;"",U185&lt;&gt;"Active (verified)"),"GST: escalate (no tax advice)",IF(AND(IFERROR(VALUE(LEFT(AJ185,2)),0)&gt;=5,AH185&lt;&gt;"YES",ISNUMBER(AN185),AN185&gt;SETTINGS!$B$14),"STUCK in onboarding","")))</f>
        <v/>
      </c>
    </row>
    <row r="186">
      <c r="A186" t="n">
        <v>185</v>
      </c>
      <c r="B186" t="inlineStr">
        <is>
          <t>UPK2-SD-015</t>
        </is>
      </c>
      <c r="C186" t="inlineStr">
        <is>
          <t>Axiom Design Studio</t>
        </is>
      </c>
      <c r="D186" t="inlineStr">
        <is>
          <t>Space &amp; Design</t>
        </is>
      </c>
      <c r="E186" t="inlineStr">
        <is>
          <t>SD-ARCHITECTURE</t>
        </is>
      </c>
      <c r="F186" t="inlineStr">
        <is>
          <t>Delhi NCR</t>
        </is>
      </c>
      <c r="G186" t="inlineStr">
        <is>
          <t>B</t>
        </is>
      </c>
      <c r="H186" t="inlineStr">
        <is>
          <t>P1</t>
        </is>
      </c>
      <c r="I186" t="inlineStr"/>
      <c r="J186" t="inlineStr">
        <is>
          <t>Personal 1:1 email from founder/team to published business email</t>
        </is>
      </c>
      <c r="K186" t="inlineStr">
        <is>
          <t>https://www.axiomstudio.in/</t>
        </is>
      </c>
      <c r="L186" t="inlineStr">
        <is>
          <t>W2 Expansion</t>
        </is>
      </c>
      <c r="M186" t="inlineStr"/>
      <c r="N186" t="inlineStr"/>
      <c r="O186" s="10" t="inlineStr"/>
      <c r="P186" s="10" t="inlineStr"/>
      <c r="Q186" s="10" t="inlineStr"/>
      <c r="R186" s="10" t="inlineStr"/>
      <c r="S186" t="inlineStr"/>
      <c r="T186" s="10" t="inlineStr"/>
      <c r="U186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t="inlineStr"/>
      <c r="AC186" s="10" t="inlineStr"/>
      <c r="AD186" t="inlineStr"/>
      <c r="AE186" t="inlineStr"/>
      <c r="AF186" s="10" t="inlineStr"/>
      <c r="AG186" t="inlineStr"/>
      <c r="AH186">
        <f>IF(AND(B186="",C186=""),"",IF(AND(X186&lt;&gt;"",Y186&lt;&gt;"",Z186&lt;&gt;"",AA186&lt;&gt;"",AB186="Y"),"YES","no"))</f>
        <v/>
      </c>
      <c r="AI186" s="10">
        <f>IF(AH186="YES",MAX(X186,Y186,Z186,AA186),"")</f>
        <v/>
      </c>
      <c r="AJ186">
        <f>IF(AND(B186="",C186=""),"",IF(OR(S186="Not interested",S186="Opt-out / do not contact"),"X Declined / suppressed",IF(S186="Bounced / undeliverable","X Bounced — research",IF(AC186&lt;&gt;"","13 Transacting",IF(AH186="YES","12 ACTIVATED",IF(Z186&lt;&gt;"","11 Listing live",IF(Y186&lt;&gt;"","10 Profile complete",IF(X186&lt;&gt;"","9 Approved",IF(W186&lt;&gt;"","8 KYC submitted",IF(V186&lt;&gt;"","7 Registered",IF(T186&lt;&gt;"","5 Interested",IF(R186&lt;&gt;"","4 Responded",IF(O186&lt;&gt;"","2 Contacted","1 Not yet contacted")))))))))))))</f>
        <v/>
      </c>
      <c r="AK186" s="10">
        <f>IF(AF186&lt;&gt;"",AF186,IF(OR(O186="",R186&lt;&gt;"",LEFT(AJ186,1)="X"),"",IF(Q186&lt;&gt;"","",IF(P186&lt;&gt;"",P186+SETTINGS!$B$4,O186+SETTINGS!$B$3))))</f>
        <v/>
      </c>
      <c r="AL186">
        <f>IF(AJ186="","",IF(LEFT(AJ186,1)="X","None — do not contact",IF(AJ186="1 Not yet contacted","Verify route today, then send M1",IF(AND(R186="",Q186&lt;&gt;""),"Sequence complete — no contact before "&amp;TEXT(Q186+SETTINGS!$B$5,"yyyy-mm-dd"),IF(AND(R186="",P186&lt;&gt;""),"Send final note (M4)",IF(R186="","Send follow-up (M2)",IF(AJ186="12 ACTIVATED","7-day check-in; consent &amp; referral soft ask",IF(AJ186="13 Transacting","Repeat-activity support","Onboarding: move to next stage (see playbook §6)"))))))))</f>
        <v/>
      </c>
      <c r="AM186">
        <f>IF(ISNUMBER(AK186),IF(AK186&lt;=TODAY(),"DUE",""),"")</f>
        <v/>
      </c>
      <c r="AN186">
        <f>IF(COUNT(O186,P186,Q186,R186,T186,V186,W186,X186,Y186,Z186,AA186,AC186)=0,"",TODAY()-MAX(O186,P186,Q186,R186,T186,V186,W186,X186,Y186,Z186,AA186,AC186))</f>
        <v/>
      </c>
      <c r="AO186">
        <f>IF(AJ186="","",IF(AND(T186&lt;&gt;"",U186&lt;&gt;"Active (verified)"),"GST: escalate (no tax advice)",IF(AND(IFERROR(VALUE(LEFT(AJ186,2)),0)&gt;=5,AH186&lt;&gt;"YES",ISNUMBER(AN186),AN186&gt;SETTINGS!$B$14),"STUCK in onboarding","")))</f>
        <v/>
      </c>
    </row>
    <row r="187">
      <c r="A187" t="n">
        <v>186</v>
      </c>
      <c r="B187" t="inlineStr">
        <is>
          <t>UPK2-SD-017</t>
        </is>
      </c>
      <c r="C187" t="inlineStr">
        <is>
          <t>NativeSutra</t>
        </is>
      </c>
      <c r="D187" t="inlineStr">
        <is>
          <t>Space &amp; Design</t>
        </is>
      </c>
      <c r="E187" t="inlineStr">
        <is>
          <t>SD-INTERIOR</t>
        </is>
      </c>
      <c r="F187" t="inlineStr">
        <is>
          <t>Delhi NCR</t>
        </is>
      </c>
      <c r="G187" t="inlineStr">
        <is>
          <t>B</t>
        </is>
      </c>
      <c r="H187" t="inlineStr">
        <is>
          <t>P1</t>
        </is>
      </c>
      <c r="I187" t="inlineStr"/>
      <c r="J187" t="inlineStr">
        <is>
          <t>Personal 1:1 email from founder/team to published business email</t>
        </is>
      </c>
      <c r="K187" t="inlineStr">
        <is>
          <t>https://nativesutra.com/contact-us/</t>
        </is>
      </c>
      <c r="L187" t="inlineStr">
        <is>
          <t>W2 Expansion</t>
        </is>
      </c>
      <c r="M187" t="inlineStr"/>
      <c r="N187" t="inlineStr"/>
      <c r="O187" s="10" t="inlineStr"/>
      <c r="P187" s="10" t="inlineStr"/>
      <c r="Q187" s="10" t="inlineStr"/>
      <c r="R187" s="10" t="inlineStr"/>
      <c r="S187" t="inlineStr"/>
      <c r="T187" s="10" t="inlineStr"/>
      <c r="U187" t="inlineStr"/>
      <c r="V187" s="10" t="inlineStr"/>
      <c r="W187" s="10" t="inlineStr"/>
      <c r="X187" s="10" t="inlineStr"/>
      <c r="Y187" s="10" t="inlineStr"/>
      <c r="Z187" s="10" t="inlineStr"/>
      <c r="AA187" s="10" t="inlineStr"/>
      <c r="AB187" t="inlineStr"/>
      <c r="AC187" s="10" t="inlineStr"/>
      <c r="AD187" t="inlineStr"/>
      <c r="AE187" t="inlineStr"/>
      <c r="AF187" s="10" t="inlineStr"/>
      <c r="AG187" t="inlineStr"/>
      <c r="AH187">
        <f>IF(AND(B187="",C187=""),"",IF(AND(X187&lt;&gt;"",Y187&lt;&gt;"",Z187&lt;&gt;"",AA187&lt;&gt;"",AB187="Y"),"YES","no"))</f>
        <v/>
      </c>
      <c r="AI187" s="10">
        <f>IF(AH187="YES",MAX(X187,Y187,Z187,AA187),"")</f>
        <v/>
      </c>
      <c r="AJ187">
        <f>IF(AND(B187="",C187=""),"",IF(OR(S187="Not interested",S187="Opt-out / do not contact"),"X Declined / suppressed",IF(S187="Bounced / undeliverable","X Bounced — research",IF(AC187&lt;&gt;"","13 Transacting",IF(AH187="YES","12 ACTIVATED",IF(Z187&lt;&gt;"","11 Listing live",IF(Y187&lt;&gt;"","10 Profile complete",IF(X187&lt;&gt;"","9 Approved",IF(W187&lt;&gt;"","8 KYC submitted",IF(V187&lt;&gt;"","7 Registered",IF(T187&lt;&gt;"","5 Interested",IF(R187&lt;&gt;"","4 Responded",IF(O187&lt;&gt;"","2 Contacted","1 Not yet contacted")))))))))))))</f>
        <v/>
      </c>
      <c r="AK187" s="10">
        <f>IF(AF187&lt;&gt;"",AF187,IF(OR(O187="",R187&lt;&gt;"",LEFT(AJ187,1)="X"),"",IF(Q187&lt;&gt;"","",IF(P187&lt;&gt;"",P187+SETTINGS!$B$4,O187+SETTINGS!$B$3))))</f>
        <v/>
      </c>
      <c r="AL187">
        <f>IF(AJ187="","",IF(LEFT(AJ187,1)="X","None — do not contact",IF(AJ187="1 Not yet contacted","Verify route today, then send M1",IF(AND(R187="",Q187&lt;&gt;""),"Sequence complete — no contact before "&amp;TEXT(Q187+SETTINGS!$B$5,"yyyy-mm-dd"),IF(AND(R187="",P187&lt;&gt;""),"Send final note (M4)",IF(R187="","Send follow-up (M2)",IF(AJ187="12 ACTIVATED","7-day check-in; consent &amp; referral soft ask",IF(AJ187="13 Transacting","Repeat-activity support","Onboarding: move to next stage (see playbook §6)"))))))))</f>
        <v/>
      </c>
      <c r="AM187">
        <f>IF(ISNUMBER(AK187),IF(AK187&lt;=TODAY(),"DUE",""),"")</f>
        <v/>
      </c>
      <c r="AN187">
        <f>IF(COUNT(O187,P187,Q187,R187,T187,V187,W187,X187,Y187,Z187,AA187,AC187)=0,"",TODAY()-MAX(O187,P187,Q187,R187,T187,V187,W187,X187,Y187,Z187,AA187,AC187))</f>
        <v/>
      </c>
      <c r="AO187">
        <f>IF(AJ187="","",IF(AND(T187&lt;&gt;"",U187&lt;&gt;"Active (verified)"),"GST: escalate (no tax advice)",IF(AND(IFERROR(VALUE(LEFT(AJ187,2)),0)&gt;=5,AH187&lt;&gt;"YES",ISNUMBER(AN187),AN187&gt;SETTINGS!$B$14),"STUCK in onboarding","")))</f>
        <v/>
      </c>
    </row>
    <row r="188">
      <c r="A188" t="n">
        <v>187</v>
      </c>
      <c r="B188" t="inlineStr">
        <is>
          <t>UPK2-SD-036</t>
        </is>
      </c>
      <c r="C188" t="inlineStr">
        <is>
          <t>Sculpt Design Studio</t>
        </is>
      </c>
      <c r="D188" t="inlineStr">
        <is>
          <t>Space &amp; Design</t>
        </is>
      </c>
      <c r="E188" t="inlineStr">
        <is>
          <t>SD-INTERIOR</t>
        </is>
      </c>
      <c r="F188" t="inlineStr">
        <is>
          <t>Delhi NCR</t>
        </is>
      </c>
      <c r="G188" t="inlineStr">
        <is>
          <t>A</t>
        </is>
      </c>
      <c r="H188" t="inlineStr">
        <is>
          <t>P1</t>
        </is>
      </c>
      <c r="I188" t="inlineStr">
        <is>
          <t>under-discovered</t>
        </is>
      </c>
      <c r="J188" t="inlineStr">
        <is>
          <t>Personal 1:1 email from founder/team to published business email</t>
        </is>
      </c>
      <c r="K188" t="inlineStr">
        <is>
          <t>https://sculptdesignstudio.com/</t>
        </is>
      </c>
      <c r="L188" t="inlineStr">
        <is>
          <t>W2 Expansion</t>
        </is>
      </c>
      <c r="M188" t="inlineStr"/>
      <c r="N188" t="inlineStr"/>
      <c r="O188" s="10" t="inlineStr"/>
      <c r="P188" s="10" t="inlineStr"/>
      <c r="Q188" s="10" t="inlineStr"/>
      <c r="R188" s="10" t="inlineStr"/>
      <c r="S188" t="inlineStr"/>
      <c r="T188" s="10" t="inlineStr"/>
      <c r="U188" t="inlineStr"/>
      <c r="V188" s="10" t="inlineStr"/>
      <c r="W188" s="10" t="inlineStr"/>
      <c r="X188" s="10" t="inlineStr"/>
      <c r="Y188" s="10" t="inlineStr"/>
      <c r="Z188" s="10" t="inlineStr"/>
      <c r="AA188" s="10" t="inlineStr"/>
      <c r="AB188" t="inlineStr"/>
      <c r="AC188" s="10" t="inlineStr"/>
      <c r="AD188" t="inlineStr"/>
      <c r="AE188" t="inlineStr"/>
      <c r="AF188" s="10" t="inlineStr"/>
      <c r="AG188" t="inlineStr"/>
      <c r="AH188">
        <f>IF(AND(B188="",C188=""),"",IF(AND(X188&lt;&gt;"",Y188&lt;&gt;"",Z188&lt;&gt;"",AA188&lt;&gt;"",AB188="Y"),"YES","no"))</f>
        <v/>
      </c>
      <c r="AI188" s="10">
        <f>IF(AH188="YES",MAX(X188,Y188,Z188,AA188),"")</f>
        <v/>
      </c>
      <c r="AJ188">
        <f>IF(AND(B188="",C188=""),"",IF(OR(S188="Not interested",S188="Opt-out / do not contact"),"X Declined / suppressed",IF(S188="Bounced / undeliverable","X Bounced — research",IF(AC188&lt;&gt;"","13 Transacting",IF(AH188="YES","12 ACTIVATED",IF(Z188&lt;&gt;"","11 Listing live",IF(Y188&lt;&gt;"","10 Profile complete",IF(X188&lt;&gt;"","9 Approved",IF(W188&lt;&gt;"","8 KYC submitted",IF(V188&lt;&gt;"","7 Registered",IF(T188&lt;&gt;"","5 Interested",IF(R188&lt;&gt;"","4 Responded",IF(O188&lt;&gt;"","2 Contacted","1 Not yet contacted")))))))))))))</f>
        <v/>
      </c>
      <c r="AK188" s="10">
        <f>IF(AF188&lt;&gt;"",AF188,IF(OR(O188="",R188&lt;&gt;"",LEFT(AJ188,1)="X"),"",IF(Q188&lt;&gt;"","",IF(P188&lt;&gt;"",P188+SETTINGS!$B$4,O188+SETTINGS!$B$3))))</f>
        <v/>
      </c>
      <c r="AL188">
        <f>IF(AJ188="","",IF(LEFT(AJ188,1)="X","None — do not contact",IF(AJ188="1 Not yet contacted","Verify route today, then send M1",IF(AND(R188="",Q188&lt;&gt;""),"Sequence complete — no contact before "&amp;TEXT(Q188+SETTINGS!$B$5,"yyyy-mm-dd"),IF(AND(R188="",P188&lt;&gt;""),"Send final note (M4)",IF(R188="","Send follow-up (M2)",IF(AJ188="12 ACTIVATED","7-day check-in; consent &amp; referral soft ask",IF(AJ188="13 Transacting","Repeat-activity support","Onboarding: move to next stage (see playbook §6)"))))))))</f>
        <v/>
      </c>
      <c r="AM188">
        <f>IF(ISNUMBER(AK188),IF(AK188&lt;=TODAY(),"DUE",""),"")</f>
        <v/>
      </c>
      <c r="AN188">
        <f>IF(COUNT(O188,P188,Q188,R188,T188,V188,W188,X188,Y188,Z188,AA188,AC188)=0,"",TODAY()-MAX(O188,P188,Q188,R188,T188,V188,W188,X188,Y188,Z188,AA188,AC188))</f>
        <v/>
      </c>
      <c r="AO188">
        <f>IF(AJ188="","",IF(AND(T188&lt;&gt;"",U188&lt;&gt;"Active (verified)"),"GST: escalate (no tax advice)",IF(AND(IFERROR(VALUE(LEFT(AJ188,2)),0)&gt;=5,AH188&lt;&gt;"YES",ISNUMBER(AN188),AN188&gt;SETTINGS!$B$14),"STUCK in onboarding","")))</f>
        <v/>
      </c>
    </row>
    <row r="189">
      <c r="A189" t="n">
        <v>188</v>
      </c>
      <c r="B189" t="inlineStr">
        <is>
          <t>UPK2-SD-301</t>
        </is>
      </c>
      <c r="C189" t="inlineStr">
        <is>
          <t>FTS by Sharmilee</t>
        </is>
      </c>
      <c r="D189" t="inlineStr">
        <is>
          <t>Space &amp; Design</t>
        </is>
      </c>
      <c r="E189" t="inlineStr">
        <is>
          <t>SD-PRODUCT-MAKER</t>
        </is>
      </c>
      <c r="F189" t="inlineStr">
        <is>
          <t>Delhi NCR</t>
        </is>
      </c>
      <c r="G189" t="inlineStr">
        <is>
          <t>B</t>
        </is>
      </c>
      <c r="H189" t="inlineStr">
        <is>
          <t>P1</t>
        </is>
      </c>
      <c r="I189" t="inlineStr"/>
      <c r="J189" t="inlineStr">
        <is>
          <t>Personal 1:1 email from founder/team to published business email</t>
        </is>
      </c>
      <c r="K189" t="inlineStr">
        <is>
          <t>https://www.ftsbysharmilee.com/</t>
        </is>
      </c>
      <c r="L189" t="inlineStr">
        <is>
          <t>W2 Expansion</t>
        </is>
      </c>
      <c r="M189" t="inlineStr"/>
      <c r="N189" t="inlineStr"/>
      <c r="O189" s="10" t="inlineStr"/>
      <c r="P189" s="10" t="inlineStr"/>
      <c r="Q189" s="10" t="inlineStr"/>
      <c r="R189" s="10" t="inlineStr"/>
      <c r="S189" t="inlineStr"/>
      <c r="T189" s="10" t="inlineStr"/>
      <c r="U189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t="inlineStr"/>
      <c r="AC189" s="10" t="inlineStr"/>
      <c r="AD189" t="inlineStr"/>
      <c r="AE189" t="inlineStr"/>
      <c r="AF189" s="10" t="inlineStr"/>
      <c r="AG189" t="inlineStr"/>
      <c r="AH189">
        <f>IF(AND(B189="",C189=""),"",IF(AND(X189&lt;&gt;"",Y189&lt;&gt;"",Z189&lt;&gt;"",AA189&lt;&gt;"",AB189="Y"),"YES","no"))</f>
        <v/>
      </c>
      <c r="AI189" s="10">
        <f>IF(AH189="YES",MAX(X189,Y189,Z189,AA189),"")</f>
        <v/>
      </c>
      <c r="AJ189">
        <f>IF(AND(B189="",C189=""),"",IF(OR(S189="Not interested",S189="Opt-out / do not contact"),"X Declined / suppressed",IF(S189="Bounced / undeliverable","X Bounced — research",IF(AC189&lt;&gt;"","13 Transacting",IF(AH189="YES","12 ACTIVATED",IF(Z189&lt;&gt;"","11 Listing live",IF(Y189&lt;&gt;"","10 Profile complete",IF(X189&lt;&gt;"","9 Approved",IF(W189&lt;&gt;"","8 KYC submitted",IF(V189&lt;&gt;"","7 Registered",IF(T189&lt;&gt;"","5 Interested",IF(R189&lt;&gt;"","4 Responded",IF(O189&lt;&gt;"","2 Contacted","1 Not yet contacted")))))))))))))</f>
        <v/>
      </c>
      <c r="AK189" s="10">
        <f>IF(AF189&lt;&gt;"",AF189,IF(OR(O189="",R189&lt;&gt;"",LEFT(AJ189,1)="X"),"",IF(Q189&lt;&gt;"","",IF(P189&lt;&gt;"",P189+SETTINGS!$B$4,O189+SETTINGS!$B$3))))</f>
        <v/>
      </c>
      <c r="AL189">
        <f>IF(AJ189="","",IF(LEFT(AJ189,1)="X","None — do not contact",IF(AJ189="1 Not yet contacted","Verify route today, then send M1",IF(AND(R189="",Q189&lt;&gt;""),"Sequence complete — no contact before "&amp;TEXT(Q189+SETTINGS!$B$5,"yyyy-mm-dd"),IF(AND(R189="",P189&lt;&gt;""),"Send final note (M4)",IF(R189="","Send follow-up (M2)",IF(AJ189="12 ACTIVATED","7-day check-in; consent &amp; referral soft ask",IF(AJ189="13 Transacting","Repeat-activity support","Onboarding: move to next stage (see playbook §6)"))))))))</f>
        <v/>
      </c>
      <c r="AM189">
        <f>IF(ISNUMBER(AK189),IF(AK189&lt;=TODAY(),"DUE",""),"")</f>
        <v/>
      </c>
      <c r="AN189">
        <f>IF(COUNT(O189,P189,Q189,R189,T189,V189,W189,X189,Y189,Z189,AA189,AC189)=0,"",TODAY()-MAX(O189,P189,Q189,R189,T189,V189,W189,X189,Y189,Z189,AA189,AC189))</f>
        <v/>
      </c>
      <c r="AO189">
        <f>IF(AJ189="","",IF(AND(T189&lt;&gt;"",U189&lt;&gt;"Active (verified)"),"GST: escalate (no tax advice)",IF(AND(IFERROR(VALUE(LEFT(AJ189,2)),0)&gt;=5,AH189&lt;&gt;"YES",ISNUMBER(AN189),AN189&gt;SETTINGS!$B$14),"STUCK in onboarding","")))</f>
        <v/>
      </c>
    </row>
    <row r="190">
      <c r="A190" t="n">
        <v>189</v>
      </c>
      <c r="B190" t="inlineStr">
        <is>
          <t>UPK2-SD-297</t>
        </is>
      </c>
      <c r="C190" t="inlineStr">
        <is>
          <t>Saijal Goenka Gallery</t>
        </is>
      </c>
      <c r="D190" t="inlineStr">
        <is>
          <t>Space &amp; Design</t>
        </is>
      </c>
      <c r="E190" t="inlineStr">
        <is>
          <t>SD-PRODUCT-MAKER</t>
        </is>
      </c>
      <c r="F190" t="inlineStr">
        <is>
          <t>Mumbai</t>
        </is>
      </c>
      <c r="G190" t="inlineStr">
        <is>
          <t>B</t>
        </is>
      </c>
      <c r="H190" t="inlineStr">
        <is>
          <t>P1</t>
        </is>
      </c>
      <c r="I190" t="inlineStr"/>
      <c r="J190" t="inlineStr">
        <is>
          <t>Personal 1:1 email from founder/team to published business email</t>
        </is>
      </c>
      <c r="K190" t="inlineStr">
        <is>
          <t>https://saijalgoenka.com/</t>
        </is>
      </c>
      <c r="L190" t="inlineStr">
        <is>
          <t>W2 Expansion</t>
        </is>
      </c>
      <c r="M190" t="inlineStr"/>
      <c r="N190" t="inlineStr"/>
      <c r="O190" s="10" t="inlineStr"/>
      <c r="P190" s="10" t="inlineStr"/>
      <c r="Q190" s="10" t="inlineStr"/>
      <c r="R190" s="10" t="inlineStr"/>
      <c r="S190" t="inlineStr"/>
      <c r="T190" s="10" t="inlineStr"/>
      <c r="U19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t="inlineStr"/>
      <c r="AC190" s="10" t="inlineStr"/>
      <c r="AD190" t="inlineStr"/>
      <c r="AE190" t="inlineStr"/>
      <c r="AF190" s="10" t="inlineStr"/>
      <c r="AG190" t="inlineStr"/>
      <c r="AH190">
        <f>IF(AND(B190="",C190=""),"",IF(AND(X190&lt;&gt;"",Y190&lt;&gt;"",Z190&lt;&gt;"",AA190&lt;&gt;"",AB190="Y"),"YES","no"))</f>
        <v/>
      </c>
      <c r="AI190" s="10">
        <f>IF(AH190="YES",MAX(X190,Y190,Z190,AA190),"")</f>
        <v/>
      </c>
      <c r="AJ190">
        <f>IF(AND(B190="",C190=""),"",IF(OR(S190="Not interested",S190="Opt-out / do not contact"),"X Declined / suppressed",IF(S190="Bounced / undeliverable","X Bounced — research",IF(AC190&lt;&gt;"","13 Transacting",IF(AH190="YES","12 ACTIVATED",IF(Z190&lt;&gt;"","11 Listing live",IF(Y190&lt;&gt;"","10 Profile complete",IF(X190&lt;&gt;"","9 Approved",IF(W190&lt;&gt;"","8 KYC submitted",IF(V190&lt;&gt;"","7 Registered",IF(T190&lt;&gt;"","5 Interested",IF(R190&lt;&gt;"","4 Responded",IF(O190&lt;&gt;"","2 Contacted","1 Not yet contacted")))))))))))))</f>
        <v/>
      </c>
      <c r="AK190" s="10">
        <f>IF(AF190&lt;&gt;"",AF190,IF(OR(O190="",R190&lt;&gt;"",LEFT(AJ190,1)="X"),"",IF(Q190&lt;&gt;"","",IF(P190&lt;&gt;"",P190+SETTINGS!$B$4,O190+SETTINGS!$B$3))))</f>
        <v/>
      </c>
      <c r="AL190">
        <f>IF(AJ190="","",IF(LEFT(AJ190,1)="X","None — do not contact",IF(AJ190="1 Not yet contacted","Verify route today, then send M1",IF(AND(R190="",Q190&lt;&gt;""),"Sequence complete — no contact before "&amp;TEXT(Q190+SETTINGS!$B$5,"yyyy-mm-dd"),IF(AND(R190="",P190&lt;&gt;""),"Send final note (M4)",IF(R190="","Send follow-up (M2)",IF(AJ190="12 ACTIVATED","7-day check-in; consent &amp; referral soft ask",IF(AJ190="13 Transacting","Repeat-activity support","Onboarding: move to next stage (see playbook §6)"))))))))</f>
        <v/>
      </c>
      <c r="AM190">
        <f>IF(ISNUMBER(AK190),IF(AK190&lt;=TODAY(),"DUE",""),"")</f>
        <v/>
      </c>
      <c r="AN190">
        <f>IF(COUNT(O190,P190,Q190,R190,T190,V190,W190,X190,Y190,Z190,AA190,AC190)=0,"",TODAY()-MAX(O190,P190,Q190,R190,T190,V190,W190,X190,Y190,Z190,AA190,AC190))</f>
        <v/>
      </c>
      <c r="AO190">
        <f>IF(AJ190="","",IF(AND(T190&lt;&gt;"",U190&lt;&gt;"Active (verified)"),"GST: escalate (no tax advice)",IF(AND(IFERROR(VALUE(LEFT(AJ190,2)),0)&gt;=5,AH190&lt;&gt;"YES",ISNUMBER(AN190),AN190&gt;SETTINGS!$B$14),"STUCK in onboarding","")))</f>
        <v/>
      </c>
    </row>
    <row r="191">
      <c r="A191" t="n">
        <v>190</v>
      </c>
      <c r="B191" t="inlineStr">
        <is>
          <t>UPK2-SD-299</t>
        </is>
      </c>
      <c r="C191" t="inlineStr">
        <is>
          <t>Casegoods</t>
        </is>
      </c>
      <c r="D191" t="inlineStr">
        <is>
          <t>Space &amp; Design</t>
        </is>
      </c>
      <c r="E191" t="inlineStr">
        <is>
          <t>SD-PRODUCT-MAKER</t>
        </is>
      </c>
      <c r="F191" t="inlineStr">
        <is>
          <t>Mumbai</t>
        </is>
      </c>
      <c r="G191" t="inlineStr">
        <is>
          <t>B</t>
        </is>
      </c>
      <c r="H191" t="inlineStr">
        <is>
          <t>P1</t>
        </is>
      </c>
      <c r="I191" t="inlineStr"/>
      <c r="J191" t="inlineStr">
        <is>
          <t>Personal 1:1 email from founder/team to published business email</t>
        </is>
      </c>
      <c r="K191" t="inlineStr">
        <is>
          <t>https://casegoods.in/</t>
        </is>
      </c>
      <c r="L191" t="inlineStr">
        <is>
          <t>W2 Expansion</t>
        </is>
      </c>
      <c r="M191" t="inlineStr"/>
      <c r="N191" t="inlineStr"/>
      <c r="O191" s="10" t="inlineStr"/>
      <c r="P191" s="10" t="inlineStr"/>
      <c r="Q191" s="10" t="inlineStr"/>
      <c r="R191" s="10" t="inlineStr"/>
      <c r="S191" t="inlineStr"/>
      <c r="T191" s="10" t="inlineStr"/>
      <c r="U191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t="inlineStr"/>
      <c r="AC191" s="10" t="inlineStr"/>
      <c r="AD191" t="inlineStr"/>
      <c r="AE191" t="inlineStr"/>
      <c r="AF191" s="10" t="inlineStr"/>
      <c r="AG191" t="inlineStr"/>
      <c r="AH191">
        <f>IF(AND(B191="",C191=""),"",IF(AND(X191&lt;&gt;"",Y191&lt;&gt;"",Z191&lt;&gt;"",AA191&lt;&gt;"",AB191="Y"),"YES","no"))</f>
        <v/>
      </c>
      <c r="AI191" s="10">
        <f>IF(AH191="YES",MAX(X191,Y191,Z191,AA191),"")</f>
        <v/>
      </c>
      <c r="AJ191">
        <f>IF(AND(B191="",C191=""),"",IF(OR(S191="Not interested",S191="Opt-out / do not contact"),"X Declined / suppressed",IF(S191="Bounced / undeliverable","X Bounced — research",IF(AC191&lt;&gt;"","13 Transacting",IF(AH191="YES","12 ACTIVATED",IF(Z191&lt;&gt;"","11 Listing live",IF(Y191&lt;&gt;"","10 Profile complete",IF(X191&lt;&gt;"","9 Approved",IF(W191&lt;&gt;"","8 KYC submitted",IF(V191&lt;&gt;"","7 Registered",IF(T191&lt;&gt;"","5 Interested",IF(R191&lt;&gt;"","4 Responded",IF(O191&lt;&gt;"","2 Contacted","1 Not yet contacted")))))))))))))</f>
        <v/>
      </c>
      <c r="AK191" s="10">
        <f>IF(AF191&lt;&gt;"",AF191,IF(OR(O191="",R191&lt;&gt;"",LEFT(AJ191,1)="X"),"",IF(Q191&lt;&gt;"","",IF(P191&lt;&gt;"",P191+SETTINGS!$B$4,O191+SETTINGS!$B$3))))</f>
        <v/>
      </c>
      <c r="AL191">
        <f>IF(AJ191="","",IF(LEFT(AJ191,1)="X","None — do not contact",IF(AJ191="1 Not yet contacted","Verify route today, then send M1",IF(AND(R191="",Q191&lt;&gt;""),"Sequence complete — no contact before "&amp;TEXT(Q191+SETTINGS!$B$5,"yyyy-mm-dd"),IF(AND(R191="",P191&lt;&gt;""),"Send final note (M4)",IF(R191="","Send follow-up (M2)",IF(AJ191="12 ACTIVATED","7-day check-in; consent &amp; referral soft ask",IF(AJ191="13 Transacting","Repeat-activity support","Onboarding: move to next stage (see playbook §6)"))))))))</f>
        <v/>
      </c>
      <c r="AM191">
        <f>IF(ISNUMBER(AK191),IF(AK191&lt;=TODAY(),"DUE",""),"")</f>
        <v/>
      </c>
      <c r="AN191">
        <f>IF(COUNT(O191,P191,Q191,R191,T191,V191,W191,X191,Y191,Z191,AA191,AC191)=0,"",TODAY()-MAX(O191,P191,Q191,R191,T191,V191,W191,X191,Y191,Z191,AA191,AC191))</f>
        <v/>
      </c>
      <c r="AO191">
        <f>IF(AJ191="","",IF(AND(T191&lt;&gt;"",U191&lt;&gt;"Active (verified)"),"GST: escalate (no tax advice)",IF(AND(IFERROR(VALUE(LEFT(AJ191,2)),0)&gt;=5,AH191&lt;&gt;"YES",ISNUMBER(AN191),AN191&gt;SETTINGS!$B$14),"STUCK in onboarding","")))</f>
        <v/>
      </c>
    </row>
    <row r="192">
      <c r="A192" t="n">
        <v>191</v>
      </c>
      <c r="B192" t="inlineStr">
        <is>
          <t>UPK2-SD-041</t>
        </is>
      </c>
      <c r="C192" t="inlineStr">
        <is>
          <t>Studio Meraki</t>
        </is>
      </c>
      <c r="D192" t="inlineStr">
        <is>
          <t>Space &amp; Design</t>
        </is>
      </c>
      <c r="E192" t="inlineStr">
        <is>
          <t>SD-ARCHITECTURE</t>
        </is>
      </c>
      <c r="F192" t="inlineStr">
        <is>
          <t>Delhi NCR</t>
        </is>
      </c>
      <c r="G192" t="inlineStr">
        <is>
          <t>B</t>
        </is>
      </c>
      <c r="H192" t="inlineStr">
        <is>
          <t>P1</t>
        </is>
      </c>
      <c r="I192" t="inlineStr"/>
      <c r="J192" t="inlineStr">
        <is>
          <t>Personal 1:1 email from founder/team to published business email</t>
        </is>
      </c>
      <c r="K192" t="inlineStr">
        <is>
          <t>https://www.studiomeraki.co.in/</t>
        </is>
      </c>
      <c r="L192" t="inlineStr">
        <is>
          <t>W2 Expansion</t>
        </is>
      </c>
      <c r="M192" t="inlineStr"/>
      <c r="N192" t="inlineStr"/>
      <c r="O192" s="10" t="inlineStr"/>
      <c r="P192" s="10" t="inlineStr"/>
      <c r="Q192" s="10" t="inlineStr"/>
      <c r="R192" s="10" t="inlineStr"/>
      <c r="S192" t="inlineStr"/>
      <c r="T192" s="10" t="inlineStr"/>
      <c r="U192" t="inlineStr"/>
      <c r="V192" s="10" t="inlineStr"/>
      <c r="W192" s="10" t="inlineStr"/>
      <c r="X192" s="10" t="inlineStr"/>
      <c r="Y192" s="10" t="inlineStr"/>
      <c r="Z192" s="10" t="inlineStr"/>
      <c r="AA192" s="10" t="inlineStr"/>
      <c r="AB192" t="inlineStr"/>
      <c r="AC192" s="10" t="inlineStr"/>
      <c r="AD192" t="inlineStr"/>
      <c r="AE192" t="inlineStr"/>
      <c r="AF192" s="10" t="inlineStr"/>
      <c r="AG192" t="inlineStr"/>
      <c r="AH192">
        <f>IF(AND(B192="",C192=""),"",IF(AND(X192&lt;&gt;"",Y192&lt;&gt;"",Z192&lt;&gt;"",AA192&lt;&gt;"",AB192="Y"),"YES","no"))</f>
        <v/>
      </c>
      <c r="AI192" s="10">
        <f>IF(AH192="YES",MAX(X192,Y192,Z192,AA192),"")</f>
        <v/>
      </c>
      <c r="AJ192">
        <f>IF(AND(B192="",C192=""),"",IF(OR(S192="Not interested",S192="Opt-out / do not contact"),"X Declined / suppressed",IF(S192="Bounced / undeliverable","X Bounced — research",IF(AC192&lt;&gt;"","13 Transacting",IF(AH192="YES","12 ACTIVATED",IF(Z192&lt;&gt;"","11 Listing live",IF(Y192&lt;&gt;"","10 Profile complete",IF(X192&lt;&gt;"","9 Approved",IF(W192&lt;&gt;"","8 KYC submitted",IF(V192&lt;&gt;"","7 Registered",IF(T192&lt;&gt;"","5 Interested",IF(R192&lt;&gt;"","4 Responded",IF(O192&lt;&gt;"","2 Contacted","1 Not yet contacted")))))))))))))</f>
        <v/>
      </c>
      <c r="AK192" s="10">
        <f>IF(AF192&lt;&gt;"",AF192,IF(OR(O192="",R192&lt;&gt;"",LEFT(AJ192,1)="X"),"",IF(Q192&lt;&gt;"","",IF(P192&lt;&gt;"",P192+SETTINGS!$B$4,O192+SETTINGS!$B$3))))</f>
        <v/>
      </c>
      <c r="AL192">
        <f>IF(AJ192="","",IF(LEFT(AJ192,1)="X","None — do not contact",IF(AJ192="1 Not yet contacted","Verify route today, then send M1",IF(AND(R192="",Q192&lt;&gt;""),"Sequence complete — no contact before "&amp;TEXT(Q192+SETTINGS!$B$5,"yyyy-mm-dd"),IF(AND(R192="",P192&lt;&gt;""),"Send final note (M4)",IF(R192="","Send follow-up (M2)",IF(AJ192="12 ACTIVATED","7-day check-in; consent &amp; referral soft ask",IF(AJ192="13 Transacting","Repeat-activity support","Onboarding: move to next stage (see playbook §6)"))))))))</f>
        <v/>
      </c>
      <c r="AM192">
        <f>IF(ISNUMBER(AK192),IF(AK192&lt;=TODAY(),"DUE",""),"")</f>
        <v/>
      </c>
      <c r="AN192">
        <f>IF(COUNT(O192,P192,Q192,R192,T192,V192,W192,X192,Y192,Z192,AA192,AC192)=0,"",TODAY()-MAX(O192,P192,Q192,R192,T192,V192,W192,X192,Y192,Z192,AA192,AC192))</f>
        <v/>
      </c>
      <c r="AO192">
        <f>IF(AJ192="","",IF(AND(T192&lt;&gt;"",U192&lt;&gt;"Active (verified)"),"GST: escalate (no tax advice)",IF(AND(IFERROR(VALUE(LEFT(AJ192,2)),0)&gt;=5,AH192&lt;&gt;"YES",ISNUMBER(AN192),AN192&gt;SETTINGS!$B$14),"STUCK in onboarding","")))</f>
        <v/>
      </c>
    </row>
    <row r="193">
      <c r="A193" t="n">
        <v>192</v>
      </c>
      <c r="B193" t="inlineStr">
        <is>
          <t>UPK2-SD-043</t>
        </is>
      </c>
      <c r="C193" t="inlineStr">
        <is>
          <t>The Prop House</t>
        </is>
      </c>
      <c r="D193" t="inlineStr">
        <is>
          <t>Space &amp; Design</t>
        </is>
      </c>
      <c r="E193" t="inlineStr">
        <is>
          <t>SD-INTERIOR</t>
        </is>
      </c>
      <c r="F193" t="inlineStr">
        <is>
          <t>Delhi NCR</t>
        </is>
      </c>
      <c r="G193" t="inlineStr">
        <is>
          <t>A</t>
        </is>
      </c>
      <c r="H193" t="inlineStr">
        <is>
          <t>P1</t>
        </is>
      </c>
      <c r="I193" t="inlineStr">
        <is>
          <t>under-discovered</t>
        </is>
      </c>
      <c r="J193" t="inlineStr">
        <is>
          <t>Personal 1:1 email from founder/team to published business email</t>
        </is>
      </c>
      <c r="K193" t="inlineStr">
        <is>
          <t>https://www.theprophouse.in/</t>
        </is>
      </c>
      <c r="L193" t="inlineStr">
        <is>
          <t>W2 Expansion</t>
        </is>
      </c>
      <c r="M193" t="inlineStr"/>
      <c r="N193" t="inlineStr"/>
      <c r="O193" s="10" t="inlineStr"/>
      <c r="P193" s="10" t="inlineStr"/>
      <c r="Q193" s="10" t="inlineStr"/>
      <c r="R193" s="10" t="inlineStr"/>
      <c r="S193" t="inlineStr"/>
      <c r="T193" s="10" t="inlineStr"/>
      <c r="U193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t="inlineStr"/>
      <c r="AC193" s="10" t="inlineStr"/>
      <c r="AD193" t="inlineStr"/>
      <c r="AE193" t="inlineStr"/>
      <c r="AF193" s="10" t="inlineStr"/>
      <c r="AG193" t="inlineStr"/>
      <c r="AH193">
        <f>IF(AND(B193="",C193=""),"",IF(AND(X193&lt;&gt;"",Y193&lt;&gt;"",Z193&lt;&gt;"",AA193&lt;&gt;"",AB193="Y"),"YES","no"))</f>
        <v/>
      </c>
      <c r="AI193" s="10">
        <f>IF(AH193="YES",MAX(X193,Y193,Z193,AA193),"")</f>
        <v/>
      </c>
      <c r="AJ193">
        <f>IF(AND(B193="",C193=""),"",IF(OR(S193="Not interested",S193="Opt-out / do not contact"),"X Declined / suppressed",IF(S193="Bounced / undeliverable","X Bounced — research",IF(AC193&lt;&gt;"","13 Transacting",IF(AH193="YES","12 ACTIVATED",IF(Z193&lt;&gt;"","11 Listing live",IF(Y193&lt;&gt;"","10 Profile complete",IF(X193&lt;&gt;"","9 Approved",IF(W193&lt;&gt;"","8 KYC submitted",IF(V193&lt;&gt;"","7 Registered",IF(T193&lt;&gt;"","5 Interested",IF(R193&lt;&gt;"","4 Responded",IF(O193&lt;&gt;"","2 Contacted","1 Not yet contacted")))))))))))))</f>
        <v/>
      </c>
      <c r="AK193" s="10">
        <f>IF(AF193&lt;&gt;"",AF193,IF(OR(O193="",R193&lt;&gt;"",LEFT(AJ193,1)="X"),"",IF(Q193&lt;&gt;"","",IF(P193&lt;&gt;"",P193+SETTINGS!$B$4,O193+SETTINGS!$B$3))))</f>
        <v/>
      </c>
      <c r="AL193">
        <f>IF(AJ193="","",IF(LEFT(AJ193,1)="X","None — do not contact",IF(AJ193="1 Not yet contacted","Verify route today, then send M1",IF(AND(R193="",Q193&lt;&gt;""),"Sequence complete — no contact before "&amp;TEXT(Q193+SETTINGS!$B$5,"yyyy-mm-dd"),IF(AND(R193="",P193&lt;&gt;""),"Send final note (M4)",IF(R193="","Send follow-up (M2)",IF(AJ193="12 ACTIVATED","7-day check-in; consent &amp; referral soft ask",IF(AJ193="13 Transacting","Repeat-activity support","Onboarding: move to next stage (see playbook §6)"))))))))</f>
        <v/>
      </c>
      <c r="AM193">
        <f>IF(ISNUMBER(AK193),IF(AK193&lt;=TODAY(),"DUE",""),"")</f>
        <v/>
      </c>
      <c r="AN193">
        <f>IF(COUNT(O193,P193,Q193,R193,T193,V193,W193,X193,Y193,Z193,AA193,AC193)=0,"",TODAY()-MAX(O193,P193,Q193,R193,T193,V193,W193,X193,Y193,Z193,AA193,AC193))</f>
        <v/>
      </c>
      <c r="AO193">
        <f>IF(AJ193="","",IF(AND(T193&lt;&gt;"",U193&lt;&gt;"Active (verified)"),"GST: escalate (no tax advice)",IF(AND(IFERROR(VALUE(LEFT(AJ193,2)),0)&gt;=5,AH193&lt;&gt;"YES",ISNUMBER(AN193),AN193&gt;SETTINGS!$B$14),"STUCK in onboarding","")))</f>
        <v/>
      </c>
    </row>
    <row r="194">
      <c r="A194" t="n">
        <v>193</v>
      </c>
      <c r="B194" t="inlineStr">
        <is>
          <t>UPK2-SD-021</t>
        </is>
      </c>
      <c r="C194" t="inlineStr">
        <is>
          <t>Vastunidhi Architects</t>
        </is>
      </c>
      <c r="D194" t="inlineStr">
        <is>
          <t>Space &amp; Design</t>
        </is>
      </c>
      <c r="E194" t="inlineStr">
        <is>
          <t>SD-ARCHITECTURE</t>
        </is>
      </c>
      <c r="F194" t="inlineStr">
        <is>
          <t>Delhi NCR</t>
        </is>
      </c>
      <c r="G194" t="inlineStr">
        <is>
          <t>C</t>
        </is>
      </c>
      <c r="H194" t="inlineStr">
        <is>
          <t>P1</t>
        </is>
      </c>
      <c r="I194" t="inlineStr"/>
      <c r="J194" t="inlineStr">
        <is>
          <t>Personal 1:1 email from founder/team to published business email</t>
        </is>
      </c>
      <c r="K194" t="inlineStr">
        <is>
          <t>https://vastunidhi.com/</t>
        </is>
      </c>
      <c r="L194" t="inlineStr">
        <is>
          <t>W2 Expansion</t>
        </is>
      </c>
      <c r="M194" t="inlineStr"/>
      <c r="N194" t="inlineStr"/>
      <c r="O194" s="10" t="inlineStr"/>
      <c r="P194" s="10" t="inlineStr"/>
      <c r="Q194" s="10" t="inlineStr"/>
      <c r="R194" s="10" t="inlineStr"/>
      <c r="S194" t="inlineStr"/>
      <c r="T194" s="10" t="inlineStr"/>
      <c r="U194" t="inlineStr"/>
      <c r="V194" s="10" t="inlineStr"/>
      <c r="W194" s="10" t="inlineStr"/>
      <c r="X194" s="10" t="inlineStr"/>
      <c r="Y194" s="10" t="inlineStr"/>
      <c r="Z194" s="10" t="inlineStr"/>
      <c r="AA194" s="10" t="inlineStr"/>
      <c r="AB194" t="inlineStr"/>
      <c r="AC194" s="10" t="inlineStr"/>
      <c r="AD194" t="inlineStr"/>
      <c r="AE194" t="inlineStr"/>
      <c r="AF194" s="10" t="inlineStr"/>
      <c r="AG194" t="inlineStr"/>
      <c r="AH194">
        <f>IF(AND(B194="",C194=""),"",IF(AND(X194&lt;&gt;"",Y194&lt;&gt;"",Z194&lt;&gt;"",AA194&lt;&gt;"",AB194="Y"),"YES","no"))</f>
        <v/>
      </c>
      <c r="AI194" s="10">
        <f>IF(AH194="YES",MAX(X194,Y194,Z194,AA194),"")</f>
        <v/>
      </c>
      <c r="AJ194">
        <f>IF(AND(B194="",C194=""),"",IF(OR(S194="Not interested",S194="Opt-out / do not contact"),"X Declined / suppressed",IF(S194="Bounced / undeliverable","X Bounced — research",IF(AC194&lt;&gt;"","13 Transacting",IF(AH194="YES","12 ACTIVATED",IF(Z194&lt;&gt;"","11 Listing live",IF(Y194&lt;&gt;"","10 Profile complete",IF(X194&lt;&gt;"","9 Approved",IF(W194&lt;&gt;"","8 KYC submitted",IF(V194&lt;&gt;"","7 Registered",IF(T194&lt;&gt;"","5 Interested",IF(R194&lt;&gt;"","4 Responded",IF(O194&lt;&gt;"","2 Contacted","1 Not yet contacted")))))))))))))</f>
        <v/>
      </c>
      <c r="AK194" s="10">
        <f>IF(AF194&lt;&gt;"",AF194,IF(OR(O194="",R194&lt;&gt;"",LEFT(AJ194,1)="X"),"",IF(Q194&lt;&gt;"","",IF(P194&lt;&gt;"",P194+SETTINGS!$B$4,O194+SETTINGS!$B$3))))</f>
        <v/>
      </c>
      <c r="AL194">
        <f>IF(AJ194="","",IF(LEFT(AJ194,1)="X","None — do not contact",IF(AJ194="1 Not yet contacted","Verify route today, then send M1",IF(AND(R194="",Q194&lt;&gt;""),"Sequence complete — no contact before "&amp;TEXT(Q194+SETTINGS!$B$5,"yyyy-mm-dd"),IF(AND(R194="",P194&lt;&gt;""),"Send final note (M4)",IF(R194="","Send follow-up (M2)",IF(AJ194="12 ACTIVATED","7-day check-in; consent &amp; referral soft ask",IF(AJ194="13 Transacting","Repeat-activity support","Onboarding: move to next stage (see playbook §6)"))))))))</f>
        <v/>
      </c>
      <c r="AM194">
        <f>IF(ISNUMBER(AK194),IF(AK194&lt;=TODAY(),"DUE",""),"")</f>
        <v/>
      </c>
      <c r="AN194">
        <f>IF(COUNT(O194,P194,Q194,R194,T194,V194,W194,X194,Y194,Z194,AA194,AC194)=0,"",TODAY()-MAX(O194,P194,Q194,R194,T194,V194,W194,X194,Y194,Z194,AA194,AC194))</f>
        <v/>
      </c>
      <c r="AO194">
        <f>IF(AJ194="","",IF(AND(T194&lt;&gt;"",U194&lt;&gt;"Active (verified)"),"GST: escalate (no tax advice)",IF(AND(IFERROR(VALUE(LEFT(AJ194,2)),0)&gt;=5,AH194&lt;&gt;"YES",ISNUMBER(AN194),AN194&gt;SETTINGS!$B$14),"STUCK in onboarding","")))</f>
        <v/>
      </c>
    </row>
    <row r="195">
      <c r="A195" t="n">
        <v>194</v>
      </c>
      <c r="B195" t="inlineStr">
        <is>
          <t>UPK2-SD-302</t>
        </is>
      </c>
      <c r="C195" t="inlineStr">
        <is>
          <t>groupDCA</t>
        </is>
      </c>
      <c r="D195" t="inlineStr">
        <is>
          <t>Space &amp; Design</t>
        </is>
      </c>
      <c r="E195" t="inlineStr">
        <is>
          <t>SD-ARCHITECTURE</t>
        </is>
      </c>
      <c r="F195" t="inlineStr">
        <is>
          <t>Delhi NCR</t>
        </is>
      </c>
      <c r="G195" t="inlineStr">
        <is>
          <t>C</t>
        </is>
      </c>
      <c r="H195" t="inlineStr">
        <is>
          <t>P0</t>
        </is>
      </c>
      <c r="I195" t="inlineStr"/>
      <c r="J195" t="inlineStr">
        <is>
          <t>Personal 1:1 email from founder/team to published business email</t>
        </is>
      </c>
      <c r="K195" t="inlineStr">
        <is>
          <t>https://groupdca.in/contact/</t>
        </is>
      </c>
      <c r="L195" t="inlineStr">
        <is>
          <t>W2 Expansion</t>
        </is>
      </c>
      <c r="M195" t="inlineStr"/>
      <c r="N195" t="inlineStr"/>
      <c r="O195" s="10" t="inlineStr"/>
      <c r="P195" s="10" t="inlineStr"/>
      <c r="Q195" s="10" t="inlineStr"/>
      <c r="R195" s="10" t="inlineStr"/>
      <c r="S195" t="inlineStr"/>
      <c r="T195" s="10" t="inlineStr"/>
      <c r="U195" t="inlineStr"/>
      <c r="V195" s="10" t="inlineStr"/>
      <c r="W195" s="10" t="inlineStr"/>
      <c r="X195" s="10" t="inlineStr"/>
      <c r="Y195" s="10" t="inlineStr"/>
      <c r="Z195" s="10" t="inlineStr"/>
      <c r="AA195" s="10" t="inlineStr"/>
      <c r="AB195" t="inlineStr"/>
      <c r="AC195" s="10" t="inlineStr"/>
      <c r="AD195" t="inlineStr"/>
      <c r="AE195" t="inlineStr"/>
      <c r="AF195" s="10" t="inlineStr"/>
      <c r="AG195" t="inlineStr"/>
      <c r="AH195">
        <f>IF(AND(B195="",C195=""),"",IF(AND(X195&lt;&gt;"",Y195&lt;&gt;"",Z195&lt;&gt;"",AA195&lt;&gt;"",AB195="Y"),"YES","no"))</f>
        <v/>
      </c>
      <c r="AI195" s="10">
        <f>IF(AH195="YES",MAX(X195,Y195,Z195,AA195),"")</f>
        <v/>
      </c>
      <c r="AJ195">
        <f>IF(AND(B195="",C195=""),"",IF(OR(S195="Not interested",S195="Opt-out / do not contact"),"X Declined / suppressed",IF(S195="Bounced / undeliverable","X Bounced — research",IF(AC195&lt;&gt;"","13 Transacting",IF(AH195="YES","12 ACTIVATED",IF(Z195&lt;&gt;"","11 Listing live",IF(Y195&lt;&gt;"","10 Profile complete",IF(X195&lt;&gt;"","9 Approved",IF(W195&lt;&gt;"","8 KYC submitted",IF(V195&lt;&gt;"","7 Registered",IF(T195&lt;&gt;"","5 Interested",IF(R195&lt;&gt;"","4 Responded",IF(O195&lt;&gt;"","2 Contacted","1 Not yet contacted")))))))))))))</f>
        <v/>
      </c>
      <c r="AK195" s="10">
        <f>IF(AF195&lt;&gt;"",AF195,IF(OR(O195="",R195&lt;&gt;"",LEFT(AJ195,1)="X"),"",IF(Q195&lt;&gt;"","",IF(P195&lt;&gt;"",P195+SETTINGS!$B$4,O195+SETTINGS!$B$3))))</f>
        <v/>
      </c>
      <c r="AL195">
        <f>IF(AJ195="","",IF(LEFT(AJ195,1)="X","None — do not contact",IF(AJ195="1 Not yet contacted","Verify route today, then send M1",IF(AND(R195="",Q195&lt;&gt;""),"Sequence complete — no contact before "&amp;TEXT(Q195+SETTINGS!$B$5,"yyyy-mm-dd"),IF(AND(R195="",P195&lt;&gt;""),"Send final note (M4)",IF(R195="","Send follow-up (M2)",IF(AJ195="12 ACTIVATED","7-day check-in; consent &amp; referral soft ask",IF(AJ195="13 Transacting","Repeat-activity support","Onboarding: move to next stage (see playbook §6)"))))))))</f>
        <v/>
      </c>
      <c r="AM195">
        <f>IF(ISNUMBER(AK195),IF(AK195&lt;=TODAY(),"DUE",""),"")</f>
        <v/>
      </c>
      <c r="AN195">
        <f>IF(COUNT(O195,P195,Q195,R195,T195,V195,W195,X195,Y195,Z195,AA195,AC195)=0,"",TODAY()-MAX(O195,P195,Q195,R195,T195,V195,W195,X195,Y195,Z195,AA195,AC195))</f>
        <v/>
      </c>
      <c r="AO195">
        <f>IF(AJ195="","",IF(AND(T195&lt;&gt;"",U195&lt;&gt;"Active (verified)"),"GST: escalate (no tax advice)",IF(AND(IFERROR(VALUE(LEFT(AJ195,2)),0)&gt;=5,AH195&lt;&gt;"YES",ISNUMBER(AN195),AN195&gt;SETTINGS!$B$14),"STUCK in onboarding","")))</f>
        <v/>
      </c>
    </row>
    <row r="196">
      <c r="A196" t="n">
        <v>195</v>
      </c>
      <c r="B196" t="inlineStr">
        <is>
          <t>UPK2-SD-054</t>
        </is>
      </c>
      <c r="C196" t="inlineStr">
        <is>
          <t>Manmeet Ahuja Design Studio</t>
        </is>
      </c>
      <c r="D196" t="inlineStr">
        <is>
          <t>Space &amp; Design</t>
        </is>
      </c>
      <c r="E196" t="inlineStr">
        <is>
          <t>SD-ARCHITECTURE</t>
        </is>
      </c>
      <c r="F196" t="inlineStr">
        <is>
          <t>Delhi NCR</t>
        </is>
      </c>
      <c r="G196" t="inlineStr">
        <is>
          <t>C</t>
        </is>
      </c>
      <c r="H196" t="inlineStr">
        <is>
          <t>P0</t>
        </is>
      </c>
      <c r="I196" t="inlineStr"/>
      <c r="J196" t="inlineStr">
        <is>
          <t>Personal 1:1 email from founder/team to published business email</t>
        </is>
      </c>
      <c r="K196" t="inlineStr">
        <is>
          <t>https://manmeetahuja.com/</t>
        </is>
      </c>
      <c r="L196" t="inlineStr">
        <is>
          <t>W2 Expansion</t>
        </is>
      </c>
      <c r="M196" t="inlineStr"/>
      <c r="N196" t="inlineStr"/>
      <c r="O196" s="10" t="inlineStr"/>
      <c r="P196" s="10" t="inlineStr"/>
      <c r="Q196" s="10" t="inlineStr"/>
      <c r="R196" s="10" t="inlineStr"/>
      <c r="S196" t="inlineStr"/>
      <c r="T196" s="10" t="inlineStr"/>
      <c r="U196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t="inlineStr"/>
      <c r="AC196" s="10" t="inlineStr"/>
      <c r="AD196" t="inlineStr"/>
      <c r="AE196" t="inlineStr"/>
      <c r="AF196" s="10" t="inlineStr"/>
      <c r="AG196" t="inlineStr"/>
      <c r="AH196">
        <f>IF(AND(B196="",C196=""),"",IF(AND(X196&lt;&gt;"",Y196&lt;&gt;"",Z196&lt;&gt;"",AA196&lt;&gt;"",AB196="Y"),"YES","no"))</f>
        <v/>
      </c>
      <c r="AI196" s="10">
        <f>IF(AH196="YES",MAX(X196,Y196,Z196,AA196),"")</f>
        <v/>
      </c>
      <c r="AJ196">
        <f>IF(AND(B196="",C196=""),"",IF(OR(S196="Not interested",S196="Opt-out / do not contact"),"X Declined / suppressed",IF(S196="Bounced / undeliverable","X Bounced — research",IF(AC196&lt;&gt;"","13 Transacting",IF(AH196="YES","12 ACTIVATED",IF(Z196&lt;&gt;"","11 Listing live",IF(Y196&lt;&gt;"","10 Profile complete",IF(X196&lt;&gt;"","9 Approved",IF(W196&lt;&gt;"","8 KYC submitted",IF(V196&lt;&gt;"","7 Registered",IF(T196&lt;&gt;"","5 Interested",IF(R196&lt;&gt;"","4 Responded",IF(O196&lt;&gt;"","2 Contacted","1 Not yet contacted")))))))))))))</f>
        <v/>
      </c>
      <c r="AK196" s="10">
        <f>IF(AF196&lt;&gt;"",AF196,IF(OR(O196="",R196&lt;&gt;"",LEFT(AJ196,1)="X"),"",IF(Q196&lt;&gt;"","",IF(P196&lt;&gt;"",P196+SETTINGS!$B$4,O196+SETTINGS!$B$3))))</f>
        <v/>
      </c>
      <c r="AL196">
        <f>IF(AJ196="","",IF(LEFT(AJ196,1)="X","None — do not contact",IF(AJ196="1 Not yet contacted","Verify route today, then send M1",IF(AND(R196="",Q196&lt;&gt;""),"Sequence complete — no contact before "&amp;TEXT(Q196+SETTINGS!$B$5,"yyyy-mm-dd"),IF(AND(R196="",P196&lt;&gt;""),"Send final note (M4)",IF(R196="","Send follow-up (M2)",IF(AJ196="12 ACTIVATED","7-day check-in; consent &amp; referral soft ask",IF(AJ196="13 Transacting","Repeat-activity support","Onboarding: move to next stage (see playbook §6)"))))))))</f>
        <v/>
      </c>
      <c r="AM196">
        <f>IF(ISNUMBER(AK196),IF(AK196&lt;=TODAY(),"DUE",""),"")</f>
        <v/>
      </c>
      <c r="AN196">
        <f>IF(COUNT(O196,P196,Q196,R196,T196,V196,W196,X196,Y196,Z196,AA196,AC196)=0,"",TODAY()-MAX(O196,P196,Q196,R196,T196,V196,W196,X196,Y196,Z196,AA196,AC196))</f>
        <v/>
      </c>
      <c r="AO196">
        <f>IF(AJ196="","",IF(AND(T196&lt;&gt;"",U196&lt;&gt;"Active (verified)"),"GST: escalate (no tax advice)",IF(AND(IFERROR(VALUE(LEFT(AJ196,2)),0)&gt;=5,AH196&lt;&gt;"YES",ISNUMBER(AN196),AN196&gt;SETTINGS!$B$14),"STUCK in onboarding","")))</f>
        <v/>
      </c>
    </row>
    <row r="197">
      <c r="A197" t="n">
        <v>196</v>
      </c>
      <c r="B197" t="inlineStr">
        <is>
          <t>UPK2-DV-038</t>
        </is>
      </c>
      <c r="C197" t="inlineStr">
        <is>
          <t>IKSH Studio</t>
        </is>
      </c>
      <c r="D197" t="inlineStr">
        <is>
          <t>Digital &amp; Visual Arts</t>
        </is>
      </c>
      <c r="E197" t="inlineStr">
        <is>
          <t>DV-DESIGN-STUDIO</t>
        </is>
      </c>
      <c r="F197" t="inlineStr">
        <is>
          <t>Delhi NCR</t>
        </is>
      </c>
      <c r="G197" t="inlineStr">
        <is>
          <t>A</t>
        </is>
      </c>
      <c r="H197" t="inlineStr">
        <is>
          <t>P0</t>
        </is>
      </c>
      <c r="I197" t="inlineStr"/>
      <c r="J197" t="inlineStr">
        <is>
          <t>Personal 1:1 email from founder/team to published business email</t>
        </is>
      </c>
      <c r="K197" t="inlineStr">
        <is>
          <t>https://ikshstudio.in/</t>
        </is>
      </c>
      <c r="L197" t="inlineStr">
        <is>
          <t>W2 Expansion</t>
        </is>
      </c>
      <c r="M197" t="inlineStr"/>
      <c r="N197" t="inlineStr"/>
      <c r="O197" s="10" t="inlineStr"/>
      <c r="P197" s="10" t="inlineStr"/>
      <c r="Q197" s="10" t="inlineStr"/>
      <c r="R197" s="10" t="inlineStr"/>
      <c r="S197" t="inlineStr"/>
      <c r="T197" s="10" t="inlineStr"/>
      <c r="U197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t="inlineStr"/>
      <c r="AC197" s="10" t="inlineStr"/>
      <c r="AD197" t="inlineStr"/>
      <c r="AE197" t="inlineStr"/>
      <c r="AF197" s="10" t="inlineStr"/>
      <c r="AG197" t="inlineStr"/>
      <c r="AH197">
        <f>IF(AND(B197="",C197=""),"",IF(AND(X197&lt;&gt;"",Y197&lt;&gt;"",Z197&lt;&gt;"",AA197&lt;&gt;"",AB197="Y"),"YES","no"))</f>
        <v/>
      </c>
      <c r="AI197" s="10">
        <f>IF(AH197="YES",MAX(X197,Y197,Z197,AA197),"")</f>
        <v/>
      </c>
      <c r="AJ197">
        <f>IF(AND(B197="",C197=""),"",IF(OR(S197="Not interested",S197="Opt-out / do not contact"),"X Declined / suppressed",IF(S197="Bounced / undeliverable","X Bounced — research",IF(AC197&lt;&gt;"","13 Transacting",IF(AH197="YES","12 ACTIVATED",IF(Z197&lt;&gt;"","11 Listing live",IF(Y197&lt;&gt;"","10 Profile complete",IF(X197&lt;&gt;"","9 Approved",IF(W197&lt;&gt;"","8 KYC submitted",IF(V197&lt;&gt;"","7 Registered",IF(T197&lt;&gt;"","5 Interested",IF(R197&lt;&gt;"","4 Responded",IF(O197&lt;&gt;"","2 Contacted","1 Not yet contacted")))))))))))))</f>
        <v/>
      </c>
      <c r="AK197" s="10">
        <f>IF(AF197&lt;&gt;"",AF197,IF(OR(O197="",R197&lt;&gt;"",LEFT(AJ197,1)="X"),"",IF(Q197&lt;&gt;"","",IF(P197&lt;&gt;"",P197+SETTINGS!$B$4,O197+SETTINGS!$B$3))))</f>
        <v/>
      </c>
      <c r="AL197">
        <f>IF(AJ197="","",IF(LEFT(AJ197,1)="X","None — do not contact",IF(AJ197="1 Not yet contacted","Verify route today, then send M1",IF(AND(R197="",Q197&lt;&gt;""),"Sequence complete — no contact before "&amp;TEXT(Q197+SETTINGS!$B$5,"yyyy-mm-dd"),IF(AND(R197="",P197&lt;&gt;""),"Send final note (M4)",IF(R197="","Send follow-up (M2)",IF(AJ197="12 ACTIVATED","7-day check-in; consent &amp; referral soft ask",IF(AJ197="13 Transacting","Repeat-activity support","Onboarding: move to next stage (see playbook §6)"))))))))</f>
        <v/>
      </c>
      <c r="AM197">
        <f>IF(ISNUMBER(AK197),IF(AK197&lt;=TODAY(),"DUE",""),"")</f>
        <v/>
      </c>
      <c r="AN197">
        <f>IF(COUNT(O197,P197,Q197,R197,T197,V197,W197,X197,Y197,Z197,AA197,AC197)=0,"",TODAY()-MAX(O197,P197,Q197,R197,T197,V197,W197,X197,Y197,Z197,AA197,AC197))</f>
        <v/>
      </c>
      <c r="AO197">
        <f>IF(AJ197="","",IF(AND(T197&lt;&gt;"",U197&lt;&gt;"Active (verified)"),"GST: escalate (no tax advice)",IF(AND(IFERROR(VALUE(LEFT(AJ197,2)),0)&gt;=5,AH197&lt;&gt;"YES",ISNUMBER(AN197),AN197&gt;SETTINGS!$B$14),"STUCK in onboarding","")))</f>
        <v/>
      </c>
    </row>
    <row r="198">
      <c r="A198" t="n">
        <v>197</v>
      </c>
      <c r="B198" t="inlineStr">
        <is>
          <t>UPK2-DV-004</t>
        </is>
      </c>
      <c r="C198" t="inlineStr">
        <is>
          <t>CalliScript</t>
        </is>
      </c>
      <c r="D198" t="inlineStr">
        <is>
          <t>Digital &amp; Visual Arts</t>
        </is>
      </c>
      <c r="E198" t="inlineStr">
        <is>
          <t>DV-CALLIGRAPHY-STATIONERY</t>
        </is>
      </c>
      <c r="F198" t="inlineStr">
        <is>
          <t>Mumbai</t>
        </is>
      </c>
      <c r="G198" t="inlineStr">
        <is>
          <t>B</t>
        </is>
      </c>
      <c r="H198" t="inlineStr">
        <is>
          <t>P0</t>
        </is>
      </c>
      <c r="I198" t="inlineStr"/>
      <c r="J198" t="inlineStr">
        <is>
          <t>Personal 1:1 email from founder/team to published business email</t>
        </is>
      </c>
      <c r="K198" t="inlineStr">
        <is>
          <t>https://www.calliscript.com/contact</t>
        </is>
      </c>
      <c r="L198" t="inlineStr">
        <is>
          <t>W2 Expansion</t>
        </is>
      </c>
      <c r="M198" t="inlineStr"/>
      <c r="N198" t="inlineStr"/>
      <c r="O198" s="10" t="inlineStr"/>
      <c r="P198" s="10" t="inlineStr"/>
      <c r="Q198" s="10" t="inlineStr"/>
      <c r="R198" s="10" t="inlineStr"/>
      <c r="S198" t="inlineStr"/>
      <c r="T198" s="10" t="inlineStr"/>
      <c r="U198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t="inlineStr"/>
      <c r="AC198" s="10" t="inlineStr"/>
      <c r="AD198" t="inlineStr"/>
      <c r="AE198" t="inlineStr"/>
      <c r="AF198" s="10" t="inlineStr"/>
      <c r="AG198" t="inlineStr"/>
      <c r="AH198">
        <f>IF(AND(B198="",C198=""),"",IF(AND(X198&lt;&gt;"",Y198&lt;&gt;"",Z198&lt;&gt;"",AA198&lt;&gt;"",AB198="Y"),"YES","no"))</f>
        <v/>
      </c>
      <c r="AI198" s="10">
        <f>IF(AH198="YES",MAX(X198,Y198,Z198,AA198),"")</f>
        <v/>
      </c>
      <c r="AJ198">
        <f>IF(AND(B198="",C198=""),"",IF(OR(S198="Not interested",S198="Opt-out / do not contact"),"X Declined / suppressed",IF(S198="Bounced / undeliverable","X Bounced — research",IF(AC198&lt;&gt;"","13 Transacting",IF(AH198="YES","12 ACTIVATED",IF(Z198&lt;&gt;"","11 Listing live",IF(Y198&lt;&gt;"","10 Profile complete",IF(X198&lt;&gt;"","9 Approved",IF(W198&lt;&gt;"","8 KYC submitted",IF(V198&lt;&gt;"","7 Registered",IF(T198&lt;&gt;"","5 Interested",IF(R198&lt;&gt;"","4 Responded",IF(O198&lt;&gt;"","2 Contacted","1 Not yet contacted")))))))))))))</f>
        <v/>
      </c>
      <c r="AK198" s="10">
        <f>IF(AF198&lt;&gt;"",AF198,IF(OR(O198="",R198&lt;&gt;"",LEFT(AJ198,1)="X"),"",IF(Q198&lt;&gt;"","",IF(P198&lt;&gt;"",P198+SETTINGS!$B$4,O198+SETTINGS!$B$3))))</f>
        <v/>
      </c>
      <c r="AL198">
        <f>IF(AJ198="","",IF(LEFT(AJ198,1)="X","None — do not contact",IF(AJ198="1 Not yet contacted","Verify route today, then send M1",IF(AND(R198="",Q198&lt;&gt;""),"Sequence complete — no contact before "&amp;TEXT(Q198+SETTINGS!$B$5,"yyyy-mm-dd"),IF(AND(R198="",P198&lt;&gt;""),"Send final note (M4)",IF(R198="","Send follow-up (M2)",IF(AJ198="12 ACTIVATED","7-day check-in; consent &amp; referral soft ask",IF(AJ198="13 Transacting","Repeat-activity support","Onboarding: move to next stage (see playbook §6)"))))))))</f>
        <v/>
      </c>
      <c r="AM198">
        <f>IF(ISNUMBER(AK198),IF(AK198&lt;=TODAY(),"DUE",""),"")</f>
        <v/>
      </c>
      <c r="AN198">
        <f>IF(COUNT(O198,P198,Q198,R198,T198,V198,W198,X198,Y198,Z198,AA198,AC198)=0,"",TODAY()-MAX(O198,P198,Q198,R198,T198,V198,W198,X198,Y198,Z198,AA198,AC198))</f>
        <v/>
      </c>
      <c r="AO198">
        <f>IF(AJ198="","",IF(AND(T198&lt;&gt;"",U198&lt;&gt;"Active (verified)"),"GST: escalate (no tax advice)",IF(AND(IFERROR(VALUE(LEFT(AJ198,2)),0)&gt;=5,AH198&lt;&gt;"YES",ISNUMBER(AN198),AN198&gt;SETTINGS!$B$14),"STUCK in onboarding","")))</f>
        <v/>
      </c>
    </row>
    <row r="199">
      <c r="A199" t="n">
        <v>198</v>
      </c>
      <c r="B199" t="inlineStr">
        <is>
          <t>UPK2-DV-005</t>
        </is>
      </c>
      <c r="C199" t="inlineStr">
        <is>
          <t>Chandan Mahimkar Design Studio</t>
        </is>
      </c>
      <c r="D199" t="inlineStr">
        <is>
          <t>Digital &amp; Visual Arts</t>
        </is>
      </c>
      <c r="E199" t="inlineStr">
        <is>
          <t>DV-CALLIGRAPHY-STATIONERY</t>
        </is>
      </c>
      <c r="F199" t="inlineStr">
        <is>
          <t>Mumbai</t>
        </is>
      </c>
      <c r="G199" t="inlineStr">
        <is>
          <t>C</t>
        </is>
      </c>
      <c r="H199" t="inlineStr">
        <is>
          <t>P0</t>
        </is>
      </c>
      <c r="I199" t="inlineStr"/>
      <c r="J199" t="inlineStr">
        <is>
          <t>Personal 1:1 email from founder/team to published business email</t>
        </is>
      </c>
      <c r="K199" t="inlineStr">
        <is>
          <t>https://www.mahimkar.com/contact</t>
        </is>
      </c>
      <c r="L199" t="inlineStr">
        <is>
          <t>W2 Expansion</t>
        </is>
      </c>
      <c r="M199" t="inlineStr"/>
      <c r="N199" t="inlineStr"/>
      <c r="O199" s="10" t="inlineStr"/>
      <c r="P199" s="10" t="inlineStr"/>
      <c r="Q199" s="10" t="inlineStr"/>
      <c r="R199" s="10" t="inlineStr"/>
      <c r="S199" t="inlineStr"/>
      <c r="T199" s="10" t="inlineStr"/>
      <c r="U199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t="inlineStr"/>
      <c r="AC199" s="10" t="inlineStr"/>
      <c r="AD199" t="inlineStr"/>
      <c r="AE199" t="inlineStr"/>
      <c r="AF199" s="10" t="inlineStr"/>
      <c r="AG199" t="inlineStr"/>
      <c r="AH199">
        <f>IF(AND(B199="",C199=""),"",IF(AND(X199&lt;&gt;"",Y199&lt;&gt;"",Z199&lt;&gt;"",AA199&lt;&gt;"",AB199="Y"),"YES","no"))</f>
        <v/>
      </c>
      <c r="AI199" s="10">
        <f>IF(AH199="YES",MAX(X199,Y199,Z199,AA199),"")</f>
        <v/>
      </c>
      <c r="AJ199">
        <f>IF(AND(B199="",C199=""),"",IF(OR(S199="Not interested",S199="Opt-out / do not contact"),"X Declined / suppressed",IF(S199="Bounced / undeliverable","X Bounced — research",IF(AC199&lt;&gt;"","13 Transacting",IF(AH199="YES","12 ACTIVATED",IF(Z199&lt;&gt;"","11 Listing live",IF(Y199&lt;&gt;"","10 Profile complete",IF(X199&lt;&gt;"","9 Approved",IF(W199&lt;&gt;"","8 KYC submitted",IF(V199&lt;&gt;"","7 Registered",IF(T199&lt;&gt;"","5 Interested",IF(R199&lt;&gt;"","4 Responded",IF(O199&lt;&gt;"","2 Contacted","1 Not yet contacted")))))))))))))</f>
        <v/>
      </c>
      <c r="AK199" s="10">
        <f>IF(AF199&lt;&gt;"",AF199,IF(OR(O199="",R199&lt;&gt;"",LEFT(AJ199,1)="X"),"",IF(Q199&lt;&gt;"","",IF(P199&lt;&gt;"",P199+SETTINGS!$B$4,O199+SETTINGS!$B$3))))</f>
        <v/>
      </c>
      <c r="AL199">
        <f>IF(AJ199="","",IF(LEFT(AJ199,1)="X","None — do not contact",IF(AJ199="1 Not yet contacted","Verify route today, then send M1",IF(AND(R199="",Q199&lt;&gt;""),"Sequence complete — no contact before "&amp;TEXT(Q199+SETTINGS!$B$5,"yyyy-mm-dd"),IF(AND(R199="",P199&lt;&gt;""),"Send final note (M4)",IF(R199="","Send follow-up (M2)",IF(AJ199="12 ACTIVATED","7-day check-in; consent &amp; referral soft ask",IF(AJ199="13 Transacting","Repeat-activity support","Onboarding: move to next stage (see playbook §6)"))))))))</f>
        <v/>
      </c>
      <c r="AM199">
        <f>IF(ISNUMBER(AK199),IF(AK199&lt;=TODAY(),"DUE",""),"")</f>
        <v/>
      </c>
      <c r="AN199">
        <f>IF(COUNT(O199,P199,Q199,R199,T199,V199,W199,X199,Y199,Z199,AA199,AC199)=0,"",TODAY()-MAX(O199,P199,Q199,R199,T199,V199,W199,X199,Y199,Z199,AA199,AC199))</f>
        <v/>
      </c>
      <c r="AO199">
        <f>IF(AJ199="","",IF(AND(T199&lt;&gt;"",U199&lt;&gt;"Active (verified)"),"GST: escalate (no tax advice)",IF(AND(IFERROR(VALUE(LEFT(AJ199,2)),0)&gt;=5,AH199&lt;&gt;"YES",ISNUMBER(AN199),AN199&gt;SETTINGS!$B$14),"STUCK in onboarding","")))</f>
        <v/>
      </c>
    </row>
    <row r="200">
      <c r="A200" t="n">
        <v>199</v>
      </c>
      <c r="B200" t="inlineStr">
        <is>
          <t>UPK2-DV-046</t>
        </is>
      </c>
      <c r="C200" t="inlineStr">
        <is>
          <t>PaperPlanes India</t>
        </is>
      </c>
      <c r="D200" t="inlineStr">
        <is>
          <t>Digital &amp; Visual Arts</t>
        </is>
      </c>
      <c r="E200" t="inlineStr">
        <is>
          <t>DV-CALLIGRAPHY-STATIONERY</t>
        </is>
      </c>
      <c r="F200" t="inlineStr">
        <is>
          <t>Jaipur</t>
        </is>
      </c>
      <c r="G200" t="inlineStr">
        <is>
          <t>B</t>
        </is>
      </c>
      <c r="H200" t="inlineStr">
        <is>
          <t>P1</t>
        </is>
      </c>
      <c r="I200" t="inlineStr"/>
      <c r="J200" t="inlineStr">
        <is>
          <t>Personal 1:1 email from founder/team to published business email</t>
        </is>
      </c>
      <c r="K200" t="inlineStr">
        <is>
          <t>https://paperplanesindia.com/</t>
        </is>
      </c>
      <c r="L200" t="inlineStr">
        <is>
          <t>W2 Expansion</t>
        </is>
      </c>
      <c r="M200" t="inlineStr"/>
      <c r="N200" t="inlineStr"/>
      <c r="O200" s="10" t="inlineStr"/>
      <c r="P200" s="10" t="inlineStr"/>
      <c r="Q200" s="10" t="inlineStr"/>
      <c r="R200" s="10" t="inlineStr"/>
      <c r="S200" t="inlineStr"/>
      <c r="T200" s="10" t="inlineStr"/>
      <c r="U20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t="inlineStr"/>
      <c r="AC200" s="10" t="inlineStr"/>
      <c r="AD200" t="inlineStr"/>
      <c r="AE200" t="inlineStr"/>
      <c r="AF200" s="10" t="inlineStr"/>
      <c r="AG200" t="inlineStr"/>
      <c r="AH200">
        <f>IF(AND(B200="",C200=""),"",IF(AND(X200&lt;&gt;"",Y200&lt;&gt;"",Z200&lt;&gt;"",AA200&lt;&gt;"",AB200="Y"),"YES","no"))</f>
        <v/>
      </c>
      <c r="AI200" s="10">
        <f>IF(AH200="YES",MAX(X200,Y200,Z200,AA200),"")</f>
        <v/>
      </c>
      <c r="AJ200">
        <f>IF(AND(B200="",C200=""),"",IF(OR(S200="Not interested",S200="Opt-out / do not contact"),"X Declined / suppressed",IF(S200="Bounced / undeliverable","X Bounced — research",IF(AC200&lt;&gt;"","13 Transacting",IF(AH200="YES","12 ACTIVATED",IF(Z200&lt;&gt;"","11 Listing live",IF(Y200&lt;&gt;"","10 Profile complete",IF(X200&lt;&gt;"","9 Approved",IF(W200&lt;&gt;"","8 KYC submitted",IF(V200&lt;&gt;"","7 Registered",IF(T200&lt;&gt;"","5 Interested",IF(R200&lt;&gt;"","4 Responded",IF(O200&lt;&gt;"","2 Contacted","1 Not yet contacted")))))))))))))</f>
        <v/>
      </c>
      <c r="AK200" s="10">
        <f>IF(AF200&lt;&gt;"",AF200,IF(OR(O200="",R200&lt;&gt;"",LEFT(AJ200,1)="X"),"",IF(Q200&lt;&gt;"","",IF(P200&lt;&gt;"",P200+SETTINGS!$B$4,O200+SETTINGS!$B$3))))</f>
        <v/>
      </c>
      <c r="AL200">
        <f>IF(AJ200="","",IF(LEFT(AJ200,1)="X","None — do not contact",IF(AJ200="1 Not yet contacted","Verify route today, then send M1",IF(AND(R200="",Q200&lt;&gt;""),"Sequence complete — no contact before "&amp;TEXT(Q200+SETTINGS!$B$5,"yyyy-mm-dd"),IF(AND(R200="",P200&lt;&gt;""),"Send final note (M4)",IF(R200="","Send follow-up (M2)",IF(AJ200="12 ACTIVATED","7-day check-in; consent &amp; referral soft ask",IF(AJ200="13 Transacting","Repeat-activity support","Onboarding: move to next stage (see playbook §6)"))))))))</f>
        <v/>
      </c>
      <c r="AM200">
        <f>IF(ISNUMBER(AK200),IF(AK200&lt;=TODAY(),"DUE",""),"")</f>
        <v/>
      </c>
      <c r="AN200">
        <f>IF(COUNT(O200,P200,Q200,R200,T200,V200,W200,X200,Y200,Z200,AA200,AC200)=0,"",TODAY()-MAX(O200,P200,Q200,R200,T200,V200,W200,X200,Y200,Z200,AA200,AC200))</f>
        <v/>
      </c>
      <c r="AO200">
        <f>IF(AJ200="","",IF(AND(T200&lt;&gt;"",U200&lt;&gt;"Active (verified)"),"GST: escalate (no tax advice)",IF(AND(IFERROR(VALUE(LEFT(AJ200,2)),0)&gt;=5,AH200&lt;&gt;"YES",ISNUMBER(AN200),AN200&gt;SETTINGS!$B$14),"STUCK in onboarding","")))</f>
        <v/>
      </c>
    </row>
    <row r="201">
      <c r="A201" t="n">
        <v>200</v>
      </c>
      <c r="B201" t="inlineStr">
        <is>
          <t>UPK2-DV-040</t>
        </is>
      </c>
      <c r="C201" t="inlineStr">
        <is>
          <t>Ashabhi Design LLP</t>
        </is>
      </c>
      <c r="D201" t="inlineStr">
        <is>
          <t>Digital &amp; Visual Arts</t>
        </is>
      </c>
      <c r="E201" t="inlineStr">
        <is>
          <t>DV-DESIGN-STUDIO</t>
        </is>
      </c>
      <c r="F201" t="inlineStr">
        <is>
          <t>Delhi NCR</t>
        </is>
      </c>
      <c r="G201" t="inlineStr">
        <is>
          <t>B</t>
        </is>
      </c>
      <c r="H201" t="inlineStr">
        <is>
          <t>P0</t>
        </is>
      </c>
      <c r="I201" t="inlineStr"/>
      <c r="J201" t="inlineStr">
        <is>
          <t>Personal 1:1 email from founder/team to published business email</t>
        </is>
      </c>
      <c r="K201" t="inlineStr">
        <is>
          <t>https://ashabhi.com/contact-us/</t>
        </is>
      </c>
      <c r="L201" t="inlineStr">
        <is>
          <t>W2 Expansion</t>
        </is>
      </c>
      <c r="M201" t="inlineStr"/>
      <c r="N201" t="inlineStr"/>
      <c r="O201" s="10" t="inlineStr"/>
      <c r="P201" s="10" t="inlineStr"/>
      <c r="Q201" s="10" t="inlineStr"/>
      <c r="R201" s="10" t="inlineStr"/>
      <c r="S201" t="inlineStr"/>
      <c r="T201" s="10" t="inlineStr"/>
      <c r="U201" t="inlineStr"/>
      <c r="V201" s="10" t="inlineStr"/>
      <c r="W201" s="10" t="inlineStr"/>
      <c r="X201" s="10" t="inlineStr"/>
      <c r="Y201" s="10" t="inlineStr"/>
      <c r="Z201" s="10" t="inlineStr"/>
      <c r="AA201" s="10" t="inlineStr"/>
      <c r="AB201" t="inlineStr"/>
      <c r="AC201" s="10" t="inlineStr"/>
      <c r="AD201" t="inlineStr"/>
      <c r="AE201" t="inlineStr"/>
      <c r="AF201" s="10" t="inlineStr"/>
      <c r="AG201" t="inlineStr"/>
      <c r="AH201">
        <f>IF(AND(B201="",C201=""),"",IF(AND(X201&lt;&gt;"",Y201&lt;&gt;"",Z201&lt;&gt;"",AA201&lt;&gt;"",AB201="Y"),"YES","no"))</f>
        <v/>
      </c>
      <c r="AI201" s="10">
        <f>IF(AH201="YES",MAX(X201,Y201,Z201,AA201),"")</f>
        <v/>
      </c>
      <c r="AJ201">
        <f>IF(AND(B201="",C201=""),"",IF(OR(S201="Not interested",S201="Opt-out / do not contact"),"X Declined / suppressed",IF(S201="Bounced / undeliverable","X Bounced — research",IF(AC201&lt;&gt;"","13 Transacting",IF(AH201="YES","12 ACTIVATED",IF(Z201&lt;&gt;"","11 Listing live",IF(Y201&lt;&gt;"","10 Profile complete",IF(X201&lt;&gt;"","9 Approved",IF(W201&lt;&gt;"","8 KYC submitted",IF(V201&lt;&gt;"","7 Registered",IF(T201&lt;&gt;"","5 Interested",IF(R201&lt;&gt;"","4 Responded",IF(O201&lt;&gt;"","2 Contacted","1 Not yet contacted")))))))))))))</f>
        <v/>
      </c>
      <c r="AK201" s="10">
        <f>IF(AF201&lt;&gt;"",AF201,IF(OR(O201="",R201&lt;&gt;"",LEFT(AJ201,1)="X"),"",IF(Q201&lt;&gt;"","",IF(P201&lt;&gt;"",P201+SETTINGS!$B$4,O201+SETTINGS!$B$3))))</f>
        <v/>
      </c>
      <c r="AL201">
        <f>IF(AJ201="","",IF(LEFT(AJ201,1)="X","None — do not contact",IF(AJ201="1 Not yet contacted","Verify route today, then send M1",IF(AND(R201="",Q201&lt;&gt;""),"Sequence complete — no contact before "&amp;TEXT(Q201+SETTINGS!$B$5,"yyyy-mm-dd"),IF(AND(R201="",P201&lt;&gt;""),"Send final note (M4)",IF(R201="","Send follow-up (M2)",IF(AJ201="12 ACTIVATED","7-day check-in; consent &amp; referral soft ask",IF(AJ201="13 Transacting","Repeat-activity support","Onboarding: move to next stage (see playbook §6)"))))))))</f>
        <v/>
      </c>
      <c r="AM201">
        <f>IF(ISNUMBER(AK201),IF(AK201&lt;=TODAY(),"DUE",""),"")</f>
        <v/>
      </c>
      <c r="AN201">
        <f>IF(COUNT(O201,P201,Q201,R201,T201,V201,W201,X201,Y201,Z201,AA201,AC201)=0,"",TODAY()-MAX(O201,P201,Q201,R201,T201,V201,W201,X201,Y201,Z201,AA201,AC201))</f>
        <v/>
      </c>
      <c r="AO201">
        <f>IF(AJ201="","",IF(AND(T201&lt;&gt;"",U201&lt;&gt;"Active (verified)"),"GST: escalate (no tax advice)",IF(AND(IFERROR(VALUE(LEFT(AJ201,2)),0)&gt;=5,AH201&lt;&gt;"YES",ISNUMBER(AN201),AN201&gt;SETTINGS!$B$14),"STUCK in onboarding","")))</f>
        <v/>
      </c>
    </row>
    <row r="202">
      <c r="A202" t="n">
        <v>201</v>
      </c>
      <c r="B202" t="inlineStr">
        <is>
          <t>UPK2-DV-016</t>
        </is>
      </c>
      <c r="C202" t="inlineStr">
        <is>
          <t>Art By Rachna</t>
        </is>
      </c>
      <c r="D202" t="inlineStr">
        <is>
          <t>Digital &amp; Visual Arts</t>
        </is>
      </c>
      <c r="E202" t="inlineStr">
        <is>
          <t>DV-CALLIGRAPHY-STATIONERY</t>
        </is>
      </c>
      <c r="F202" t="inlineStr">
        <is>
          <t>Mumbai</t>
        </is>
      </c>
      <c r="G202" t="inlineStr">
        <is>
          <t>B</t>
        </is>
      </c>
      <c r="H202" t="inlineStr">
        <is>
          <t>P0</t>
        </is>
      </c>
      <c r="I202" t="inlineStr"/>
      <c r="J202" t="inlineStr">
        <is>
          <t>1:1 message via own-website contact form</t>
        </is>
      </c>
      <c r="K202" t="inlineStr">
        <is>
          <t>https://www.artbyrachna.com/contact</t>
        </is>
      </c>
      <c r="L202" t="inlineStr">
        <is>
          <t>W2 Expansion</t>
        </is>
      </c>
      <c r="M202" t="inlineStr"/>
      <c r="N202" t="inlineStr"/>
      <c r="O202" s="10" t="inlineStr"/>
      <c r="P202" s="10" t="inlineStr"/>
      <c r="Q202" s="10" t="inlineStr"/>
      <c r="R202" s="10" t="inlineStr"/>
      <c r="S202" t="inlineStr"/>
      <c r="T202" s="10" t="inlineStr"/>
      <c r="U202" t="inlineStr"/>
      <c r="V202" s="10" t="inlineStr"/>
      <c r="W202" s="10" t="inlineStr"/>
      <c r="X202" s="10" t="inlineStr"/>
      <c r="Y202" s="10" t="inlineStr"/>
      <c r="Z202" s="10" t="inlineStr"/>
      <c r="AA202" s="10" t="inlineStr"/>
      <c r="AB202" t="inlineStr"/>
      <c r="AC202" s="10" t="inlineStr"/>
      <c r="AD202" t="inlineStr"/>
      <c r="AE202" t="inlineStr"/>
      <c r="AF202" s="10" t="inlineStr"/>
      <c r="AG202" t="inlineStr"/>
      <c r="AH202">
        <f>IF(AND(B202="",C202=""),"",IF(AND(X202&lt;&gt;"",Y202&lt;&gt;"",Z202&lt;&gt;"",AA202&lt;&gt;"",AB202="Y"),"YES","no"))</f>
        <v/>
      </c>
      <c r="AI202" s="10">
        <f>IF(AH202="YES",MAX(X202,Y202,Z202,AA202),"")</f>
        <v/>
      </c>
      <c r="AJ202">
        <f>IF(AND(B202="",C202=""),"",IF(OR(S202="Not interested",S202="Opt-out / do not contact"),"X Declined / suppressed",IF(S202="Bounced / undeliverable","X Bounced — research",IF(AC202&lt;&gt;"","13 Transacting",IF(AH202="YES","12 ACTIVATED",IF(Z202&lt;&gt;"","11 Listing live",IF(Y202&lt;&gt;"","10 Profile complete",IF(X202&lt;&gt;"","9 Approved",IF(W202&lt;&gt;"","8 KYC submitted",IF(V202&lt;&gt;"","7 Registered",IF(T202&lt;&gt;"","5 Interested",IF(R202&lt;&gt;"","4 Responded",IF(O202&lt;&gt;"","2 Contacted","1 Not yet contacted")))))))))))))</f>
        <v/>
      </c>
      <c r="AK202" s="10">
        <f>IF(AF202&lt;&gt;"",AF202,IF(OR(O202="",R202&lt;&gt;"",LEFT(AJ202,1)="X"),"",IF(Q202&lt;&gt;"","",IF(P202&lt;&gt;"",P202+SETTINGS!$B$4,O202+SETTINGS!$B$3))))</f>
        <v/>
      </c>
      <c r="AL202">
        <f>IF(AJ202="","",IF(LEFT(AJ202,1)="X","None — do not contact",IF(AJ202="1 Not yet contacted","Verify route today, then send M1",IF(AND(R202="",Q202&lt;&gt;""),"Sequence complete — no contact before "&amp;TEXT(Q202+SETTINGS!$B$5,"yyyy-mm-dd"),IF(AND(R202="",P202&lt;&gt;""),"Send final note (M4)",IF(R202="","Send follow-up (M2)",IF(AJ202="12 ACTIVATED","7-day check-in; consent &amp; referral soft ask",IF(AJ202="13 Transacting","Repeat-activity support","Onboarding: move to next stage (see playbook §6)"))))))))</f>
        <v/>
      </c>
      <c r="AM202">
        <f>IF(ISNUMBER(AK202),IF(AK202&lt;=TODAY(),"DUE",""),"")</f>
        <v/>
      </c>
      <c r="AN202">
        <f>IF(COUNT(O202,P202,Q202,R202,T202,V202,W202,X202,Y202,Z202,AA202,AC202)=0,"",TODAY()-MAX(O202,P202,Q202,R202,T202,V202,W202,X202,Y202,Z202,AA202,AC202))</f>
        <v/>
      </c>
      <c r="AO202">
        <f>IF(AJ202="","",IF(AND(T202&lt;&gt;"",U202&lt;&gt;"Active (verified)"),"GST: escalate (no tax advice)",IF(AND(IFERROR(VALUE(LEFT(AJ202,2)),0)&gt;=5,AH202&lt;&gt;"YES",ISNUMBER(AN202),AN202&gt;SETTINGS!$B$14),"STUCK in onboarding","")))</f>
        <v/>
      </c>
    </row>
    <row r="203">
      <c r="A203" t="n">
        <v>202</v>
      </c>
      <c r="B203" t="inlineStr">
        <is>
          <t>UPK2-DV-044</t>
        </is>
      </c>
      <c r="C203" t="inlineStr">
        <is>
          <t>Fond of Designs</t>
        </is>
      </c>
      <c r="D203" t="inlineStr">
        <is>
          <t>Digital &amp; Visual Arts</t>
        </is>
      </c>
      <c r="E203" t="inlineStr">
        <is>
          <t>DV-DESIGN-STUDIO</t>
        </is>
      </c>
      <c r="F203" t="inlineStr">
        <is>
          <t>Delhi NCR</t>
        </is>
      </c>
      <c r="G203" t="inlineStr">
        <is>
          <t>A</t>
        </is>
      </c>
      <c r="H203" t="inlineStr">
        <is>
          <t>P0</t>
        </is>
      </c>
      <c r="I203" t="inlineStr"/>
      <c r="J203" t="inlineStr">
        <is>
          <t>Personal 1:1 email from founder/team to published business email</t>
        </is>
      </c>
      <c r="K203" t="inlineStr">
        <is>
          <t>https://fondofdesigns.com/</t>
        </is>
      </c>
      <c r="L203" t="inlineStr">
        <is>
          <t>W2 Expansion</t>
        </is>
      </c>
      <c r="M203" t="inlineStr"/>
      <c r="N203" t="inlineStr"/>
      <c r="O203" s="10" t="inlineStr"/>
      <c r="P203" s="10" t="inlineStr"/>
      <c r="Q203" s="10" t="inlineStr"/>
      <c r="R203" s="10" t="inlineStr"/>
      <c r="S203" t="inlineStr"/>
      <c r="T203" s="10" t="inlineStr"/>
      <c r="U203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t="inlineStr"/>
      <c r="AC203" s="10" t="inlineStr"/>
      <c r="AD203" t="inlineStr"/>
      <c r="AE203" t="inlineStr"/>
      <c r="AF203" s="10" t="inlineStr"/>
      <c r="AG203" t="inlineStr"/>
      <c r="AH203">
        <f>IF(AND(B203="",C203=""),"",IF(AND(X203&lt;&gt;"",Y203&lt;&gt;"",Z203&lt;&gt;"",AA203&lt;&gt;"",AB203="Y"),"YES","no"))</f>
        <v/>
      </c>
      <c r="AI203" s="10">
        <f>IF(AH203="YES",MAX(X203,Y203,Z203,AA203),"")</f>
        <v/>
      </c>
      <c r="AJ203">
        <f>IF(AND(B203="",C203=""),"",IF(OR(S203="Not interested",S203="Opt-out / do not contact"),"X Declined / suppressed",IF(S203="Bounced / undeliverable","X Bounced — research",IF(AC203&lt;&gt;"","13 Transacting",IF(AH203="YES","12 ACTIVATED",IF(Z203&lt;&gt;"","11 Listing live",IF(Y203&lt;&gt;"","10 Profile complete",IF(X203&lt;&gt;"","9 Approved",IF(W203&lt;&gt;"","8 KYC submitted",IF(V203&lt;&gt;"","7 Registered",IF(T203&lt;&gt;"","5 Interested",IF(R203&lt;&gt;"","4 Responded",IF(O203&lt;&gt;"","2 Contacted","1 Not yet contacted")))))))))))))</f>
        <v/>
      </c>
      <c r="AK203" s="10">
        <f>IF(AF203&lt;&gt;"",AF203,IF(OR(O203="",R203&lt;&gt;"",LEFT(AJ203,1)="X"),"",IF(Q203&lt;&gt;"","",IF(P203&lt;&gt;"",P203+SETTINGS!$B$4,O203+SETTINGS!$B$3))))</f>
        <v/>
      </c>
      <c r="AL203">
        <f>IF(AJ203="","",IF(LEFT(AJ203,1)="X","None — do not contact",IF(AJ203="1 Not yet contacted","Verify route today, then send M1",IF(AND(R203="",Q203&lt;&gt;""),"Sequence complete — no contact before "&amp;TEXT(Q203+SETTINGS!$B$5,"yyyy-mm-dd"),IF(AND(R203="",P203&lt;&gt;""),"Send final note (M4)",IF(R203="","Send follow-up (M2)",IF(AJ203="12 ACTIVATED","7-day check-in; consent &amp; referral soft ask",IF(AJ203="13 Transacting","Repeat-activity support","Onboarding: move to next stage (see playbook §6)"))))))))</f>
        <v/>
      </c>
      <c r="AM203">
        <f>IF(ISNUMBER(AK203),IF(AK203&lt;=TODAY(),"DUE",""),"")</f>
        <v/>
      </c>
      <c r="AN203">
        <f>IF(COUNT(O203,P203,Q203,R203,T203,V203,W203,X203,Y203,Z203,AA203,AC203)=0,"",TODAY()-MAX(O203,P203,Q203,R203,T203,V203,W203,X203,Y203,Z203,AA203,AC203))</f>
        <v/>
      </c>
      <c r="AO203">
        <f>IF(AJ203="","",IF(AND(T203&lt;&gt;"",U203&lt;&gt;"Active (verified)"),"GST: escalate (no tax advice)",IF(AND(IFERROR(VALUE(LEFT(AJ203,2)),0)&gt;=5,AH203&lt;&gt;"YES",ISNUMBER(AN203),AN203&gt;SETTINGS!$B$14),"STUCK in onboarding","")))</f>
        <v/>
      </c>
    </row>
    <row r="204">
      <c r="A204" t="n">
        <v>203</v>
      </c>
      <c r="B204" t="inlineStr">
        <is>
          <t>UPK2-DV-050</t>
        </is>
      </c>
      <c r="C204" t="inlineStr">
        <is>
          <t>Dead End Right</t>
        </is>
      </c>
      <c r="D204" t="inlineStr">
        <is>
          <t>Digital &amp; Visual Arts</t>
        </is>
      </c>
      <c r="E204" t="inlineStr">
        <is>
          <t>DV-ARTIST-ILLUSTRATOR</t>
        </is>
      </c>
      <c r="F204" t="inlineStr">
        <is>
          <t>Bengaluru</t>
        </is>
      </c>
      <c r="G204" t="inlineStr">
        <is>
          <t>B</t>
        </is>
      </c>
      <c r="H204" t="inlineStr">
        <is>
          <t>P0</t>
        </is>
      </c>
      <c r="I204" t="inlineStr"/>
      <c r="J204" t="inlineStr">
        <is>
          <t>Personal 1:1 email from founder/team to published business email</t>
        </is>
      </c>
      <c r="K204" t="inlineStr">
        <is>
          <t>https://www.deadendright.com/</t>
        </is>
      </c>
      <c r="L204" t="inlineStr">
        <is>
          <t>W2 Expansion</t>
        </is>
      </c>
      <c r="M204" t="inlineStr"/>
      <c r="N204" t="inlineStr"/>
      <c r="O204" s="10" t="inlineStr"/>
      <c r="P204" s="10" t="inlineStr"/>
      <c r="Q204" s="10" t="inlineStr"/>
      <c r="R204" s="10" t="inlineStr"/>
      <c r="S204" t="inlineStr"/>
      <c r="T204" s="10" t="inlineStr"/>
      <c r="U204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t="inlineStr"/>
      <c r="AC204" s="10" t="inlineStr"/>
      <c r="AD204" t="inlineStr"/>
      <c r="AE204" t="inlineStr"/>
      <c r="AF204" s="10" t="inlineStr"/>
      <c r="AG204" t="inlineStr"/>
      <c r="AH204">
        <f>IF(AND(B204="",C204=""),"",IF(AND(X204&lt;&gt;"",Y204&lt;&gt;"",Z204&lt;&gt;"",AA204&lt;&gt;"",AB204="Y"),"YES","no"))</f>
        <v/>
      </c>
      <c r="AI204" s="10">
        <f>IF(AH204="YES",MAX(X204,Y204,Z204,AA204),"")</f>
        <v/>
      </c>
      <c r="AJ204">
        <f>IF(AND(B204="",C204=""),"",IF(OR(S204="Not interested",S204="Opt-out / do not contact"),"X Declined / suppressed",IF(S204="Bounced / undeliverable","X Bounced — research",IF(AC204&lt;&gt;"","13 Transacting",IF(AH204="YES","12 ACTIVATED",IF(Z204&lt;&gt;"","11 Listing live",IF(Y204&lt;&gt;"","10 Profile complete",IF(X204&lt;&gt;"","9 Approved",IF(W204&lt;&gt;"","8 KYC submitted",IF(V204&lt;&gt;"","7 Registered",IF(T204&lt;&gt;"","5 Interested",IF(R204&lt;&gt;"","4 Responded",IF(O204&lt;&gt;"","2 Contacted","1 Not yet contacted")))))))))))))</f>
        <v/>
      </c>
      <c r="AK204" s="10">
        <f>IF(AF204&lt;&gt;"",AF204,IF(OR(O204="",R204&lt;&gt;"",LEFT(AJ204,1)="X"),"",IF(Q204&lt;&gt;"","",IF(P204&lt;&gt;"",P204+SETTINGS!$B$4,O204+SETTINGS!$B$3))))</f>
        <v/>
      </c>
      <c r="AL204">
        <f>IF(AJ204="","",IF(LEFT(AJ204,1)="X","None — do not contact",IF(AJ204="1 Not yet contacted","Verify route today, then send M1",IF(AND(R204="",Q204&lt;&gt;""),"Sequence complete — no contact before "&amp;TEXT(Q204+SETTINGS!$B$5,"yyyy-mm-dd"),IF(AND(R204="",P204&lt;&gt;""),"Send final note (M4)",IF(R204="","Send follow-up (M2)",IF(AJ204="12 ACTIVATED","7-day check-in; consent &amp; referral soft ask",IF(AJ204="13 Transacting","Repeat-activity support","Onboarding: move to next stage (see playbook §6)"))))))))</f>
        <v/>
      </c>
      <c r="AM204">
        <f>IF(ISNUMBER(AK204),IF(AK204&lt;=TODAY(),"DUE",""),"")</f>
        <v/>
      </c>
      <c r="AN204">
        <f>IF(COUNT(O204,P204,Q204,R204,T204,V204,W204,X204,Y204,Z204,AA204,AC204)=0,"",TODAY()-MAX(O204,P204,Q204,R204,T204,V204,W204,X204,Y204,Z204,AA204,AC204))</f>
        <v/>
      </c>
      <c r="AO204">
        <f>IF(AJ204="","",IF(AND(T204&lt;&gt;"",U204&lt;&gt;"Active (verified)"),"GST: escalate (no tax advice)",IF(AND(IFERROR(VALUE(LEFT(AJ204,2)),0)&gt;=5,AH204&lt;&gt;"YES",ISNUMBER(AN204),AN204&gt;SETTINGS!$B$14),"STUCK in onboarding","")))</f>
        <v/>
      </c>
    </row>
    <row r="205">
      <c r="A205" t="n">
        <v>204</v>
      </c>
      <c r="B205" t="inlineStr">
        <is>
          <t>UPK2-DV-045</t>
        </is>
      </c>
      <c r="C205" t="inlineStr">
        <is>
          <t>Mellow Designs</t>
        </is>
      </c>
      <c r="D205" t="inlineStr">
        <is>
          <t>Digital &amp; Visual Arts</t>
        </is>
      </c>
      <c r="E205" t="inlineStr">
        <is>
          <t>DV-DESIGN-STUDIO</t>
        </is>
      </c>
      <c r="F205" t="inlineStr">
        <is>
          <t>Bengaluru</t>
        </is>
      </c>
      <c r="G205" t="inlineStr">
        <is>
          <t>B</t>
        </is>
      </c>
      <c r="H205" t="inlineStr">
        <is>
          <t>P0</t>
        </is>
      </c>
      <c r="I205" t="inlineStr"/>
      <c r="J205" t="inlineStr">
        <is>
          <t>Personal 1:1 email from founder/team to published business email</t>
        </is>
      </c>
      <c r="K205" t="inlineStr">
        <is>
          <t>https://www.mellowdesigns.co/</t>
        </is>
      </c>
      <c r="L205" t="inlineStr">
        <is>
          <t>W2 Expansion</t>
        </is>
      </c>
      <c r="M205" t="inlineStr"/>
      <c r="N205" t="inlineStr"/>
      <c r="O205" s="10" t="inlineStr"/>
      <c r="P205" s="10" t="inlineStr"/>
      <c r="Q205" s="10" t="inlineStr"/>
      <c r="R205" s="10" t="inlineStr"/>
      <c r="S205" t="inlineStr"/>
      <c r="T205" s="10" t="inlineStr"/>
      <c r="U205" t="inlineStr"/>
      <c r="V205" s="10" t="inlineStr"/>
      <c r="W205" s="10" t="inlineStr"/>
      <c r="X205" s="10" t="inlineStr"/>
      <c r="Y205" s="10" t="inlineStr"/>
      <c r="Z205" s="10" t="inlineStr"/>
      <c r="AA205" s="10" t="inlineStr"/>
      <c r="AB205" t="inlineStr"/>
      <c r="AC205" s="10" t="inlineStr"/>
      <c r="AD205" t="inlineStr"/>
      <c r="AE205" t="inlineStr"/>
      <c r="AF205" s="10" t="inlineStr"/>
      <c r="AG205" t="inlineStr"/>
      <c r="AH205">
        <f>IF(AND(B205="",C205=""),"",IF(AND(X205&lt;&gt;"",Y205&lt;&gt;"",Z205&lt;&gt;"",AA205&lt;&gt;"",AB205="Y"),"YES","no"))</f>
        <v/>
      </c>
      <c r="AI205" s="10">
        <f>IF(AH205="YES",MAX(X205,Y205,Z205,AA205),"")</f>
        <v/>
      </c>
      <c r="AJ205">
        <f>IF(AND(B205="",C205=""),"",IF(OR(S205="Not interested",S205="Opt-out / do not contact"),"X Declined / suppressed",IF(S205="Bounced / undeliverable","X Bounced — research",IF(AC205&lt;&gt;"","13 Transacting",IF(AH205="YES","12 ACTIVATED",IF(Z205&lt;&gt;"","11 Listing live",IF(Y205&lt;&gt;"","10 Profile complete",IF(X205&lt;&gt;"","9 Approved",IF(W205&lt;&gt;"","8 KYC submitted",IF(V205&lt;&gt;"","7 Registered",IF(T205&lt;&gt;"","5 Interested",IF(R205&lt;&gt;"","4 Responded",IF(O205&lt;&gt;"","2 Contacted","1 Not yet contacted")))))))))))))</f>
        <v/>
      </c>
      <c r="AK205" s="10">
        <f>IF(AF205&lt;&gt;"",AF205,IF(OR(O205="",R205&lt;&gt;"",LEFT(AJ205,1)="X"),"",IF(Q205&lt;&gt;"","",IF(P205&lt;&gt;"",P205+SETTINGS!$B$4,O205+SETTINGS!$B$3))))</f>
        <v/>
      </c>
      <c r="AL205">
        <f>IF(AJ205="","",IF(LEFT(AJ205,1)="X","None — do not contact",IF(AJ205="1 Not yet contacted","Verify route today, then send M1",IF(AND(R205="",Q205&lt;&gt;""),"Sequence complete — no contact before "&amp;TEXT(Q205+SETTINGS!$B$5,"yyyy-mm-dd"),IF(AND(R205="",P205&lt;&gt;""),"Send final note (M4)",IF(R205="","Send follow-up (M2)",IF(AJ205="12 ACTIVATED","7-day check-in; consent &amp; referral soft ask",IF(AJ205="13 Transacting","Repeat-activity support","Onboarding: move to next stage (see playbook §6)"))))))))</f>
        <v/>
      </c>
      <c r="AM205">
        <f>IF(ISNUMBER(AK205),IF(AK205&lt;=TODAY(),"DUE",""),"")</f>
        <v/>
      </c>
      <c r="AN205">
        <f>IF(COUNT(O205,P205,Q205,R205,T205,V205,W205,X205,Y205,Z205,AA205,AC205)=0,"",TODAY()-MAX(O205,P205,Q205,R205,T205,V205,W205,X205,Y205,Z205,AA205,AC205))</f>
        <v/>
      </c>
      <c r="AO205">
        <f>IF(AJ205="","",IF(AND(T205&lt;&gt;"",U205&lt;&gt;"Active (verified)"),"GST: escalate (no tax advice)",IF(AND(IFERROR(VALUE(LEFT(AJ205,2)),0)&gt;=5,AH205&lt;&gt;"YES",ISNUMBER(AN205),AN205&gt;SETTINGS!$B$14),"STUCK in onboarding","")))</f>
        <v/>
      </c>
    </row>
    <row r="206">
      <c r="A206" t="n">
        <v>205</v>
      </c>
      <c r="B206" t="inlineStr">
        <is>
          <t>UPK2-DV-051</t>
        </is>
      </c>
      <c r="C206" t="inlineStr">
        <is>
          <t>From&amp;To</t>
        </is>
      </c>
      <c r="D206" t="inlineStr">
        <is>
          <t>Digital &amp; Visual Arts</t>
        </is>
      </c>
      <c r="E206" t="inlineStr">
        <is>
          <t>DV-DESIGN-STUDIO</t>
        </is>
      </c>
      <c r="F206" t="inlineStr">
        <is>
          <t>Mumbai</t>
        </is>
      </c>
      <c r="G206" t="inlineStr">
        <is>
          <t>A</t>
        </is>
      </c>
      <c r="H206" t="inlineStr">
        <is>
          <t>P0</t>
        </is>
      </c>
      <c r="I206" t="inlineStr"/>
      <c r="J206" t="inlineStr">
        <is>
          <t>Personal 1:1 email from founder/team to published business email</t>
        </is>
      </c>
      <c r="K206" t="inlineStr">
        <is>
          <t>https://www.fromandto.design/</t>
        </is>
      </c>
      <c r="L206" t="inlineStr">
        <is>
          <t>W2 Expansion</t>
        </is>
      </c>
      <c r="M206" t="inlineStr"/>
      <c r="N206" t="inlineStr"/>
      <c r="O206" s="10" t="inlineStr"/>
      <c r="P206" s="10" t="inlineStr"/>
      <c r="Q206" s="10" t="inlineStr"/>
      <c r="R206" s="10" t="inlineStr"/>
      <c r="S206" t="inlineStr"/>
      <c r="T206" s="10" t="inlineStr"/>
      <c r="U206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t="inlineStr"/>
      <c r="AC206" s="10" t="inlineStr"/>
      <c r="AD206" t="inlineStr"/>
      <c r="AE206" t="inlineStr"/>
      <c r="AF206" s="10" t="inlineStr"/>
      <c r="AG206" t="inlineStr"/>
      <c r="AH206">
        <f>IF(AND(B206="",C206=""),"",IF(AND(X206&lt;&gt;"",Y206&lt;&gt;"",Z206&lt;&gt;"",AA206&lt;&gt;"",AB206="Y"),"YES","no"))</f>
        <v/>
      </c>
      <c r="AI206" s="10">
        <f>IF(AH206="YES",MAX(X206,Y206,Z206,AA206),"")</f>
        <v/>
      </c>
      <c r="AJ206">
        <f>IF(AND(B206="",C206=""),"",IF(OR(S206="Not interested",S206="Opt-out / do not contact"),"X Declined / suppressed",IF(S206="Bounced / undeliverable","X Bounced — research",IF(AC206&lt;&gt;"","13 Transacting",IF(AH206="YES","12 ACTIVATED",IF(Z206&lt;&gt;"","11 Listing live",IF(Y206&lt;&gt;"","10 Profile complete",IF(X206&lt;&gt;"","9 Approved",IF(W206&lt;&gt;"","8 KYC submitted",IF(V206&lt;&gt;"","7 Registered",IF(T206&lt;&gt;"","5 Interested",IF(R206&lt;&gt;"","4 Responded",IF(O206&lt;&gt;"","2 Contacted","1 Not yet contacted")))))))))))))</f>
        <v/>
      </c>
      <c r="AK206" s="10">
        <f>IF(AF206&lt;&gt;"",AF206,IF(OR(O206="",R206&lt;&gt;"",LEFT(AJ206,1)="X"),"",IF(Q206&lt;&gt;"","",IF(P206&lt;&gt;"",P206+SETTINGS!$B$4,O206+SETTINGS!$B$3))))</f>
        <v/>
      </c>
      <c r="AL206">
        <f>IF(AJ206="","",IF(LEFT(AJ206,1)="X","None — do not contact",IF(AJ206="1 Not yet contacted","Verify route today, then send M1",IF(AND(R206="",Q206&lt;&gt;""),"Sequence complete — no contact before "&amp;TEXT(Q206+SETTINGS!$B$5,"yyyy-mm-dd"),IF(AND(R206="",P206&lt;&gt;""),"Send final note (M4)",IF(R206="","Send follow-up (M2)",IF(AJ206="12 ACTIVATED","7-day check-in; consent &amp; referral soft ask",IF(AJ206="13 Transacting","Repeat-activity support","Onboarding: move to next stage (see playbook §6)"))))))))</f>
        <v/>
      </c>
      <c r="AM206">
        <f>IF(ISNUMBER(AK206),IF(AK206&lt;=TODAY(),"DUE",""),"")</f>
        <v/>
      </c>
      <c r="AN206">
        <f>IF(COUNT(O206,P206,Q206,R206,T206,V206,W206,X206,Y206,Z206,AA206,AC206)=0,"",TODAY()-MAX(O206,P206,Q206,R206,T206,V206,W206,X206,Y206,Z206,AA206,AC206))</f>
        <v/>
      </c>
      <c r="AO206">
        <f>IF(AJ206="","",IF(AND(T206&lt;&gt;"",U206&lt;&gt;"Active (verified)"),"GST: escalate (no tax advice)",IF(AND(IFERROR(VALUE(LEFT(AJ206,2)),0)&gt;=5,AH206&lt;&gt;"YES",ISNUMBER(AN206),AN206&gt;SETTINGS!$B$14),"STUCK in onboarding","")))</f>
        <v/>
      </c>
    </row>
    <row r="207">
      <c r="A207" t="n">
        <v>206</v>
      </c>
      <c r="B207" t="inlineStr">
        <is>
          <t>UPK2-DV-066</t>
        </is>
      </c>
      <c r="C207" t="inlineStr">
        <is>
          <t>Mirabilia Design Studio</t>
        </is>
      </c>
      <c r="D207" t="inlineStr">
        <is>
          <t>Digital &amp; Visual Arts</t>
        </is>
      </c>
      <c r="E207" t="inlineStr">
        <is>
          <t>DV-CALLIGRAPHY-STATIONERY</t>
        </is>
      </c>
      <c r="F207" t="inlineStr">
        <is>
          <t>Mumbai</t>
        </is>
      </c>
      <c r="G207" t="inlineStr">
        <is>
          <t>A</t>
        </is>
      </c>
      <c r="H207" t="inlineStr">
        <is>
          <t>P1</t>
        </is>
      </c>
      <c r="I207" t="inlineStr"/>
      <c r="J207" t="inlineStr">
        <is>
          <t>1:1 message via own-website contact form</t>
        </is>
      </c>
      <c r="K207" t="inlineStr">
        <is>
          <t>https://www.mirabiliadesignstudio.com/</t>
        </is>
      </c>
      <c r="L207" t="inlineStr">
        <is>
          <t>W2 Expansion</t>
        </is>
      </c>
      <c r="M207" t="inlineStr"/>
      <c r="N207" t="inlineStr"/>
      <c r="O207" s="10" t="inlineStr"/>
      <c r="P207" s="10" t="inlineStr"/>
      <c r="Q207" s="10" t="inlineStr"/>
      <c r="R207" s="10" t="inlineStr"/>
      <c r="S207" t="inlineStr"/>
      <c r="T207" s="10" t="inlineStr"/>
      <c r="U207" t="inlineStr"/>
      <c r="V207" s="10" t="inlineStr"/>
      <c r="W207" s="10" t="inlineStr"/>
      <c r="X207" s="10" t="inlineStr"/>
      <c r="Y207" s="10" t="inlineStr"/>
      <c r="Z207" s="10" t="inlineStr"/>
      <c r="AA207" s="10" t="inlineStr"/>
      <c r="AB207" t="inlineStr"/>
      <c r="AC207" s="10" t="inlineStr"/>
      <c r="AD207" t="inlineStr"/>
      <c r="AE207" t="inlineStr"/>
      <c r="AF207" s="10" t="inlineStr"/>
      <c r="AG207" t="inlineStr"/>
      <c r="AH207">
        <f>IF(AND(B207="",C207=""),"",IF(AND(X207&lt;&gt;"",Y207&lt;&gt;"",Z207&lt;&gt;"",AA207&lt;&gt;"",AB207="Y"),"YES","no"))</f>
        <v/>
      </c>
      <c r="AI207" s="10">
        <f>IF(AH207="YES",MAX(X207,Y207,Z207,AA207),"")</f>
        <v/>
      </c>
      <c r="AJ207">
        <f>IF(AND(B207="",C207=""),"",IF(OR(S207="Not interested",S207="Opt-out / do not contact"),"X Declined / suppressed",IF(S207="Bounced / undeliverable","X Bounced — research",IF(AC207&lt;&gt;"","13 Transacting",IF(AH207="YES","12 ACTIVATED",IF(Z207&lt;&gt;"","11 Listing live",IF(Y207&lt;&gt;"","10 Profile complete",IF(X207&lt;&gt;"","9 Approved",IF(W207&lt;&gt;"","8 KYC submitted",IF(V207&lt;&gt;"","7 Registered",IF(T207&lt;&gt;"","5 Interested",IF(R207&lt;&gt;"","4 Responded",IF(O207&lt;&gt;"","2 Contacted","1 Not yet contacted")))))))))))))</f>
        <v/>
      </c>
      <c r="AK207" s="10">
        <f>IF(AF207&lt;&gt;"",AF207,IF(OR(O207="",R207&lt;&gt;"",LEFT(AJ207,1)="X"),"",IF(Q207&lt;&gt;"","",IF(P207&lt;&gt;"",P207+SETTINGS!$B$4,O207+SETTINGS!$B$3))))</f>
        <v/>
      </c>
      <c r="AL207">
        <f>IF(AJ207="","",IF(LEFT(AJ207,1)="X","None — do not contact",IF(AJ207="1 Not yet contacted","Verify route today, then send M1",IF(AND(R207="",Q207&lt;&gt;""),"Sequence complete — no contact before "&amp;TEXT(Q207+SETTINGS!$B$5,"yyyy-mm-dd"),IF(AND(R207="",P207&lt;&gt;""),"Send final note (M4)",IF(R207="","Send follow-up (M2)",IF(AJ207="12 ACTIVATED","7-day check-in; consent &amp; referral soft ask",IF(AJ207="13 Transacting","Repeat-activity support","Onboarding: move to next stage (see playbook §6)"))))))))</f>
        <v/>
      </c>
      <c r="AM207">
        <f>IF(ISNUMBER(AK207),IF(AK207&lt;=TODAY(),"DUE",""),"")</f>
        <v/>
      </c>
      <c r="AN207">
        <f>IF(COUNT(O207,P207,Q207,R207,T207,V207,W207,X207,Y207,Z207,AA207,AC207)=0,"",TODAY()-MAX(O207,P207,Q207,R207,T207,V207,W207,X207,Y207,Z207,AA207,AC207))</f>
        <v/>
      </c>
      <c r="AO207">
        <f>IF(AJ207="","",IF(AND(T207&lt;&gt;"",U207&lt;&gt;"Active (verified)"),"GST: escalate (no tax advice)",IF(AND(IFERROR(VALUE(LEFT(AJ207,2)),0)&gt;=5,AH207&lt;&gt;"YES",ISNUMBER(AN207),AN207&gt;SETTINGS!$B$14),"STUCK in onboarding","")))</f>
        <v/>
      </c>
    </row>
    <row r="208">
      <c r="A208" t="n">
        <v>207</v>
      </c>
      <c r="B208" t="inlineStr">
        <is>
          <t>UPK2-DV-043</t>
        </is>
      </c>
      <c r="C208" t="inlineStr">
        <is>
          <t>Kamachi Studio</t>
        </is>
      </c>
      <c r="D208" t="inlineStr">
        <is>
          <t>Digital &amp; Visual Arts</t>
        </is>
      </c>
      <c r="E208" t="inlineStr">
        <is>
          <t>DV-ARTIST-ILLUSTRATOR</t>
        </is>
      </c>
      <c r="F208" t="inlineStr">
        <is>
          <t>Mumbai</t>
        </is>
      </c>
      <c r="G208" t="inlineStr">
        <is>
          <t>A</t>
        </is>
      </c>
      <c r="H208" t="inlineStr">
        <is>
          <t>P0</t>
        </is>
      </c>
      <c r="I208" t="inlineStr"/>
      <c r="J208" t="inlineStr">
        <is>
          <t>Personal 1:1 email from founder/team to published business email</t>
        </is>
      </c>
      <c r="K208" t="inlineStr">
        <is>
          <t>https://www.kamachistudio.com/</t>
        </is>
      </c>
      <c r="L208" t="inlineStr">
        <is>
          <t>W2 Expansion</t>
        </is>
      </c>
      <c r="M208" t="inlineStr"/>
      <c r="N208" t="inlineStr"/>
      <c r="O208" s="10" t="inlineStr"/>
      <c r="P208" s="10" t="inlineStr"/>
      <c r="Q208" s="10" t="inlineStr"/>
      <c r="R208" s="10" t="inlineStr"/>
      <c r="S208" t="inlineStr"/>
      <c r="T208" s="10" t="inlineStr"/>
      <c r="U208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t="inlineStr"/>
      <c r="AC208" s="10" t="inlineStr"/>
      <c r="AD208" t="inlineStr"/>
      <c r="AE208" t="inlineStr"/>
      <c r="AF208" s="10" t="inlineStr"/>
      <c r="AG208" t="inlineStr"/>
      <c r="AH208">
        <f>IF(AND(B208="",C208=""),"",IF(AND(X208&lt;&gt;"",Y208&lt;&gt;"",Z208&lt;&gt;"",AA208&lt;&gt;"",AB208="Y"),"YES","no"))</f>
        <v/>
      </c>
      <c r="AI208" s="10">
        <f>IF(AH208="YES",MAX(X208,Y208,Z208,AA208),"")</f>
        <v/>
      </c>
      <c r="AJ208">
        <f>IF(AND(B208="",C208=""),"",IF(OR(S208="Not interested",S208="Opt-out / do not contact"),"X Declined / suppressed",IF(S208="Bounced / undeliverable","X Bounced — research",IF(AC208&lt;&gt;"","13 Transacting",IF(AH208="YES","12 ACTIVATED",IF(Z208&lt;&gt;"","11 Listing live",IF(Y208&lt;&gt;"","10 Profile complete",IF(X208&lt;&gt;"","9 Approved",IF(W208&lt;&gt;"","8 KYC submitted",IF(V208&lt;&gt;"","7 Registered",IF(T208&lt;&gt;"","5 Interested",IF(R208&lt;&gt;"","4 Responded",IF(O208&lt;&gt;"","2 Contacted","1 Not yet contacted")))))))))))))</f>
        <v/>
      </c>
      <c r="AK208" s="10">
        <f>IF(AF208&lt;&gt;"",AF208,IF(OR(O208="",R208&lt;&gt;"",LEFT(AJ208,1)="X"),"",IF(Q208&lt;&gt;"","",IF(P208&lt;&gt;"",P208+SETTINGS!$B$4,O208+SETTINGS!$B$3))))</f>
        <v/>
      </c>
      <c r="AL208">
        <f>IF(AJ208="","",IF(LEFT(AJ208,1)="X","None — do not contact",IF(AJ208="1 Not yet contacted","Verify route today, then send M1",IF(AND(R208="",Q208&lt;&gt;""),"Sequence complete — no contact before "&amp;TEXT(Q208+SETTINGS!$B$5,"yyyy-mm-dd"),IF(AND(R208="",P208&lt;&gt;""),"Send final note (M4)",IF(R208="","Send follow-up (M2)",IF(AJ208="12 ACTIVATED","7-day check-in; consent &amp; referral soft ask",IF(AJ208="13 Transacting","Repeat-activity support","Onboarding: move to next stage (see playbook §6)"))))))))</f>
        <v/>
      </c>
      <c r="AM208">
        <f>IF(ISNUMBER(AK208),IF(AK208&lt;=TODAY(),"DUE",""),"")</f>
        <v/>
      </c>
      <c r="AN208">
        <f>IF(COUNT(O208,P208,Q208,R208,T208,V208,W208,X208,Y208,Z208,AA208,AC208)=0,"",TODAY()-MAX(O208,P208,Q208,R208,T208,V208,W208,X208,Y208,Z208,AA208,AC208))</f>
        <v/>
      </c>
      <c r="AO208">
        <f>IF(AJ208="","",IF(AND(T208&lt;&gt;"",U208&lt;&gt;"Active (verified)"),"GST: escalate (no tax advice)",IF(AND(IFERROR(VALUE(LEFT(AJ208,2)),0)&gt;=5,AH208&lt;&gt;"YES",ISNUMBER(AN208),AN208&gt;SETTINGS!$B$14),"STUCK in onboarding","")))</f>
        <v/>
      </c>
    </row>
    <row r="209">
      <c r="A209" t="n">
        <v>208</v>
      </c>
      <c r="B209" t="inlineStr">
        <is>
          <t>UPK2-DV-052</t>
        </is>
      </c>
      <c r="C209" t="inlineStr">
        <is>
          <t>LogoSayLove</t>
        </is>
      </c>
      <c r="D209" t="inlineStr">
        <is>
          <t>Digital &amp; Visual Arts</t>
        </is>
      </c>
      <c r="E209" t="inlineStr">
        <is>
          <t>DV-DESIGN-STUDIO</t>
        </is>
      </c>
      <c r="F209" t="inlineStr">
        <is>
          <t>Delhi NCR</t>
        </is>
      </c>
      <c r="G209" t="inlineStr">
        <is>
          <t>B</t>
        </is>
      </c>
      <c r="H209" t="inlineStr">
        <is>
          <t>P0</t>
        </is>
      </c>
      <c r="I209" t="inlineStr"/>
      <c r="J209" t="inlineStr">
        <is>
          <t>1:1 message via own-website contact form</t>
        </is>
      </c>
      <c r="K209" t="inlineStr">
        <is>
          <t>https://logosaylove.com/</t>
        </is>
      </c>
      <c r="L209" t="inlineStr">
        <is>
          <t>W2 Expansion</t>
        </is>
      </c>
      <c r="M209" t="inlineStr"/>
      <c r="N209" t="inlineStr"/>
      <c r="O209" s="10" t="inlineStr"/>
      <c r="P209" s="10" t="inlineStr"/>
      <c r="Q209" s="10" t="inlineStr"/>
      <c r="R209" s="10" t="inlineStr"/>
      <c r="S209" t="inlineStr"/>
      <c r="T209" s="10" t="inlineStr"/>
      <c r="U209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t="inlineStr"/>
      <c r="AC209" s="10" t="inlineStr"/>
      <c r="AD209" t="inlineStr"/>
      <c r="AE209" t="inlineStr"/>
      <c r="AF209" s="10" t="inlineStr"/>
      <c r="AG209" t="inlineStr"/>
      <c r="AH209">
        <f>IF(AND(B209="",C209=""),"",IF(AND(X209&lt;&gt;"",Y209&lt;&gt;"",Z209&lt;&gt;"",AA209&lt;&gt;"",AB209="Y"),"YES","no"))</f>
        <v/>
      </c>
      <c r="AI209" s="10">
        <f>IF(AH209="YES",MAX(X209,Y209,Z209,AA209),"")</f>
        <v/>
      </c>
      <c r="AJ209">
        <f>IF(AND(B209="",C209=""),"",IF(OR(S209="Not interested",S209="Opt-out / do not contact"),"X Declined / suppressed",IF(S209="Bounced / undeliverable","X Bounced — research",IF(AC209&lt;&gt;"","13 Transacting",IF(AH209="YES","12 ACTIVATED",IF(Z209&lt;&gt;"","11 Listing live",IF(Y209&lt;&gt;"","10 Profile complete",IF(X209&lt;&gt;"","9 Approved",IF(W209&lt;&gt;"","8 KYC submitted",IF(V209&lt;&gt;"","7 Registered",IF(T209&lt;&gt;"","5 Interested",IF(R209&lt;&gt;"","4 Responded",IF(O209&lt;&gt;"","2 Contacted","1 Not yet contacted")))))))))))))</f>
        <v/>
      </c>
      <c r="AK209" s="10">
        <f>IF(AF209&lt;&gt;"",AF209,IF(OR(O209="",R209&lt;&gt;"",LEFT(AJ209,1)="X"),"",IF(Q209&lt;&gt;"","",IF(P209&lt;&gt;"",P209+SETTINGS!$B$4,O209+SETTINGS!$B$3))))</f>
        <v/>
      </c>
      <c r="AL209">
        <f>IF(AJ209="","",IF(LEFT(AJ209,1)="X","None — do not contact",IF(AJ209="1 Not yet contacted","Verify route today, then send M1",IF(AND(R209="",Q209&lt;&gt;""),"Sequence complete — no contact before "&amp;TEXT(Q209+SETTINGS!$B$5,"yyyy-mm-dd"),IF(AND(R209="",P209&lt;&gt;""),"Send final note (M4)",IF(R209="","Send follow-up (M2)",IF(AJ209="12 ACTIVATED","7-day check-in; consent &amp; referral soft ask",IF(AJ209="13 Transacting","Repeat-activity support","Onboarding: move to next stage (see playbook §6)"))))))))</f>
        <v/>
      </c>
      <c r="AM209">
        <f>IF(ISNUMBER(AK209),IF(AK209&lt;=TODAY(),"DUE",""),"")</f>
        <v/>
      </c>
      <c r="AN209">
        <f>IF(COUNT(O209,P209,Q209,R209,T209,V209,W209,X209,Y209,Z209,AA209,AC209)=0,"",TODAY()-MAX(O209,P209,Q209,R209,T209,V209,W209,X209,Y209,Z209,AA209,AC209))</f>
        <v/>
      </c>
      <c r="AO209">
        <f>IF(AJ209="","",IF(AND(T209&lt;&gt;"",U209&lt;&gt;"Active (verified)"),"GST: escalate (no tax advice)",IF(AND(IFERROR(VALUE(LEFT(AJ209,2)),0)&gt;=5,AH209&lt;&gt;"YES",ISNUMBER(AN209),AN209&gt;SETTINGS!$B$14),"STUCK in onboarding","")))</f>
        <v/>
      </c>
    </row>
    <row r="210">
      <c r="A210" t="n">
        <v>209</v>
      </c>
      <c r="B210" t="inlineStr">
        <is>
          <t>UPK2-DV-059</t>
        </is>
      </c>
      <c r="C210" t="inlineStr">
        <is>
          <t>Paper &amp; Pixel</t>
        </is>
      </c>
      <c r="D210" t="inlineStr">
        <is>
          <t>Digital &amp; Visual Arts</t>
        </is>
      </c>
      <c r="E210" t="inlineStr">
        <is>
          <t>DV-CALLIGRAPHY-STATIONERY</t>
        </is>
      </c>
      <c r="F210" t="inlineStr">
        <is>
          <t>Bengaluru</t>
        </is>
      </c>
      <c r="G210" t="inlineStr">
        <is>
          <t>A</t>
        </is>
      </c>
      <c r="H210" t="inlineStr">
        <is>
          <t>P0</t>
        </is>
      </c>
      <c r="I210" t="inlineStr"/>
      <c r="J210" t="inlineStr">
        <is>
          <t>Personal 1:1 email from founder/team to published business email</t>
        </is>
      </c>
      <c r="K210" t="inlineStr">
        <is>
          <t>https://paperandpixel.in/pages/contact</t>
        </is>
      </c>
      <c r="L210" t="inlineStr">
        <is>
          <t>W2 Expansion</t>
        </is>
      </c>
      <c r="M210" t="inlineStr"/>
      <c r="N210" t="inlineStr"/>
      <c r="O210" s="10" t="inlineStr"/>
      <c r="P210" s="10" t="inlineStr"/>
      <c r="Q210" s="10" t="inlineStr"/>
      <c r="R210" s="10" t="inlineStr"/>
      <c r="S210" t="inlineStr"/>
      <c r="T210" s="10" t="inlineStr"/>
      <c r="U2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t="inlineStr"/>
      <c r="AC210" s="10" t="inlineStr"/>
      <c r="AD210" t="inlineStr"/>
      <c r="AE210" t="inlineStr"/>
      <c r="AF210" s="10" t="inlineStr"/>
      <c r="AG210" t="inlineStr"/>
      <c r="AH210">
        <f>IF(AND(B210="",C210=""),"",IF(AND(X210&lt;&gt;"",Y210&lt;&gt;"",Z210&lt;&gt;"",AA210&lt;&gt;"",AB210="Y"),"YES","no"))</f>
        <v/>
      </c>
      <c r="AI210" s="10">
        <f>IF(AH210="YES",MAX(X210,Y210,Z210,AA210),"")</f>
        <v/>
      </c>
      <c r="AJ210">
        <f>IF(AND(B210="",C210=""),"",IF(OR(S210="Not interested",S210="Opt-out / do not contact"),"X Declined / suppressed",IF(S210="Bounced / undeliverable","X Bounced — research",IF(AC210&lt;&gt;"","13 Transacting",IF(AH210="YES","12 ACTIVATED",IF(Z210&lt;&gt;"","11 Listing live",IF(Y210&lt;&gt;"","10 Profile complete",IF(X210&lt;&gt;"","9 Approved",IF(W210&lt;&gt;"","8 KYC submitted",IF(V210&lt;&gt;"","7 Registered",IF(T210&lt;&gt;"","5 Interested",IF(R210&lt;&gt;"","4 Responded",IF(O210&lt;&gt;"","2 Contacted","1 Not yet contacted")))))))))))))</f>
        <v/>
      </c>
      <c r="AK210" s="10">
        <f>IF(AF210&lt;&gt;"",AF210,IF(OR(O210="",R210&lt;&gt;"",LEFT(AJ210,1)="X"),"",IF(Q210&lt;&gt;"","",IF(P210&lt;&gt;"",P210+SETTINGS!$B$4,O210+SETTINGS!$B$3))))</f>
        <v/>
      </c>
      <c r="AL210">
        <f>IF(AJ210="","",IF(LEFT(AJ210,1)="X","None — do not contact",IF(AJ210="1 Not yet contacted","Verify route today, then send M1",IF(AND(R210="",Q210&lt;&gt;""),"Sequence complete — no contact before "&amp;TEXT(Q210+SETTINGS!$B$5,"yyyy-mm-dd"),IF(AND(R210="",P210&lt;&gt;""),"Send final note (M4)",IF(R210="","Send follow-up (M2)",IF(AJ210="12 ACTIVATED","7-day check-in; consent &amp; referral soft ask",IF(AJ210="13 Transacting","Repeat-activity support","Onboarding: move to next stage (see playbook §6)"))))))))</f>
        <v/>
      </c>
      <c r="AM210">
        <f>IF(ISNUMBER(AK210),IF(AK210&lt;=TODAY(),"DUE",""),"")</f>
        <v/>
      </c>
      <c r="AN210">
        <f>IF(COUNT(O210,P210,Q210,R210,T210,V210,W210,X210,Y210,Z210,AA210,AC210)=0,"",TODAY()-MAX(O210,P210,Q210,R210,T210,V210,W210,X210,Y210,Z210,AA210,AC210))</f>
        <v/>
      </c>
      <c r="AO210">
        <f>IF(AJ210="","",IF(AND(T210&lt;&gt;"",U210&lt;&gt;"Active (verified)"),"GST: escalate (no tax advice)",IF(AND(IFERROR(VALUE(LEFT(AJ210,2)),0)&gt;=5,AH210&lt;&gt;"YES",ISNUMBER(AN210),AN210&gt;SETTINGS!$B$14),"STUCK in onboarding","")))</f>
        <v/>
      </c>
    </row>
    <row r="211">
      <c r="A211" t="n">
        <v>210</v>
      </c>
      <c r="B211" t="inlineStr">
        <is>
          <t>UPK2-DV-049</t>
        </is>
      </c>
      <c r="C211" t="inlineStr">
        <is>
          <t>Ideoholics</t>
        </is>
      </c>
      <c r="D211" t="inlineStr">
        <is>
          <t>Digital &amp; Visual Arts</t>
        </is>
      </c>
      <c r="E211" t="inlineStr">
        <is>
          <t>DV-DESIGN-STUDIO</t>
        </is>
      </c>
      <c r="F211" t="inlineStr">
        <is>
          <t>Delhi NCR</t>
        </is>
      </c>
      <c r="G211" t="inlineStr">
        <is>
          <t>B</t>
        </is>
      </c>
      <c r="H211" t="inlineStr">
        <is>
          <t>P0</t>
        </is>
      </c>
      <c r="I211" t="inlineStr"/>
      <c r="J211" t="inlineStr">
        <is>
          <t>Personal 1:1 email from founder/team to published business email</t>
        </is>
      </c>
      <c r="K211" t="inlineStr">
        <is>
          <t>https://www.ideoholics.com/contact.html</t>
        </is>
      </c>
      <c r="L211" t="inlineStr">
        <is>
          <t>W2 Expansion</t>
        </is>
      </c>
      <c r="M211" t="inlineStr"/>
      <c r="N211" t="inlineStr"/>
      <c r="O211" s="10" t="inlineStr"/>
      <c r="P211" s="10" t="inlineStr"/>
      <c r="Q211" s="10" t="inlineStr"/>
      <c r="R211" s="10" t="inlineStr"/>
      <c r="S211" t="inlineStr"/>
      <c r="T211" s="10" t="inlineStr"/>
      <c r="U211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t="inlineStr"/>
      <c r="AC211" s="10" t="inlineStr"/>
      <c r="AD211" t="inlineStr"/>
      <c r="AE211" t="inlineStr"/>
      <c r="AF211" s="10" t="inlineStr"/>
      <c r="AG211" t="inlineStr"/>
      <c r="AH211">
        <f>IF(AND(B211="",C211=""),"",IF(AND(X211&lt;&gt;"",Y211&lt;&gt;"",Z211&lt;&gt;"",AA211&lt;&gt;"",AB211="Y"),"YES","no"))</f>
        <v/>
      </c>
      <c r="AI211" s="10">
        <f>IF(AH211="YES",MAX(X211,Y211,Z211,AA211),"")</f>
        <v/>
      </c>
      <c r="AJ211">
        <f>IF(AND(B211="",C211=""),"",IF(OR(S211="Not interested",S211="Opt-out / do not contact"),"X Declined / suppressed",IF(S211="Bounced / undeliverable","X Bounced — research",IF(AC211&lt;&gt;"","13 Transacting",IF(AH211="YES","12 ACTIVATED",IF(Z211&lt;&gt;"","11 Listing live",IF(Y211&lt;&gt;"","10 Profile complete",IF(X211&lt;&gt;"","9 Approved",IF(W211&lt;&gt;"","8 KYC submitted",IF(V211&lt;&gt;"","7 Registered",IF(T211&lt;&gt;"","5 Interested",IF(R211&lt;&gt;"","4 Responded",IF(O211&lt;&gt;"","2 Contacted","1 Not yet contacted")))))))))))))</f>
        <v/>
      </c>
      <c r="AK211" s="10">
        <f>IF(AF211&lt;&gt;"",AF211,IF(OR(O211="",R211&lt;&gt;"",LEFT(AJ211,1)="X"),"",IF(Q211&lt;&gt;"","",IF(P211&lt;&gt;"",P211+SETTINGS!$B$4,O211+SETTINGS!$B$3))))</f>
        <v/>
      </c>
      <c r="AL211">
        <f>IF(AJ211="","",IF(LEFT(AJ211,1)="X","None — do not contact",IF(AJ211="1 Not yet contacted","Verify route today, then send M1",IF(AND(R211="",Q211&lt;&gt;""),"Sequence complete — no contact before "&amp;TEXT(Q211+SETTINGS!$B$5,"yyyy-mm-dd"),IF(AND(R211="",P211&lt;&gt;""),"Send final note (M4)",IF(R211="","Send follow-up (M2)",IF(AJ211="12 ACTIVATED","7-day check-in; consent &amp; referral soft ask",IF(AJ211="13 Transacting","Repeat-activity support","Onboarding: move to next stage (see playbook §6)"))))))))</f>
        <v/>
      </c>
      <c r="AM211">
        <f>IF(ISNUMBER(AK211),IF(AK211&lt;=TODAY(),"DUE",""),"")</f>
        <v/>
      </c>
      <c r="AN211">
        <f>IF(COUNT(O211,P211,Q211,R211,T211,V211,W211,X211,Y211,Z211,AA211,AC211)=0,"",TODAY()-MAX(O211,P211,Q211,R211,T211,V211,W211,X211,Y211,Z211,AA211,AC211))</f>
        <v/>
      </c>
      <c r="AO211">
        <f>IF(AJ211="","",IF(AND(T211&lt;&gt;"",U211&lt;&gt;"Active (verified)"),"GST: escalate (no tax advice)",IF(AND(IFERROR(VALUE(LEFT(AJ211,2)),0)&gt;=5,AH211&lt;&gt;"YES",ISNUMBER(AN211),AN211&gt;SETTINGS!$B$14),"STUCK in onboarding","")))</f>
        <v/>
      </c>
    </row>
    <row r="212">
      <c r="A212" t="n">
        <v>211</v>
      </c>
      <c r="B212" t="inlineStr">
        <is>
          <t>UPK2-DV-048</t>
        </is>
      </c>
      <c r="C212" t="inlineStr">
        <is>
          <t>DN Designs</t>
        </is>
      </c>
      <c r="D212" t="inlineStr">
        <is>
          <t>Digital &amp; Visual Arts</t>
        </is>
      </c>
      <c r="E212" t="inlineStr">
        <is>
          <t>DV-DESIGN-STUDIO</t>
        </is>
      </c>
      <c r="F212" t="inlineStr">
        <is>
          <t>Delhi NCR</t>
        </is>
      </c>
      <c r="G212" t="inlineStr">
        <is>
          <t>B</t>
        </is>
      </c>
      <c r="H212" t="inlineStr">
        <is>
          <t>P0</t>
        </is>
      </c>
      <c r="I212" t="inlineStr"/>
      <c r="J212" t="inlineStr">
        <is>
          <t>Personal 1:1 email from founder/team to published business email</t>
        </is>
      </c>
      <c r="K212" t="inlineStr">
        <is>
          <t>https://dndesigns.co.in/</t>
        </is>
      </c>
      <c r="L212" t="inlineStr">
        <is>
          <t>W2 Expansion</t>
        </is>
      </c>
      <c r="M212" t="inlineStr"/>
      <c r="N212" t="inlineStr"/>
      <c r="O212" s="10" t="inlineStr"/>
      <c r="P212" s="10" t="inlineStr"/>
      <c r="Q212" s="10" t="inlineStr"/>
      <c r="R212" s="10" t="inlineStr"/>
      <c r="S212" t="inlineStr"/>
      <c r="T212" s="10" t="inlineStr"/>
      <c r="U212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t="inlineStr"/>
      <c r="AC212" s="10" t="inlineStr"/>
      <c r="AD212" t="inlineStr"/>
      <c r="AE212" t="inlineStr"/>
      <c r="AF212" s="10" t="inlineStr"/>
      <c r="AG212" t="inlineStr"/>
      <c r="AH212">
        <f>IF(AND(B212="",C212=""),"",IF(AND(X212&lt;&gt;"",Y212&lt;&gt;"",Z212&lt;&gt;"",AA212&lt;&gt;"",AB212="Y"),"YES","no"))</f>
        <v/>
      </c>
      <c r="AI212" s="10">
        <f>IF(AH212="YES",MAX(X212,Y212,Z212,AA212),"")</f>
        <v/>
      </c>
      <c r="AJ212">
        <f>IF(AND(B212="",C212=""),"",IF(OR(S212="Not interested",S212="Opt-out / do not contact"),"X Declined / suppressed",IF(S212="Bounced / undeliverable","X Bounced — research",IF(AC212&lt;&gt;"","13 Transacting",IF(AH212="YES","12 ACTIVATED",IF(Z212&lt;&gt;"","11 Listing live",IF(Y212&lt;&gt;"","10 Profile complete",IF(X212&lt;&gt;"","9 Approved",IF(W212&lt;&gt;"","8 KYC submitted",IF(V212&lt;&gt;"","7 Registered",IF(T212&lt;&gt;"","5 Interested",IF(R212&lt;&gt;"","4 Responded",IF(O212&lt;&gt;"","2 Contacted","1 Not yet contacted")))))))))))))</f>
        <v/>
      </c>
      <c r="AK212" s="10">
        <f>IF(AF212&lt;&gt;"",AF212,IF(OR(O212="",R212&lt;&gt;"",LEFT(AJ212,1)="X"),"",IF(Q212&lt;&gt;"","",IF(P212&lt;&gt;"",P212+SETTINGS!$B$4,O212+SETTINGS!$B$3))))</f>
        <v/>
      </c>
      <c r="AL212">
        <f>IF(AJ212="","",IF(LEFT(AJ212,1)="X","None — do not contact",IF(AJ212="1 Not yet contacted","Verify route today, then send M1",IF(AND(R212="",Q212&lt;&gt;""),"Sequence complete — no contact before "&amp;TEXT(Q212+SETTINGS!$B$5,"yyyy-mm-dd"),IF(AND(R212="",P212&lt;&gt;""),"Send final note (M4)",IF(R212="","Send follow-up (M2)",IF(AJ212="12 ACTIVATED","7-day check-in; consent &amp; referral soft ask",IF(AJ212="13 Transacting","Repeat-activity support","Onboarding: move to next stage (see playbook §6)"))))))))</f>
        <v/>
      </c>
      <c r="AM212">
        <f>IF(ISNUMBER(AK212),IF(AK212&lt;=TODAY(),"DUE",""),"")</f>
        <v/>
      </c>
      <c r="AN212">
        <f>IF(COUNT(O212,P212,Q212,R212,T212,V212,W212,X212,Y212,Z212,AA212,AC212)=0,"",TODAY()-MAX(O212,P212,Q212,R212,T212,V212,W212,X212,Y212,Z212,AA212,AC212))</f>
        <v/>
      </c>
      <c r="AO212">
        <f>IF(AJ212="","",IF(AND(T212&lt;&gt;"",U212&lt;&gt;"Active (verified)"),"GST: escalate (no tax advice)",IF(AND(IFERROR(VALUE(LEFT(AJ212,2)),0)&gt;=5,AH212&lt;&gt;"YES",ISNUMBER(AN212),AN212&gt;SETTINGS!$B$14),"STUCK in onboarding","")))</f>
        <v/>
      </c>
    </row>
    <row r="213">
      <c r="A213" t="n">
        <v>212</v>
      </c>
      <c r="B213" t="inlineStr">
        <is>
          <t>UPK2-DV-042</t>
        </is>
      </c>
      <c r="C213" t="inlineStr">
        <is>
          <t>The Maréa Studio</t>
        </is>
      </c>
      <c r="D213" t="inlineStr">
        <is>
          <t>Digital &amp; Visual Arts</t>
        </is>
      </c>
      <c r="E213" t="inlineStr">
        <is>
          <t>DV-DESIGN-STUDIO</t>
        </is>
      </c>
      <c r="F213" t="inlineStr">
        <is>
          <t>Mumbai</t>
        </is>
      </c>
      <c r="G213" t="inlineStr">
        <is>
          <t>A</t>
        </is>
      </c>
      <c r="H213" t="inlineStr">
        <is>
          <t>P1</t>
        </is>
      </c>
      <c r="I213" t="inlineStr"/>
      <c r="J213" t="inlineStr">
        <is>
          <t>Personal 1:1 email from founder/team to published business email</t>
        </is>
      </c>
      <c r="K213" t="inlineStr">
        <is>
          <t>https://www.themareastudio.com/</t>
        </is>
      </c>
      <c r="L213" t="inlineStr">
        <is>
          <t>W2 Expansion</t>
        </is>
      </c>
      <c r="M213" t="inlineStr"/>
      <c r="N213" t="inlineStr"/>
      <c r="O213" s="10" t="inlineStr"/>
      <c r="P213" s="10" t="inlineStr"/>
      <c r="Q213" s="10" t="inlineStr"/>
      <c r="R213" s="10" t="inlineStr"/>
      <c r="S213" t="inlineStr"/>
      <c r="T213" s="10" t="inlineStr"/>
      <c r="U213" t="inlineStr"/>
      <c r="V213" s="10" t="inlineStr"/>
      <c r="W213" s="10" t="inlineStr"/>
      <c r="X213" s="10" t="inlineStr"/>
      <c r="Y213" s="10" t="inlineStr"/>
      <c r="Z213" s="10" t="inlineStr"/>
      <c r="AA213" s="10" t="inlineStr"/>
      <c r="AB213" t="inlineStr"/>
      <c r="AC213" s="10" t="inlineStr"/>
      <c r="AD213" t="inlineStr"/>
      <c r="AE213" t="inlineStr"/>
      <c r="AF213" s="10" t="inlineStr"/>
      <c r="AG213" t="inlineStr"/>
      <c r="AH213">
        <f>IF(AND(B213="",C213=""),"",IF(AND(X213&lt;&gt;"",Y213&lt;&gt;"",Z213&lt;&gt;"",AA213&lt;&gt;"",AB213="Y"),"YES","no"))</f>
        <v/>
      </c>
      <c r="AI213" s="10">
        <f>IF(AH213="YES",MAX(X213,Y213,Z213,AA213),"")</f>
        <v/>
      </c>
      <c r="AJ213">
        <f>IF(AND(B213="",C213=""),"",IF(OR(S213="Not interested",S213="Opt-out / do not contact"),"X Declined / suppressed",IF(S213="Bounced / undeliverable","X Bounced — research",IF(AC213&lt;&gt;"","13 Transacting",IF(AH213="YES","12 ACTIVATED",IF(Z213&lt;&gt;"","11 Listing live",IF(Y213&lt;&gt;"","10 Profile complete",IF(X213&lt;&gt;"","9 Approved",IF(W213&lt;&gt;"","8 KYC submitted",IF(V213&lt;&gt;"","7 Registered",IF(T213&lt;&gt;"","5 Interested",IF(R213&lt;&gt;"","4 Responded",IF(O213&lt;&gt;"","2 Contacted","1 Not yet contacted")))))))))))))</f>
        <v/>
      </c>
      <c r="AK213" s="10">
        <f>IF(AF213&lt;&gt;"",AF213,IF(OR(O213="",R213&lt;&gt;"",LEFT(AJ213,1)="X"),"",IF(Q213&lt;&gt;"","",IF(P213&lt;&gt;"",P213+SETTINGS!$B$4,O213+SETTINGS!$B$3))))</f>
        <v/>
      </c>
      <c r="AL213">
        <f>IF(AJ213="","",IF(LEFT(AJ213,1)="X","None — do not contact",IF(AJ213="1 Not yet contacted","Verify route today, then send M1",IF(AND(R213="",Q213&lt;&gt;""),"Sequence complete — no contact before "&amp;TEXT(Q213+SETTINGS!$B$5,"yyyy-mm-dd"),IF(AND(R213="",P213&lt;&gt;""),"Send final note (M4)",IF(R213="","Send follow-up (M2)",IF(AJ213="12 ACTIVATED","7-day check-in; consent &amp; referral soft ask",IF(AJ213="13 Transacting","Repeat-activity support","Onboarding: move to next stage (see playbook §6)"))))))))</f>
        <v/>
      </c>
      <c r="AM213">
        <f>IF(ISNUMBER(AK213),IF(AK213&lt;=TODAY(),"DUE",""),"")</f>
        <v/>
      </c>
      <c r="AN213">
        <f>IF(COUNT(O213,P213,Q213,R213,T213,V213,W213,X213,Y213,Z213,AA213,AC213)=0,"",TODAY()-MAX(O213,P213,Q213,R213,T213,V213,W213,X213,Y213,Z213,AA213,AC213))</f>
        <v/>
      </c>
      <c r="AO213">
        <f>IF(AJ213="","",IF(AND(T213&lt;&gt;"",U213&lt;&gt;"Active (verified)"),"GST: escalate (no tax advice)",IF(AND(IFERROR(VALUE(LEFT(AJ213,2)),0)&gt;=5,AH213&lt;&gt;"YES",ISNUMBER(AN213),AN213&gt;SETTINGS!$B$14),"STUCK in onboarding","")))</f>
        <v/>
      </c>
    </row>
    <row r="214">
      <c r="A214" t="n">
        <v>213</v>
      </c>
      <c r="B214" t="inlineStr">
        <is>
          <t>UPK2-DV-057</t>
        </is>
      </c>
      <c r="C214" t="inlineStr">
        <is>
          <t>Revisual Labs</t>
        </is>
      </c>
      <c r="D214" t="inlineStr">
        <is>
          <t>Digital &amp; Visual Arts</t>
        </is>
      </c>
      <c r="E214" t="inlineStr">
        <is>
          <t>DV-ARTIST-ILLUSTRATOR</t>
        </is>
      </c>
      <c r="F214" t="inlineStr">
        <is>
          <t>Delhi NCR</t>
        </is>
      </c>
      <c r="G214" t="inlineStr">
        <is>
          <t>B</t>
        </is>
      </c>
      <c r="H214" t="inlineStr">
        <is>
          <t>P0</t>
        </is>
      </c>
      <c r="I214" t="inlineStr"/>
      <c r="J214" t="inlineStr">
        <is>
          <t>Personal 1:1 email from founder/team to published business email</t>
        </is>
      </c>
      <c r="K214" t="inlineStr">
        <is>
          <t>https://revisual.co/</t>
        </is>
      </c>
      <c r="L214" t="inlineStr">
        <is>
          <t>W2 Expansion</t>
        </is>
      </c>
      <c r="M214" t="inlineStr"/>
      <c r="N214" t="inlineStr"/>
      <c r="O214" s="10" t="inlineStr"/>
      <c r="P214" s="10" t="inlineStr"/>
      <c r="Q214" s="10" t="inlineStr"/>
      <c r="R214" s="10" t="inlineStr"/>
      <c r="S214" t="inlineStr"/>
      <c r="T214" s="10" t="inlineStr"/>
      <c r="U214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t="inlineStr"/>
      <c r="AC214" s="10" t="inlineStr"/>
      <c r="AD214" t="inlineStr"/>
      <c r="AE214" t="inlineStr"/>
      <c r="AF214" s="10" t="inlineStr"/>
      <c r="AG214" t="inlineStr"/>
      <c r="AH214">
        <f>IF(AND(B214="",C214=""),"",IF(AND(X214&lt;&gt;"",Y214&lt;&gt;"",Z214&lt;&gt;"",AA214&lt;&gt;"",AB214="Y"),"YES","no"))</f>
        <v/>
      </c>
      <c r="AI214" s="10">
        <f>IF(AH214="YES",MAX(X214,Y214,Z214,AA214),"")</f>
        <v/>
      </c>
      <c r="AJ214">
        <f>IF(AND(B214="",C214=""),"",IF(OR(S214="Not interested",S214="Opt-out / do not contact"),"X Declined / suppressed",IF(S214="Bounced / undeliverable","X Bounced — research",IF(AC214&lt;&gt;"","13 Transacting",IF(AH214="YES","12 ACTIVATED",IF(Z214&lt;&gt;"","11 Listing live",IF(Y214&lt;&gt;"","10 Profile complete",IF(X214&lt;&gt;"","9 Approved",IF(W214&lt;&gt;"","8 KYC submitted",IF(V214&lt;&gt;"","7 Registered",IF(T214&lt;&gt;"","5 Interested",IF(R214&lt;&gt;"","4 Responded",IF(O214&lt;&gt;"","2 Contacted","1 Not yet contacted")))))))))))))</f>
        <v/>
      </c>
      <c r="AK214" s="10">
        <f>IF(AF214&lt;&gt;"",AF214,IF(OR(O214="",R214&lt;&gt;"",LEFT(AJ214,1)="X"),"",IF(Q214&lt;&gt;"","",IF(P214&lt;&gt;"",P214+SETTINGS!$B$4,O214+SETTINGS!$B$3))))</f>
        <v/>
      </c>
      <c r="AL214">
        <f>IF(AJ214="","",IF(LEFT(AJ214,1)="X","None — do not contact",IF(AJ214="1 Not yet contacted","Verify route today, then send M1",IF(AND(R214="",Q214&lt;&gt;""),"Sequence complete — no contact before "&amp;TEXT(Q214+SETTINGS!$B$5,"yyyy-mm-dd"),IF(AND(R214="",P214&lt;&gt;""),"Send final note (M4)",IF(R214="","Send follow-up (M2)",IF(AJ214="12 ACTIVATED","7-day check-in; consent &amp; referral soft ask",IF(AJ214="13 Transacting","Repeat-activity support","Onboarding: move to next stage (see playbook §6)"))))))))</f>
        <v/>
      </c>
      <c r="AM214">
        <f>IF(ISNUMBER(AK214),IF(AK214&lt;=TODAY(),"DUE",""),"")</f>
        <v/>
      </c>
      <c r="AN214">
        <f>IF(COUNT(O214,P214,Q214,R214,T214,V214,W214,X214,Y214,Z214,AA214,AC214)=0,"",TODAY()-MAX(O214,P214,Q214,R214,T214,V214,W214,X214,Y214,Z214,AA214,AC214))</f>
        <v/>
      </c>
      <c r="AO214">
        <f>IF(AJ214="","",IF(AND(T214&lt;&gt;"",U214&lt;&gt;"Active (verified)"),"GST: escalate (no tax advice)",IF(AND(IFERROR(VALUE(LEFT(AJ214,2)),0)&gt;=5,AH214&lt;&gt;"YES",ISNUMBER(AN214),AN214&gt;SETTINGS!$B$14),"STUCK in onboarding","")))</f>
        <v/>
      </c>
    </row>
    <row r="215">
      <c r="A215" t="n">
        <v>214</v>
      </c>
      <c r="B215" t="inlineStr">
        <is>
          <t>UPK2-DV-053</t>
        </is>
      </c>
      <c r="C215" t="inlineStr">
        <is>
          <t>Undiscovered Design Studio</t>
        </is>
      </c>
      <c r="D215" t="inlineStr">
        <is>
          <t>Digital &amp; Visual Arts</t>
        </is>
      </c>
      <c r="E215" t="inlineStr">
        <is>
          <t>DV-DESIGN-STUDIO</t>
        </is>
      </c>
      <c r="F215" t="inlineStr">
        <is>
          <t>Mumbai</t>
        </is>
      </c>
      <c r="G215" t="inlineStr">
        <is>
          <t>A</t>
        </is>
      </c>
      <c r="H215" t="inlineStr">
        <is>
          <t>P1</t>
        </is>
      </c>
      <c r="I215" t="inlineStr"/>
      <c r="J215" t="inlineStr">
        <is>
          <t>Personal 1:1 email from founder/team to published business email</t>
        </is>
      </c>
      <c r="K215" t="inlineStr">
        <is>
          <t>https://www.undiscoveredstudio.com/</t>
        </is>
      </c>
      <c r="L215" t="inlineStr">
        <is>
          <t>W2 Expansion</t>
        </is>
      </c>
      <c r="M215" t="inlineStr"/>
      <c r="N215" t="inlineStr"/>
      <c r="O215" s="10" t="inlineStr"/>
      <c r="P215" s="10" t="inlineStr"/>
      <c r="Q215" s="10" t="inlineStr"/>
      <c r="R215" s="10" t="inlineStr"/>
      <c r="S215" t="inlineStr"/>
      <c r="T215" s="10" t="inlineStr"/>
      <c r="U215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t="inlineStr"/>
      <c r="AC215" s="10" t="inlineStr"/>
      <c r="AD215" t="inlineStr"/>
      <c r="AE215" t="inlineStr"/>
      <c r="AF215" s="10" t="inlineStr"/>
      <c r="AG215" t="inlineStr"/>
      <c r="AH215">
        <f>IF(AND(B215="",C215=""),"",IF(AND(X215&lt;&gt;"",Y215&lt;&gt;"",Z215&lt;&gt;"",AA215&lt;&gt;"",AB215="Y"),"YES","no"))</f>
        <v/>
      </c>
      <c r="AI215" s="10">
        <f>IF(AH215="YES",MAX(X215,Y215,Z215,AA215),"")</f>
        <v/>
      </c>
      <c r="AJ215">
        <f>IF(AND(B215="",C215=""),"",IF(OR(S215="Not interested",S215="Opt-out / do not contact"),"X Declined / suppressed",IF(S215="Bounced / undeliverable","X Bounced — research",IF(AC215&lt;&gt;"","13 Transacting",IF(AH215="YES","12 ACTIVATED",IF(Z215&lt;&gt;"","11 Listing live",IF(Y215&lt;&gt;"","10 Profile complete",IF(X215&lt;&gt;"","9 Approved",IF(W215&lt;&gt;"","8 KYC submitted",IF(V215&lt;&gt;"","7 Registered",IF(T215&lt;&gt;"","5 Interested",IF(R215&lt;&gt;"","4 Responded",IF(O215&lt;&gt;"","2 Contacted","1 Not yet contacted")))))))))))))</f>
        <v/>
      </c>
      <c r="AK215" s="10">
        <f>IF(AF215&lt;&gt;"",AF215,IF(OR(O215="",R215&lt;&gt;"",LEFT(AJ215,1)="X"),"",IF(Q215&lt;&gt;"","",IF(P215&lt;&gt;"",P215+SETTINGS!$B$4,O215+SETTINGS!$B$3))))</f>
        <v/>
      </c>
      <c r="AL215">
        <f>IF(AJ215="","",IF(LEFT(AJ215,1)="X","None — do not contact",IF(AJ215="1 Not yet contacted","Verify route today, then send M1",IF(AND(R215="",Q215&lt;&gt;""),"Sequence complete — no contact before "&amp;TEXT(Q215+SETTINGS!$B$5,"yyyy-mm-dd"),IF(AND(R215="",P215&lt;&gt;""),"Send final note (M4)",IF(R215="","Send follow-up (M2)",IF(AJ215="12 ACTIVATED","7-day check-in; consent &amp; referral soft ask",IF(AJ215="13 Transacting","Repeat-activity support","Onboarding: move to next stage (see playbook §6)"))))))))</f>
        <v/>
      </c>
      <c r="AM215">
        <f>IF(ISNUMBER(AK215),IF(AK215&lt;=TODAY(),"DUE",""),"")</f>
        <v/>
      </c>
      <c r="AN215">
        <f>IF(COUNT(O215,P215,Q215,R215,T215,V215,W215,X215,Y215,Z215,AA215,AC215)=0,"",TODAY()-MAX(O215,P215,Q215,R215,T215,V215,W215,X215,Y215,Z215,AA215,AC215))</f>
        <v/>
      </c>
      <c r="AO215">
        <f>IF(AJ215="","",IF(AND(T215&lt;&gt;"",U215&lt;&gt;"Active (verified)"),"GST: escalate (no tax advice)",IF(AND(IFERROR(VALUE(LEFT(AJ215,2)),0)&gt;=5,AH215&lt;&gt;"YES",ISNUMBER(AN215),AN215&gt;SETTINGS!$B$14),"STUCK in onboarding","")))</f>
        <v/>
      </c>
    </row>
    <row r="216">
      <c r="A216" t="n">
        <v>215</v>
      </c>
      <c r="B216" t="inlineStr">
        <is>
          <t>UPK2-DV-061</t>
        </is>
      </c>
      <c r="C216" t="inlineStr">
        <is>
          <t>SPANDA.</t>
        </is>
      </c>
      <c r="D216" t="inlineStr">
        <is>
          <t>Digital &amp; Visual Arts</t>
        </is>
      </c>
      <c r="E216" t="inlineStr">
        <is>
          <t>DV-DESIGN-STUDIO</t>
        </is>
      </c>
      <c r="F216" t="inlineStr">
        <is>
          <t>Delhi NCR</t>
        </is>
      </c>
      <c r="G216" t="inlineStr">
        <is>
          <t>A</t>
        </is>
      </c>
      <c r="H216" t="inlineStr">
        <is>
          <t>P0</t>
        </is>
      </c>
      <c r="I216" t="inlineStr"/>
      <c r="J216" t="inlineStr">
        <is>
          <t>Personal 1:1 email from founder/team to published business email</t>
        </is>
      </c>
      <c r="K216" t="inlineStr">
        <is>
          <t>https://spanda.studio/</t>
        </is>
      </c>
      <c r="L216" t="inlineStr">
        <is>
          <t>W2 Expansion</t>
        </is>
      </c>
      <c r="M216" t="inlineStr"/>
      <c r="N216" t="inlineStr"/>
      <c r="O216" s="10" t="inlineStr"/>
      <c r="P216" s="10" t="inlineStr"/>
      <c r="Q216" s="10" t="inlineStr"/>
      <c r="R216" s="10" t="inlineStr"/>
      <c r="S216" t="inlineStr"/>
      <c r="T216" s="10" t="inlineStr"/>
      <c r="U216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t="inlineStr"/>
      <c r="AC216" s="10" t="inlineStr"/>
      <c r="AD216" t="inlineStr"/>
      <c r="AE216" t="inlineStr"/>
      <c r="AF216" s="10" t="inlineStr"/>
      <c r="AG216" t="inlineStr"/>
      <c r="AH216">
        <f>IF(AND(B216="",C216=""),"",IF(AND(X216&lt;&gt;"",Y216&lt;&gt;"",Z216&lt;&gt;"",AA216&lt;&gt;"",AB216="Y"),"YES","no"))</f>
        <v/>
      </c>
      <c r="AI216" s="10">
        <f>IF(AH216="YES",MAX(X216,Y216,Z216,AA216),"")</f>
        <v/>
      </c>
      <c r="AJ216">
        <f>IF(AND(B216="",C216=""),"",IF(OR(S216="Not interested",S216="Opt-out / do not contact"),"X Declined / suppressed",IF(S216="Bounced / undeliverable","X Bounced — research",IF(AC216&lt;&gt;"","13 Transacting",IF(AH216="YES","12 ACTIVATED",IF(Z216&lt;&gt;"","11 Listing live",IF(Y216&lt;&gt;"","10 Profile complete",IF(X216&lt;&gt;"","9 Approved",IF(W216&lt;&gt;"","8 KYC submitted",IF(V216&lt;&gt;"","7 Registered",IF(T216&lt;&gt;"","5 Interested",IF(R216&lt;&gt;"","4 Responded",IF(O216&lt;&gt;"","2 Contacted","1 Not yet contacted")))))))))))))</f>
        <v/>
      </c>
      <c r="AK216" s="10">
        <f>IF(AF216&lt;&gt;"",AF216,IF(OR(O216="",R216&lt;&gt;"",LEFT(AJ216,1)="X"),"",IF(Q216&lt;&gt;"","",IF(P216&lt;&gt;"",P216+SETTINGS!$B$4,O216+SETTINGS!$B$3))))</f>
        <v/>
      </c>
      <c r="AL216">
        <f>IF(AJ216="","",IF(LEFT(AJ216,1)="X","None — do not contact",IF(AJ216="1 Not yet contacted","Verify route today, then send M1",IF(AND(R216="",Q216&lt;&gt;""),"Sequence complete — no contact before "&amp;TEXT(Q216+SETTINGS!$B$5,"yyyy-mm-dd"),IF(AND(R216="",P216&lt;&gt;""),"Send final note (M4)",IF(R216="","Send follow-up (M2)",IF(AJ216="12 ACTIVATED","7-day check-in; consent &amp; referral soft ask",IF(AJ216="13 Transacting","Repeat-activity support","Onboarding: move to next stage (see playbook §6)"))))))))</f>
        <v/>
      </c>
      <c r="AM216">
        <f>IF(ISNUMBER(AK216),IF(AK216&lt;=TODAY(),"DUE",""),"")</f>
        <v/>
      </c>
      <c r="AN216">
        <f>IF(COUNT(O216,P216,Q216,R216,T216,V216,W216,X216,Y216,Z216,AA216,AC216)=0,"",TODAY()-MAX(O216,P216,Q216,R216,T216,V216,W216,X216,Y216,Z216,AA216,AC216))</f>
        <v/>
      </c>
      <c r="AO216">
        <f>IF(AJ216="","",IF(AND(T216&lt;&gt;"",U216&lt;&gt;"Active (verified)"),"GST: escalate (no tax advice)",IF(AND(IFERROR(VALUE(LEFT(AJ216,2)),0)&gt;=5,AH216&lt;&gt;"YES",ISNUMBER(AN216),AN216&gt;SETTINGS!$B$14),"STUCK in onboarding","")))</f>
        <v/>
      </c>
    </row>
    <row r="217">
      <c r="A217" t="n">
        <v>216</v>
      </c>
      <c r="B217" t="inlineStr">
        <is>
          <t>UPK2-DV-047</t>
        </is>
      </c>
      <c r="C217" t="inlineStr">
        <is>
          <t>Studio ABD</t>
        </is>
      </c>
      <c r="D217" t="inlineStr">
        <is>
          <t>Digital &amp; Visual Arts</t>
        </is>
      </c>
      <c r="E217" t="inlineStr">
        <is>
          <t>DV-DESIGN-STUDIO</t>
        </is>
      </c>
      <c r="F217" t="inlineStr">
        <is>
          <t>Bengaluru</t>
        </is>
      </c>
      <c r="G217" t="inlineStr">
        <is>
          <t>C</t>
        </is>
      </c>
      <c r="H217" t="inlineStr">
        <is>
          <t>P1</t>
        </is>
      </c>
      <c r="I217" t="inlineStr"/>
      <c r="J217" t="inlineStr">
        <is>
          <t>Personal 1:1 email from founder/team to published business email</t>
        </is>
      </c>
      <c r="K217" t="inlineStr">
        <is>
          <t>https://www.studioabd.in/contact</t>
        </is>
      </c>
      <c r="L217" t="inlineStr">
        <is>
          <t>W2 Expansion</t>
        </is>
      </c>
      <c r="M217" t="inlineStr"/>
      <c r="N217" t="inlineStr"/>
      <c r="O217" s="10" t="inlineStr"/>
      <c r="P217" s="10" t="inlineStr"/>
      <c r="Q217" s="10" t="inlineStr"/>
      <c r="R217" s="10" t="inlineStr"/>
      <c r="S217" t="inlineStr"/>
      <c r="T217" s="10" t="inlineStr"/>
      <c r="U217" t="inlineStr"/>
      <c r="V217" s="10" t="inlineStr"/>
      <c r="W217" s="10" t="inlineStr"/>
      <c r="X217" s="10" t="inlineStr"/>
      <c r="Y217" s="10" t="inlineStr"/>
      <c r="Z217" s="10" t="inlineStr"/>
      <c r="AA217" s="10" t="inlineStr"/>
      <c r="AB217" t="inlineStr"/>
      <c r="AC217" s="10" t="inlineStr"/>
      <c r="AD217" t="inlineStr"/>
      <c r="AE217" t="inlineStr"/>
      <c r="AF217" s="10" t="inlineStr"/>
      <c r="AG217" t="inlineStr"/>
      <c r="AH217">
        <f>IF(AND(B217="",C217=""),"",IF(AND(X217&lt;&gt;"",Y217&lt;&gt;"",Z217&lt;&gt;"",AA217&lt;&gt;"",AB217="Y"),"YES","no"))</f>
        <v/>
      </c>
      <c r="AI217" s="10">
        <f>IF(AH217="YES",MAX(X217,Y217,Z217,AA217),"")</f>
        <v/>
      </c>
      <c r="AJ217">
        <f>IF(AND(B217="",C217=""),"",IF(OR(S217="Not interested",S217="Opt-out / do not contact"),"X Declined / suppressed",IF(S217="Bounced / undeliverable","X Bounced — research",IF(AC217&lt;&gt;"","13 Transacting",IF(AH217="YES","12 ACTIVATED",IF(Z217&lt;&gt;"","11 Listing live",IF(Y217&lt;&gt;"","10 Profile complete",IF(X217&lt;&gt;"","9 Approved",IF(W217&lt;&gt;"","8 KYC submitted",IF(V217&lt;&gt;"","7 Registered",IF(T217&lt;&gt;"","5 Interested",IF(R217&lt;&gt;"","4 Responded",IF(O217&lt;&gt;"","2 Contacted","1 Not yet contacted")))))))))))))</f>
        <v/>
      </c>
      <c r="AK217" s="10">
        <f>IF(AF217&lt;&gt;"",AF217,IF(OR(O217="",R217&lt;&gt;"",LEFT(AJ217,1)="X"),"",IF(Q217&lt;&gt;"","",IF(P217&lt;&gt;"",P217+SETTINGS!$B$4,O217+SETTINGS!$B$3))))</f>
        <v/>
      </c>
      <c r="AL217">
        <f>IF(AJ217="","",IF(LEFT(AJ217,1)="X","None — do not contact",IF(AJ217="1 Not yet contacted","Verify route today, then send M1",IF(AND(R217="",Q217&lt;&gt;""),"Sequence complete — no contact before "&amp;TEXT(Q217+SETTINGS!$B$5,"yyyy-mm-dd"),IF(AND(R217="",P217&lt;&gt;""),"Send final note (M4)",IF(R217="","Send follow-up (M2)",IF(AJ217="12 ACTIVATED","7-day check-in; consent &amp; referral soft ask",IF(AJ217="13 Transacting","Repeat-activity support","Onboarding: move to next stage (see playbook §6)"))))))))</f>
        <v/>
      </c>
      <c r="AM217">
        <f>IF(ISNUMBER(AK217),IF(AK217&lt;=TODAY(),"DUE",""),"")</f>
        <v/>
      </c>
      <c r="AN217">
        <f>IF(COUNT(O217,P217,Q217,R217,T217,V217,W217,X217,Y217,Z217,AA217,AC217)=0,"",TODAY()-MAX(O217,P217,Q217,R217,T217,V217,W217,X217,Y217,Z217,AA217,AC217))</f>
        <v/>
      </c>
      <c r="AO217">
        <f>IF(AJ217="","",IF(AND(T217&lt;&gt;"",U217&lt;&gt;"Active (verified)"),"GST: escalate (no tax advice)",IF(AND(IFERROR(VALUE(LEFT(AJ217,2)),0)&gt;=5,AH217&lt;&gt;"YES",ISNUMBER(AN217),AN217&gt;SETTINGS!$B$14),"STUCK in onboarding","")))</f>
        <v/>
      </c>
    </row>
    <row r="218">
      <c r="A218" t="n">
        <v>217</v>
      </c>
      <c r="B218" t="inlineStr">
        <is>
          <t>UPK2-DV-015</t>
        </is>
      </c>
      <c r="C218" t="inlineStr">
        <is>
          <t>Anant Kulkarni</t>
        </is>
      </c>
      <c r="D218" t="inlineStr">
        <is>
          <t>Digital &amp; Visual Arts</t>
        </is>
      </c>
      <c r="E218" t="inlineStr">
        <is>
          <t>DV-ARTIST-ILLUSTRATOR</t>
        </is>
      </c>
      <c r="F218" t="inlineStr">
        <is>
          <t>Mumbai</t>
        </is>
      </c>
      <c r="G218" t="inlineStr">
        <is>
          <t>B</t>
        </is>
      </c>
      <c r="H218" t="inlineStr">
        <is>
          <t>P0</t>
        </is>
      </c>
      <c r="I218" t="inlineStr"/>
      <c r="J218" t="inlineStr">
        <is>
          <t>Personal 1:1 email from founder/team to published business email</t>
        </is>
      </c>
      <c r="K218" t="inlineStr">
        <is>
          <t>https://www.anantkulkarni.com/</t>
        </is>
      </c>
      <c r="L218" t="inlineStr">
        <is>
          <t>W2 Expansion</t>
        </is>
      </c>
      <c r="M218" t="inlineStr"/>
      <c r="N218" t="inlineStr"/>
      <c r="O218" s="10" t="inlineStr"/>
      <c r="P218" s="10" t="inlineStr"/>
      <c r="Q218" s="10" t="inlineStr"/>
      <c r="R218" s="10" t="inlineStr"/>
      <c r="S218" t="inlineStr"/>
      <c r="T218" s="10" t="inlineStr"/>
      <c r="U218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t="inlineStr"/>
      <c r="AC218" s="10" t="inlineStr"/>
      <c r="AD218" t="inlineStr"/>
      <c r="AE218" t="inlineStr"/>
      <c r="AF218" s="10" t="inlineStr"/>
      <c r="AG218" t="inlineStr"/>
      <c r="AH218">
        <f>IF(AND(B218="",C218=""),"",IF(AND(X218&lt;&gt;"",Y218&lt;&gt;"",Z218&lt;&gt;"",AA218&lt;&gt;"",AB218="Y"),"YES","no"))</f>
        <v/>
      </c>
      <c r="AI218" s="10">
        <f>IF(AH218="YES",MAX(X218,Y218,Z218,AA218),"")</f>
        <v/>
      </c>
      <c r="AJ218">
        <f>IF(AND(B218="",C218=""),"",IF(OR(S218="Not interested",S218="Opt-out / do not contact"),"X Declined / suppressed",IF(S218="Bounced / undeliverable","X Bounced — research",IF(AC218&lt;&gt;"","13 Transacting",IF(AH218="YES","12 ACTIVATED",IF(Z218&lt;&gt;"","11 Listing live",IF(Y218&lt;&gt;"","10 Profile complete",IF(X218&lt;&gt;"","9 Approved",IF(W218&lt;&gt;"","8 KYC submitted",IF(V218&lt;&gt;"","7 Registered",IF(T218&lt;&gt;"","5 Interested",IF(R218&lt;&gt;"","4 Responded",IF(O218&lt;&gt;"","2 Contacted","1 Not yet contacted")))))))))))))</f>
        <v/>
      </c>
      <c r="AK218" s="10">
        <f>IF(AF218&lt;&gt;"",AF218,IF(OR(O218="",R218&lt;&gt;"",LEFT(AJ218,1)="X"),"",IF(Q218&lt;&gt;"","",IF(P218&lt;&gt;"",P218+SETTINGS!$B$4,O218+SETTINGS!$B$3))))</f>
        <v/>
      </c>
      <c r="AL218">
        <f>IF(AJ218="","",IF(LEFT(AJ218,1)="X","None — do not contact",IF(AJ218="1 Not yet contacted","Verify route today, then send M1",IF(AND(R218="",Q218&lt;&gt;""),"Sequence complete — no contact before "&amp;TEXT(Q218+SETTINGS!$B$5,"yyyy-mm-dd"),IF(AND(R218="",P218&lt;&gt;""),"Send final note (M4)",IF(R218="","Send follow-up (M2)",IF(AJ218="12 ACTIVATED","7-day check-in; consent &amp; referral soft ask",IF(AJ218="13 Transacting","Repeat-activity support","Onboarding: move to next stage (see playbook §6)"))))))))</f>
        <v/>
      </c>
      <c r="AM218">
        <f>IF(ISNUMBER(AK218),IF(AK218&lt;=TODAY(),"DUE",""),"")</f>
        <v/>
      </c>
      <c r="AN218">
        <f>IF(COUNT(O218,P218,Q218,R218,T218,V218,W218,X218,Y218,Z218,AA218,AC218)=0,"",TODAY()-MAX(O218,P218,Q218,R218,T218,V218,W218,X218,Y218,Z218,AA218,AC218))</f>
        <v/>
      </c>
      <c r="AO218">
        <f>IF(AJ218="","",IF(AND(T218&lt;&gt;"",U218&lt;&gt;"Active (verified)"),"GST: escalate (no tax advice)",IF(AND(IFERROR(VALUE(LEFT(AJ218,2)),0)&gt;=5,AH218&lt;&gt;"YES",ISNUMBER(AN218),AN218&gt;SETTINGS!$B$14),"STUCK in onboarding","")))</f>
        <v/>
      </c>
    </row>
    <row r="219">
      <c r="A219" t="n">
        <v>218</v>
      </c>
      <c r="B219" t="inlineStr">
        <is>
          <t>UPK2-DV-060</t>
        </is>
      </c>
      <c r="C219" t="inlineStr">
        <is>
          <t>Black Brick</t>
        </is>
      </c>
      <c r="D219" t="inlineStr">
        <is>
          <t>Digital &amp; Visual Arts</t>
        </is>
      </c>
      <c r="E219" t="inlineStr">
        <is>
          <t>DV-DESIGN-STUDIO</t>
        </is>
      </c>
      <c r="F219" t="inlineStr">
        <is>
          <t>Mumbai</t>
        </is>
      </c>
      <c r="G219" t="inlineStr">
        <is>
          <t>B</t>
        </is>
      </c>
      <c r="H219" t="inlineStr">
        <is>
          <t>P0</t>
        </is>
      </c>
      <c r="I219" t="inlineStr"/>
      <c r="J219" t="inlineStr">
        <is>
          <t>Personal 1:1 email from founder/team to published business email</t>
        </is>
      </c>
      <c r="K219" t="inlineStr">
        <is>
          <t>https://www.blackbrick.in/</t>
        </is>
      </c>
      <c r="L219" t="inlineStr">
        <is>
          <t>W2 Expansion</t>
        </is>
      </c>
      <c r="M219" t="inlineStr"/>
      <c r="N219" t="inlineStr"/>
      <c r="O219" s="10" t="inlineStr"/>
      <c r="P219" s="10" t="inlineStr"/>
      <c r="Q219" s="10" t="inlineStr"/>
      <c r="R219" s="10" t="inlineStr"/>
      <c r="S219" t="inlineStr"/>
      <c r="T219" s="10" t="inlineStr"/>
      <c r="U219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t="inlineStr"/>
      <c r="AC219" s="10" t="inlineStr"/>
      <c r="AD219" t="inlineStr"/>
      <c r="AE219" t="inlineStr"/>
      <c r="AF219" s="10" t="inlineStr"/>
      <c r="AG219" t="inlineStr"/>
      <c r="AH219">
        <f>IF(AND(B219="",C219=""),"",IF(AND(X219&lt;&gt;"",Y219&lt;&gt;"",Z219&lt;&gt;"",AA219&lt;&gt;"",AB219="Y"),"YES","no"))</f>
        <v/>
      </c>
      <c r="AI219" s="10">
        <f>IF(AH219="YES",MAX(X219,Y219,Z219,AA219),"")</f>
        <v/>
      </c>
      <c r="AJ219">
        <f>IF(AND(B219="",C219=""),"",IF(OR(S219="Not interested",S219="Opt-out / do not contact"),"X Declined / suppressed",IF(S219="Bounced / undeliverable","X Bounced — research",IF(AC219&lt;&gt;"","13 Transacting",IF(AH219="YES","12 ACTIVATED",IF(Z219&lt;&gt;"","11 Listing live",IF(Y219&lt;&gt;"","10 Profile complete",IF(X219&lt;&gt;"","9 Approved",IF(W219&lt;&gt;"","8 KYC submitted",IF(V219&lt;&gt;"","7 Registered",IF(T219&lt;&gt;"","5 Interested",IF(R219&lt;&gt;"","4 Responded",IF(O219&lt;&gt;"","2 Contacted","1 Not yet contacted")))))))))))))</f>
        <v/>
      </c>
      <c r="AK219" s="10">
        <f>IF(AF219&lt;&gt;"",AF219,IF(OR(O219="",R219&lt;&gt;"",LEFT(AJ219,1)="X"),"",IF(Q219&lt;&gt;"","",IF(P219&lt;&gt;"",P219+SETTINGS!$B$4,O219+SETTINGS!$B$3))))</f>
        <v/>
      </c>
      <c r="AL219">
        <f>IF(AJ219="","",IF(LEFT(AJ219,1)="X","None — do not contact",IF(AJ219="1 Not yet contacted","Verify route today, then send M1",IF(AND(R219="",Q219&lt;&gt;""),"Sequence complete — no contact before "&amp;TEXT(Q219+SETTINGS!$B$5,"yyyy-mm-dd"),IF(AND(R219="",P219&lt;&gt;""),"Send final note (M4)",IF(R219="","Send follow-up (M2)",IF(AJ219="12 ACTIVATED","7-day check-in; consent &amp; referral soft ask",IF(AJ219="13 Transacting","Repeat-activity support","Onboarding: move to next stage (see playbook §6)"))))))))</f>
        <v/>
      </c>
      <c r="AM219">
        <f>IF(ISNUMBER(AK219),IF(AK219&lt;=TODAY(),"DUE",""),"")</f>
        <v/>
      </c>
      <c r="AN219">
        <f>IF(COUNT(O219,P219,Q219,R219,T219,V219,W219,X219,Y219,Z219,AA219,AC219)=0,"",TODAY()-MAX(O219,P219,Q219,R219,T219,V219,W219,X219,Y219,Z219,AA219,AC219))</f>
        <v/>
      </c>
      <c r="AO219">
        <f>IF(AJ219="","",IF(AND(T219&lt;&gt;"",U219&lt;&gt;"Active (verified)"),"GST: escalate (no tax advice)",IF(AND(IFERROR(VALUE(LEFT(AJ219,2)),0)&gt;=5,AH219&lt;&gt;"YES",ISNUMBER(AN219),AN219&gt;SETTINGS!$B$14),"STUCK in onboarding","")))</f>
        <v/>
      </c>
    </row>
    <row r="220">
      <c r="A220" t="n">
        <v>219</v>
      </c>
      <c r="B220" t="inlineStr">
        <is>
          <t>UPK2-BM-069</t>
        </is>
      </c>
      <c r="C220" t="inlineStr">
        <is>
          <t>Anuradha Makeup Artist</t>
        </is>
      </c>
      <c r="D220" t="inlineStr">
        <is>
          <t>Beauty &amp; Makeup</t>
        </is>
      </c>
      <c r="E220" t="inlineStr">
        <is>
          <t>BM-INDEPENDENT-MUA</t>
        </is>
      </c>
      <c r="F220" t="inlineStr">
        <is>
          <t>Mumbai</t>
        </is>
      </c>
      <c r="G220" t="inlineStr">
        <is>
          <t>A</t>
        </is>
      </c>
      <c r="H220" t="inlineStr">
        <is>
          <t>P1</t>
        </is>
      </c>
      <c r="I220" t="inlineStr">
        <is>
          <t>under-discovered</t>
        </is>
      </c>
      <c r="J220" t="inlineStr">
        <is>
          <t>1:1 Instagram DM from Uepaki professional account</t>
        </is>
      </c>
      <c r="K220" t="inlineStr">
        <is>
          <t>https://anuradhamakeupartist.com/</t>
        </is>
      </c>
      <c r="L220" t="inlineStr">
        <is>
          <t>W2 Expansion</t>
        </is>
      </c>
      <c r="M220" t="inlineStr"/>
      <c r="N220" t="inlineStr"/>
      <c r="O220" s="10" t="inlineStr"/>
      <c r="P220" s="10" t="inlineStr"/>
      <c r="Q220" s="10" t="inlineStr"/>
      <c r="R220" s="10" t="inlineStr"/>
      <c r="S220" t="inlineStr"/>
      <c r="T220" s="10" t="inlineStr"/>
      <c r="U22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t="inlineStr"/>
      <c r="AC220" s="10" t="inlineStr"/>
      <c r="AD220" t="inlineStr"/>
      <c r="AE220" t="inlineStr"/>
      <c r="AF220" s="10" t="inlineStr"/>
      <c r="AG220" t="inlineStr"/>
      <c r="AH220">
        <f>IF(AND(B220="",C220=""),"",IF(AND(X220&lt;&gt;"",Y220&lt;&gt;"",Z220&lt;&gt;"",AA220&lt;&gt;"",AB220="Y"),"YES","no"))</f>
        <v/>
      </c>
      <c r="AI220" s="10">
        <f>IF(AH220="YES",MAX(X220,Y220,Z220,AA220),"")</f>
        <v/>
      </c>
      <c r="AJ220">
        <f>IF(AND(B220="",C220=""),"",IF(OR(S220="Not interested",S220="Opt-out / do not contact"),"X Declined / suppressed",IF(S220="Bounced / undeliverable","X Bounced — research",IF(AC220&lt;&gt;"","13 Transacting",IF(AH220="YES","12 ACTIVATED",IF(Z220&lt;&gt;"","11 Listing live",IF(Y220&lt;&gt;"","10 Profile complete",IF(X220&lt;&gt;"","9 Approved",IF(W220&lt;&gt;"","8 KYC submitted",IF(V220&lt;&gt;"","7 Registered",IF(T220&lt;&gt;"","5 Interested",IF(R220&lt;&gt;"","4 Responded",IF(O220&lt;&gt;"","2 Contacted","1 Not yet contacted")))))))))))))</f>
        <v/>
      </c>
      <c r="AK220" s="10">
        <f>IF(AF220&lt;&gt;"",AF220,IF(OR(O220="",R220&lt;&gt;"",LEFT(AJ220,1)="X"),"",IF(Q220&lt;&gt;"","",IF(P220&lt;&gt;"",P220+SETTINGS!$B$4,O220+SETTINGS!$B$3))))</f>
        <v/>
      </c>
      <c r="AL220">
        <f>IF(AJ220="","",IF(LEFT(AJ220,1)="X","None — do not contact",IF(AJ220="1 Not yet contacted","Verify route today, then send M1",IF(AND(R220="",Q220&lt;&gt;""),"Sequence complete — no contact before "&amp;TEXT(Q220+SETTINGS!$B$5,"yyyy-mm-dd"),IF(AND(R220="",P220&lt;&gt;""),"Send final note (M4)",IF(R220="","Send follow-up (M2)",IF(AJ220="12 ACTIVATED","7-day check-in; consent &amp; referral soft ask",IF(AJ220="13 Transacting","Repeat-activity support","Onboarding: move to next stage (see playbook §6)"))))))))</f>
        <v/>
      </c>
      <c r="AM220">
        <f>IF(ISNUMBER(AK220),IF(AK220&lt;=TODAY(),"DUE",""),"")</f>
        <v/>
      </c>
      <c r="AN220">
        <f>IF(COUNT(O220,P220,Q220,R220,T220,V220,W220,X220,Y220,Z220,AA220,AC220)=0,"",TODAY()-MAX(O220,P220,Q220,R220,T220,V220,W220,X220,Y220,Z220,AA220,AC220))</f>
        <v/>
      </c>
      <c r="AO220">
        <f>IF(AJ220="","",IF(AND(T220&lt;&gt;"",U220&lt;&gt;"Active (verified)"),"GST: escalate (no tax advice)",IF(AND(IFERROR(VALUE(LEFT(AJ220,2)),0)&gt;=5,AH220&lt;&gt;"YES",ISNUMBER(AN220),AN220&gt;SETTINGS!$B$14),"STUCK in onboarding","")))</f>
        <v/>
      </c>
    </row>
    <row r="221">
      <c r="A221" t="n">
        <v>220</v>
      </c>
      <c r="B221" t="inlineStr">
        <is>
          <t>UPK2-BM-071</t>
        </is>
      </c>
      <c r="C221" t="inlineStr">
        <is>
          <t>Bake and Blush by Neha</t>
        </is>
      </c>
      <c r="D221" t="inlineStr">
        <is>
          <t>Beauty &amp; Makeup</t>
        </is>
      </c>
      <c r="E221" t="inlineStr">
        <is>
          <t>BM-INDEPENDENT-MUA</t>
        </is>
      </c>
      <c r="F221" t="inlineStr">
        <is>
          <t>Delhi NCR</t>
        </is>
      </c>
      <c r="G221" t="inlineStr">
        <is>
          <t>A</t>
        </is>
      </c>
      <c r="H221" t="inlineStr">
        <is>
          <t>P1</t>
        </is>
      </c>
      <c r="I221" t="inlineStr"/>
      <c r="J221" t="inlineStr">
        <is>
          <t>1:1 Instagram DM from Uepaki professional account</t>
        </is>
      </c>
      <c r="K221" t="inlineStr">
        <is>
          <t>https://www.instagram.com/bakeandblushbyneha/#</t>
        </is>
      </c>
      <c r="L221" t="inlineStr">
        <is>
          <t>W2 Expansion</t>
        </is>
      </c>
      <c r="M221" t="inlineStr"/>
      <c r="N221" t="inlineStr"/>
      <c r="O221" s="10" t="inlineStr"/>
      <c r="P221" s="10" t="inlineStr"/>
      <c r="Q221" s="10" t="inlineStr"/>
      <c r="R221" s="10" t="inlineStr"/>
      <c r="S221" t="inlineStr"/>
      <c r="T221" s="10" t="inlineStr"/>
      <c r="U221" t="inlineStr"/>
      <c r="V221" s="10" t="inlineStr"/>
      <c r="W221" s="10" t="inlineStr"/>
      <c r="X221" s="10" t="inlineStr"/>
      <c r="Y221" s="10" t="inlineStr"/>
      <c r="Z221" s="10" t="inlineStr"/>
      <c r="AA221" s="10" t="inlineStr"/>
      <c r="AB221" t="inlineStr"/>
      <c r="AC221" s="10" t="inlineStr"/>
      <c r="AD221" t="inlineStr"/>
      <c r="AE221" t="inlineStr"/>
      <c r="AF221" s="10" t="inlineStr"/>
      <c r="AG221" t="inlineStr"/>
      <c r="AH221">
        <f>IF(AND(B221="",C221=""),"",IF(AND(X221&lt;&gt;"",Y221&lt;&gt;"",Z221&lt;&gt;"",AA221&lt;&gt;"",AB221="Y"),"YES","no"))</f>
        <v/>
      </c>
      <c r="AI221" s="10">
        <f>IF(AH221="YES",MAX(X221,Y221,Z221,AA221),"")</f>
        <v/>
      </c>
      <c r="AJ221">
        <f>IF(AND(B221="",C221=""),"",IF(OR(S221="Not interested",S221="Opt-out / do not contact"),"X Declined / suppressed",IF(S221="Bounced / undeliverable","X Bounced — research",IF(AC221&lt;&gt;"","13 Transacting",IF(AH221="YES","12 ACTIVATED",IF(Z221&lt;&gt;"","11 Listing live",IF(Y221&lt;&gt;"","10 Profile complete",IF(X221&lt;&gt;"","9 Approved",IF(W221&lt;&gt;"","8 KYC submitted",IF(V221&lt;&gt;"","7 Registered",IF(T221&lt;&gt;"","5 Interested",IF(R221&lt;&gt;"","4 Responded",IF(O221&lt;&gt;"","2 Contacted","1 Not yet contacted")))))))))))))</f>
        <v/>
      </c>
      <c r="AK221" s="10">
        <f>IF(AF221&lt;&gt;"",AF221,IF(OR(O221="",R221&lt;&gt;"",LEFT(AJ221,1)="X"),"",IF(Q221&lt;&gt;"","",IF(P221&lt;&gt;"",P221+SETTINGS!$B$4,O221+SETTINGS!$B$3))))</f>
        <v/>
      </c>
      <c r="AL221">
        <f>IF(AJ221="","",IF(LEFT(AJ221,1)="X","None — do not contact",IF(AJ221="1 Not yet contacted","Verify route today, then send M1",IF(AND(R221="",Q221&lt;&gt;""),"Sequence complete — no contact before "&amp;TEXT(Q221+SETTINGS!$B$5,"yyyy-mm-dd"),IF(AND(R221="",P221&lt;&gt;""),"Send final note (M4)",IF(R221="","Send follow-up (M2)",IF(AJ221="12 ACTIVATED","7-day check-in; consent &amp; referral soft ask",IF(AJ221="13 Transacting","Repeat-activity support","Onboarding: move to next stage (see playbook §6)"))))))))</f>
        <v/>
      </c>
      <c r="AM221">
        <f>IF(ISNUMBER(AK221),IF(AK221&lt;=TODAY(),"DUE",""),"")</f>
        <v/>
      </c>
      <c r="AN221">
        <f>IF(COUNT(O221,P221,Q221,R221,T221,V221,W221,X221,Y221,Z221,AA221,AC221)=0,"",TODAY()-MAX(O221,P221,Q221,R221,T221,V221,W221,X221,Y221,Z221,AA221,AC221))</f>
        <v/>
      </c>
      <c r="AO221">
        <f>IF(AJ221="","",IF(AND(T221&lt;&gt;"",U221&lt;&gt;"Active (verified)"),"GST: escalate (no tax advice)",IF(AND(IFERROR(VALUE(LEFT(AJ221,2)),0)&gt;=5,AH221&lt;&gt;"YES",ISNUMBER(AN221),AN221&gt;SETTINGS!$B$14),"STUCK in onboarding","")))</f>
        <v/>
      </c>
    </row>
    <row r="222">
      <c r="A222" t="n">
        <v>221</v>
      </c>
      <c r="B222" t="inlineStr">
        <is>
          <t>UPK2-BM-231</t>
        </is>
      </c>
      <c r="C222" t="inlineStr">
        <is>
          <t>Makeup by Reva</t>
        </is>
      </c>
      <c r="D222" t="inlineStr">
        <is>
          <t>Beauty &amp; Makeup</t>
        </is>
      </c>
      <c r="E222" t="inlineStr">
        <is>
          <t>BM-INDEPENDENT-MUA</t>
        </is>
      </c>
      <c r="F222" t="inlineStr">
        <is>
          <t>Delhi NCR</t>
        </is>
      </c>
      <c r="G222" t="inlineStr">
        <is>
          <t>B</t>
        </is>
      </c>
      <c r="H222" t="inlineStr">
        <is>
          <t>P1</t>
        </is>
      </c>
      <c r="I222" t="inlineStr"/>
      <c r="J222" t="inlineStr">
        <is>
          <t>Personal 1:1 email from founder/team to published business email</t>
        </is>
      </c>
      <c r="K222" t="inlineStr">
        <is>
          <t>https://www.makeupbyreva.com/</t>
        </is>
      </c>
      <c r="L222" t="inlineStr">
        <is>
          <t>W2 Expansion</t>
        </is>
      </c>
      <c r="M222" t="inlineStr"/>
      <c r="N222" t="inlineStr"/>
      <c r="O222" s="10" t="inlineStr"/>
      <c r="P222" s="10" t="inlineStr"/>
      <c r="Q222" s="10" t="inlineStr"/>
      <c r="R222" s="10" t="inlineStr"/>
      <c r="S222" t="inlineStr"/>
      <c r="T222" s="10" t="inlineStr"/>
      <c r="U222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t="inlineStr"/>
      <c r="AC222" s="10" t="inlineStr"/>
      <c r="AD222" t="inlineStr"/>
      <c r="AE222" t="inlineStr"/>
      <c r="AF222" s="10" t="inlineStr"/>
      <c r="AG222" t="inlineStr"/>
      <c r="AH222">
        <f>IF(AND(B222="",C222=""),"",IF(AND(X222&lt;&gt;"",Y222&lt;&gt;"",Z222&lt;&gt;"",AA222&lt;&gt;"",AB222="Y"),"YES","no"))</f>
        <v/>
      </c>
      <c r="AI222" s="10">
        <f>IF(AH222="YES",MAX(X222,Y222,Z222,AA222),"")</f>
        <v/>
      </c>
      <c r="AJ222">
        <f>IF(AND(B222="",C222=""),"",IF(OR(S222="Not interested",S222="Opt-out / do not contact"),"X Declined / suppressed",IF(S222="Bounced / undeliverable","X Bounced — research",IF(AC222&lt;&gt;"","13 Transacting",IF(AH222="YES","12 ACTIVATED",IF(Z222&lt;&gt;"","11 Listing live",IF(Y222&lt;&gt;"","10 Profile complete",IF(X222&lt;&gt;"","9 Approved",IF(W222&lt;&gt;"","8 KYC submitted",IF(V222&lt;&gt;"","7 Registered",IF(T222&lt;&gt;"","5 Interested",IF(R222&lt;&gt;"","4 Responded",IF(O222&lt;&gt;"","2 Contacted","1 Not yet contacted")))))))))))))</f>
        <v/>
      </c>
      <c r="AK222" s="10">
        <f>IF(AF222&lt;&gt;"",AF222,IF(OR(O222="",R222&lt;&gt;"",LEFT(AJ222,1)="X"),"",IF(Q222&lt;&gt;"","",IF(P222&lt;&gt;"",P222+SETTINGS!$B$4,O222+SETTINGS!$B$3))))</f>
        <v/>
      </c>
      <c r="AL222">
        <f>IF(AJ222="","",IF(LEFT(AJ222,1)="X","None — do not contact",IF(AJ222="1 Not yet contacted","Verify route today, then send M1",IF(AND(R222="",Q222&lt;&gt;""),"Sequence complete — no contact before "&amp;TEXT(Q222+SETTINGS!$B$5,"yyyy-mm-dd"),IF(AND(R222="",P222&lt;&gt;""),"Send final note (M4)",IF(R222="","Send follow-up (M2)",IF(AJ222="12 ACTIVATED","7-day check-in; consent &amp; referral soft ask",IF(AJ222="13 Transacting","Repeat-activity support","Onboarding: move to next stage (see playbook §6)"))))))))</f>
        <v/>
      </c>
      <c r="AM222">
        <f>IF(ISNUMBER(AK222),IF(AK222&lt;=TODAY(),"DUE",""),"")</f>
        <v/>
      </c>
      <c r="AN222">
        <f>IF(COUNT(O222,P222,Q222,R222,T222,V222,W222,X222,Y222,Z222,AA222,AC222)=0,"",TODAY()-MAX(O222,P222,Q222,R222,T222,V222,W222,X222,Y222,Z222,AA222,AC222))</f>
        <v/>
      </c>
      <c r="AO222">
        <f>IF(AJ222="","",IF(AND(T222&lt;&gt;"",U222&lt;&gt;"Active (verified)"),"GST: escalate (no tax advice)",IF(AND(IFERROR(VALUE(LEFT(AJ222,2)),0)&gt;=5,AH222&lt;&gt;"YES",ISNUMBER(AN222),AN222&gt;SETTINGS!$B$14),"STUCK in onboarding","")))</f>
        <v/>
      </c>
    </row>
    <row r="223">
      <c r="A223" t="n">
        <v>222</v>
      </c>
      <c r="B223" t="inlineStr">
        <is>
          <t>UPK2-BM-014</t>
        </is>
      </c>
      <c r="C223" t="inlineStr">
        <is>
          <t>Liberte by Hiral</t>
        </is>
      </c>
      <c r="D223" t="inlineStr">
        <is>
          <t>Beauty &amp; Makeup</t>
        </is>
      </c>
      <c r="E223" t="inlineStr">
        <is>
          <t>BM-INDEPENDENT-MUA</t>
        </is>
      </c>
      <c r="F223" t="inlineStr">
        <is>
          <t>Mumbai</t>
        </is>
      </c>
      <c r="G223" t="inlineStr">
        <is>
          <t>B</t>
        </is>
      </c>
      <c r="H223" t="inlineStr">
        <is>
          <t>P0</t>
        </is>
      </c>
      <c r="I223" t="inlineStr"/>
      <c r="J223" t="inlineStr">
        <is>
          <t>Personal 1:1 email from founder/team to published business email</t>
        </is>
      </c>
      <c r="K223" t="inlineStr">
        <is>
          <t>https://shahhirral.wixsite.com/libertebyhiral</t>
        </is>
      </c>
      <c r="L223" t="inlineStr">
        <is>
          <t>W2 Expansion</t>
        </is>
      </c>
      <c r="M223" t="inlineStr"/>
      <c r="N223" t="inlineStr"/>
      <c r="O223" s="10" t="inlineStr"/>
      <c r="P223" s="10" t="inlineStr"/>
      <c r="Q223" s="10" t="inlineStr"/>
      <c r="R223" s="10" t="inlineStr"/>
      <c r="S223" t="inlineStr"/>
      <c r="T223" s="10" t="inlineStr"/>
      <c r="U223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t="inlineStr"/>
      <c r="AC223" s="10" t="inlineStr"/>
      <c r="AD223" t="inlineStr"/>
      <c r="AE223" t="inlineStr"/>
      <c r="AF223" s="10" t="inlineStr"/>
      <c r="AG223" t="inlineStr"/>
      <c r="AH223">
        <f>IF(AND(B223="",C223=""),"",IF(AND(X223&lt;&gt;"",Y223&lt;&gt;"",Z223&lt;&gt;"",AA223&lt;&gt;"",AB223="Y"),"YES","no"))</f>
        <v/>
      </c>
      <c r="AI223" s="10">
        <f>IF(AH223="YES",MAX(X223,Y223,Z223,AA223),"")</f>
        <v/>
      </c>
      <c r="AJ223">
        <f>IF(AND(B223="",C223=""),"",IF(OR(S223="Not interested",S223="Opt-out / do not contact"),"X Declined / suppressed",IF(S223="Bounced / undeliverable","X Bounced — research",IF(AC223&lt;&gt;"","13 Transacting",IF(AH223="YES","12 ACTIVATED",IF(Z223&lt;&gt;"","11 Listing live",IF(Y223&lt;&gt;"","10 Profile complete",IF(X223&lt;&gt;"","9 Approved",IF(W223&lt;&gt;"","8 KYC submitted",IF(V223&lt;&gt;"","7 Registered",IF(T223&lt;&gt;"","5 Interested",IF(R223&lt;&gt;"","4 Responded",IF(O223&lt;&gt;"","2 Contacted","1 Not yet contacted")))))))))))))</f>
        <v/>
      </c>
      <c r="AK223" s="10">
        <f>IF(AF223&lt;&gt;"",AF223,IF(OR(O223="",R223&lt;&gt;"",LEFT(AJ223,1)="X"),"",IF(Q223&lt;&gt;"","",IF(P223&lt;&gt;"",P223+SETTINGS!$B$4,O223+SETTINGS!$B$3))))</f>
        <v/>
      </c>
      <c r="AL223">
        <f>IF(AJ223="","",IF(LEFT(AJ223,1)="X","None — do not contact",IF(AJ223="1 Not yet contacted","Verify route today, then send M1",IF(AND(R223="",Q223&lt;&gt;""),"Sequence complete — no contact before "&amp;TEXT(Q223+SETTINGS!$B$5,"yyyy-mm-dd"),IF(AND(R223="",P223&lt;&gt;""),"Send final note (M4)",IF(R223="","Send follow-up (M2)",IF(AJ223="12 ACTIVATED","7-day check-in; consent &amp; referral soft ask",IF(AJ223="13 Transacting","Repeat-activity support","Onboarding: move to next stage (see playbook §6)"))))))))</f>
        <v/>
      </c>
      <c r="AM223">
        <f>IF(ISNUMBER(AK223),IF(AK223&lt;=TODAY(),"DUE",""),"")</f>
        <v/>
      </c>
      <c r="AN223">
        <f>IF(COUNT(O223,P223,Q223,R223,T223,V223,W223,X223,Y223,Z223,AA223,AC223)=0,"",TODAY()-MAX(O223,P223,Q223,R223,T223,V223,W223,X223,Y223,Z223,AA223,AC223))</f>
        <v/>
      </c>
      <c r="AO223">
        <f>IF(AJ223="","",IF(AND(T223&lt;&gt;"",U223&lt;&gt;"Active (verified)"),"GST: escalate (no tax advice)",IF(AND(IFERROR(VALUE(LEFT(AJ223,2)),0)&gt;=5,AH223&lt;&gt;"YES",ISNUMBER(AN223),AN223&gt;SETTINGS!$B$14),"STUCK in onboarding","")))</f>
        <v/>
      </c>
    </row>
    <row r="224">
      <c r="A224" t="n">
        <v>223</v>
      </c>
      <c r="B224" t="inlineStr">
        <is>
          <t>UPK2-BM-004</t>
        </is>
      </c>
      <c r="C224" t="inlineStr">
        <is>
          <t>MG Makeovers</t>
        </is>
      </c>
      <c r="D224" t="inlineStr">
        <is>
          <t>Beauty &amp; Makeup</t>
        </is>
      </c>
      <c r="E224" t="inlineStr">
        <is>
          <t>BM-STUDIO</t>
        </is>
      </c>
      <c r="F224" t="inlineStr">
        <is>
          <t>Delhi NCR</t>
        </is>
      </c>
      <c r="G224" t="inlineStr">
        <is>
          <t>C</t>
        </is>
      </c>
      <c r="H224" t="inlineStr">
        <is>
          <t>P0</t>
        </is>
      </c>
      <c r="I224" t="inlineStr"/>
      <c r="J224" t="inlineStr">
        <is>
          <t>Personal 1:1 email from founder/team to published business email</t>
        </is>
      </c>
      <c r="K224" t="inlineStr">
        <is>
          <t>https://www.mgmakeovers.com/contact-us</t>
        </is>
      </c>
      <c r="L224" t="inlineStr">
        <is>
          <t>W2 Expansion</t>
        </is>
      </c>
      <c r="M224" t="inlineStr"/>
      <c r="N224" t="inlineStr"/>
      <c r="O224" s="10" t="inlineStr"/>
      <c r="P224" s="10" t="inlineStr"/>
      <c r="Q224" s="10" t="inlineStr"/>
      <c r="R224" s="10" t="inlineStr"/>
      <c r="S224" t="inlineStr"/>
      <c r="T224" s="10" t="inlineStr"/>
      <c r="U224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t="inlineStr"/>
      <c r="AC224" s="10" t="inlineStr"/>
      <c r="AD224" t="inlineStr"/>
      <c r="AE224" t="inlineStr"/>
      <c r="AF224" s="10" t="inlineStr"/>
      <c r="AG224" t="inlineStr"/>
      <c r="AH224">
        <f>IF(AND(B224="",C224=""),"",IF(AND(X224&lt;&gt;"",Y224&lt;&gt;"",Z224&lt;&gt;"",AA224&lt;&gt;"",AB224="Y"),"YES","no"))</f>
        <v/>
      </c>
      <c r="AI224" s="10">
        <f>IF(AH224="YES",MAX(X224,Y224,Z224,AA224),"")</f>
        <v/>
      </c>
      <c r="AJ224">
        <f>IF(AND(B224="",C224=""),"",IF(OR(S224="Not interested",S224="Opt-out / do not contact"),"X Declined / suppressed",IF(S224="Bounced / undeliverable","X Bounced — research",IF(AC224&lt;&gt;"","13 Transacting",IF(AH224="YES","12 ACTIVATED",IF(Z224&lt;&gt;"","11 Listing live",IF(Y224&lt;&gt;"","10 Profile complete",IF(X224&lt;&gt;"","9 Approved",IF(W224&lt;&gt;"","8 KYC submitted",IF(V224&lt;&gt;"","7 Registered",IF(T224&lt;&gt;"","5 Interested",IF(R224&lt;&gt;"","4 Responded",IF(O224&lt;&gt;"","2 Contacted","1 Not yet contacted")))))))))))))</f>
        <v/>
      </c>
      <c r="AK224" s="10">
        <f>IF(AF224&lt;&gt;"",AF224,IF(OR(O224="",R224&lt;&gt;"",LEFT(AJ224,1)="X"),"",IF(Q224&lt;&gt;"","",IF(P224&lt;&gt;"",P224+SETTINGS!$B$4,O224+SETTINGS!$B$3))))</f>
        <v/>
      </c>
      <c r="AL224">
        <f>IF(AJ224="","",IF(LEFT(AJ224,1)="X","None — do not contact",IF(AJ224="1 Not yet contacted","Verify route today, then send M1",IF(AND(R224="",Q224&lt;&gt;""),"Sequence complete — no contact before "&amp;TEXT(Q224+SETTINGS!$B$5,"yyyy-mm-dd"),IF(AND(R224="",P224&lt;&gt;""),"Send final note (M4)",IF(R224="","Send follow-up (M2)",IF(AJ224="12 ACTIVATED","7-day check-in; consent &amp; referral soft ask",IF(AJ224="13 Transacting","Repeat-activity support","Onboarding: move to next stage (see playbook §6)"))))))))</f>
        <v/>
      </c>
      <c r="AM224">
        <f>IF(ISNUMBER(AK224),IF(AK224&lt;=TODAY(),"DUE",""),"")</f>
        <v/>
      </c>
      <c r="AN224">
        <f>IF(COUNT(O224,P224,Q224,R224,T224,V224,W224,X224,Y224,Z224,AA224,AC224)=0,"",TODAY()-MAX(O224,P224,Q224,R224,T224,V224,W224,X224,Y224,Z224,AA224,AC224))</f>
        <v/>
      </c>
      <c r="AO224">
        <f>IF(AJ224="","",IF(AND(T224&lt;&gt;"",U224&lt;&gt;"Active (verified)"),"GST: escalate (no tax advice)",IF(AND(IFERROR(VALUE(LEFT(AJ224,2)),0)&gt;=5,AH224&lt;&gt;"YES",ISNUMBER(AN224),AN224&gt;SETTINGS!$B$14),"STUCK in onboarding","")))</f>
        <v/>
      </c>
    </row>
    <row r="225">
      <c r="A225" t="n">
        <v>224</v>
      </c>
      <c r="B225" t="inlineStr">
        <is>
          <t>UPK2-BM-034</t>
        </is>
      </c>
      <c r="C225" t="inlineStr">
        <is>
          <t>GlossnGlass</t>
        </is>
      </c>
      <c r="D225" t="inlineStr">
        <is>
          <t>Beauty &amp; Makeup</t>
        </is>
      </c>
      <c r="E225" t="inlineStr">
        <is>
          <t>BM-STUDIO</t>
        </is>
      </c>
      <c r="F225" t="inlineStr">
        <is>
          <t>Bengaluru</t>
        </is>
      </c>
      <c r="G225" t="inlineStr">
        <is>
          <t>C</t>
        </is>
      </c>
      <c r="H225" t="inlineStr">
        <is>
          <t>P0</t>
        </is>
      </c>
      <c r="I225" t="inlineStr"/>
      <c r="J225" t="inlineStr">
        <is>
          <t>Personal 1:1 email from founder/team to published business email</t>
        </is>
      </c>
      <c r="K225" t="inlineStr">
        <is>
          <t>https://glossnglass.com/contact/</t>
        </is>
      </c>
      <c r="L225" t="inlineStr">
        <is>
          <t>W2 Expansion</t>
        </is>
      </c>
      <c r="M225" t="inlineStr"/>
      <c r="N225" t="inlineStr"/>
      <c r="O225" s="10" t="inlineStr"/>
      <c r="P225" s="10" t="inlineStr"/>
      <c r="Q225" s="10" t="inlineStr"/>
      <c r="R225" s="10" t="inlineStr"/>
      <c r="S225" t="inlineStr"/>
      <c r="T225" s="10" t="inlineStr"/>
      <c r="U225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t="inlineStr"/>
      <c r="AC225" s="10" t="inlineStr"/>
      <c r="AD225" t="inlineStr"/>
      <c r="AE225" t="inlineStr"/>
      <c r="AF225" s="10" t="inlineStr"/>
      <c r="AG225" t="inlineStr"/>
      <c r="AH225">
        <f>IF(AND(B225="",C225=""),"",IF(AND(X225&lt;&gt;"",Y225&lt;&gt;"",Z225&lt;&gt;"",AA225&lt;&gt;"",AB225="Y"),"YES","no"))</f>
        <v/>
      </c>
      <c r="AI225" s="10">
        <f>IF(AH225="YES",MAX(X225,Y225,Z225,AA225),"")</f>
        <v/>
      </c>
      <c r="AJ225">
        <f>IF(AND(B225="",C225=""),"",IF(OR(S225="Not interested",S225="Opt-out / do not contact"),"X Declined / suppressed",IF(S225="Bounced / undeliverable","X Bounced — research",IF(AC225&lt;&gt;"","13 Transacting",IF(AH225="YES","12 ACTIVATED",IF(Z225&lt;&gt;"","11 Listing live",IF(Y225&lt;&gt;"","10 Profile complete",IF(X225&lt;&gt;"","9 Approved",IF(W225&lt;&gt;"","8 KYC submitted",IF(V225&lt;&gt;"","7 Registered",IF(T225&lt;&gt;"","5 Interested",IF(R225&lt;&gt;"","4 Responded",IF(O225&lt;&gt;"","2 Contacted","1 Not yet contacted")))))))))))))</f>
        <v/>
      </c>
      <c r="AK225" s="10">
        <f>IF(AF225&lt;&gt;"",AF225,IF(OR(O225="",R225&lt;&gt;"",LEFT(AJ225,1)="X"),"",IF(Q225&lt;&gt;"","",IF(P225&lt;&gt;"",P225+SETTINGS!$B$4,O225+SETTINGS!$B$3))))</f>
        <v/>
      </c>
      <c r="AL225">
        <f>IF(AJ225="","",IF(LEFT(AJ225,1)="X","None — do not contact",IF(AJ225="1 Not yet contacted","Verify route today, then send M1",IF(AND(R225="",Q225&lt;&gt;""),"Sequence complete — no contact before "&amp;TEXT(Q225+SETTINGS!$B$5,"yyyy-mm-dd"),IF(AND(R225="",P225&lt;&gt;""),"Send final note (M4)",IF(R225="","Send follow-up (M2)",IF(AJ225="12 ACTIVATED","7-day check-in; consent &amp; referral soft ask",IF(AJ225="13 Transacting","Repeat-activity support","Onboarding: move to next stage (see playbook §6)"))))))))</f>
        <v/>
      </c>
      <c r="AM225">
        <f>IF(ISNUMBER(AK225),IF(AK225&lt;=TODAY(),"DUE",""),"")</f>
        <v/>
      </c>
      <c r="AN225">
        <f>IF(COUNT(O225,P225,Q225,R225,T225,V225,W225,X225,Y225,Z225,AA225,AC225)=0,"",TODAY()-MAX(O225,P225,Q225,R225,T225,V225,W225,X225,Y225,Z225,AA225,AC225))</f>
        <v/>
      </c>
      <c r="AO225">
        <f>IF(AJ225="","",IF(AND(T225&lt;&gt;"",U225&lt;&gt;"Active (verified)"),"GST: escalate (no tax advice)",IF(AND(IFERROR(VALUE(LEFT(AJ225,2)),0)&gt;=5,AH225&lt;&gt;"YES",ISNUMBER(AN225),AN225&gt;SETTINGS!$B$14),"STUCK in onboarding","")))</f>
        <v/>
      </c>
    </row>
    <row r="226">
      <c r="A226" t="n">
        <v>225</v>
      </c>
      <c r="B226" t="inlineStr">
        <is>
          <t>UPK2-BM-003</t>
        </is>
      </c>
      <c r="C226" t="inlineStr">
        <is>
          <t>Sonal Sharma Makeup</t>
        </is>
      </c>
      <c r="D226" t="inlineStr">
        <is>
          <t>Beauty &amp; Makeup</t>
        </is>
      </c>
      <c r="E226" t="inlineStr">
        <is>
          <t>BM-INDEPENDENT-MUA</t>
        </is>
      </c>
      <c r="F226" t="inlineStr">
        <is>
          <t>Delhi NCR</t>
        </is>
      </c>
      <c r="G226" t="inlineStr">
        <is>
          <t>B</t>
        </is>
      </c>
      <c r="H226" t="inlineStr">
        <is>
          <t>P0</t>
        </is>
      </c>
      <c r="I226" t="inlineStr"/>
      <c r="J226" t="inlineStr">
        <is>
          <t>Personal 1:1 email from founder/team to published business email</t>
        </is>
      </c>
      <c r="K226" t="inlineStr">
        <is>
          <t>https://sonalsharmamakeup.com/</t>
        </is>
      </c>
      <c r="L226" t="inlineStr">
        <is>
          <t>W2 Expansion</t>
        </is>
      </c>
      <c r="M226" t="inlineStr"/>
      <c r="N226" t="inlineStr"/>
      <c r="O226" s="10" t="inlineStr"/>
      <c r="P226" s="10" t="inlineStr"/>
      <c r="Q226" s="10" t="inlineStr"/>
      <c r="R226" s="10" t="inlineStr"/>
      <c r="S226" t="inlineStr"/>
      <c r="T226" s="10" t="inlineStr"/>
      <c r="U226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t="inlineStr"/>
      <c r="AC226" s="10" t="inlineStr"/>
      <c r="AD226" t="inlineStr"/>
      <c r="AE226" t="inlineStr"/>
      <c r="AF226" s="10" t="inlineStr"/>
      <c r="AG226" t="inlineStr"/>
      <c r="AH226">
        <f>IF(AND(B226="",C226=""),"",IF(AND(X226&lt;&gt;"",Y226&lt;&gt;"",Z226&lt;&gt;"",AA226&lt;&gt;"",AB226="Y"),"YES","no"))</f>
        <v/>
      </c>
      <c r="AI226" s="10">
        <f>IF(AH226="YES",MAX(X226,Y226,Z226,AA226),"")</f>
        <v/>
      </c>
      <c r="AJ226">
        <f>IF(AND(B226="",C226=""),"",IF(OR(S226="Not interested",S226="Opt-out / do not contact"),"X Declined / suppressed",IF(S226="Bounced / undeliverable","X Bounced — research",IF(AC226&lt;&gt;"","13 Transacting",IF(AH226="YES","12 ACTIVATED",IF(Z226&lt;&gt;"","11 Listing live",IF(Y226&lt;&gt;"","10 Profile complete",IF(X226&lt;&gt;"","9 Approved",IF(W226&lt;&gt;"","8 KYC submitted",IF(V226&lt;&gt;"","7 Registered",IF(T226&lt;&gt;"","5 Interested",IF(R226&lt;&gt;"","4 Responded",IF(O226&lt;&gt;"","2 Contacted","1 Not yet contacted")))))))))))))</f>
        <v/>
      </c>
      <c r="AK226" s="10">
        <f>IF(AF226&lt;&gt;"",AF226,IF(OR(O226="",R226&lt;&gt;"",LEFT(AJ226,1)="X"),"",IF(Q226&lt;&gt;"","",IF(P226&lt;&gt;"",P226+SETTINGS!$B$4,O226+SETTINGS!$B$3))))</f>
        <v/>
      </c>
      <c r="AL226">
        <f>IF(AJ226="","",IF(LEFT(AJ226,1)="X","None — do not contact",IF(AJ226="1 Not yet contacted","Verify route today, then send M1",IF(AND(R226="",Q226&lt;&gt;""),"Sequence complete — no contact before "&amp;TEXT(Q226+SETTINGS!$B$5,"yyyy-mm-dd"),IF(AND(R226="",P226&lt;&gt;""),"Send final note (M4)",IF(R226="","Send follow-up (M2)",IF(AJ226="12 ACTIVATED","7-day check-in; consent &amp; referral soft ask",IF(AJ226="13 Transacting","Repeat-activity support","Onboarding: move to next stage (see playbook §6)"))))))))</f>
        <v/>
      </c>
      <c r="AM226">
        <f>IF(ISNUMBER(AK226),IF(AK226&lt;=TODAY(),"DUE",""),"")</f>
        <v/>
      </c>
      <c r="AN226">
        <f>IF(COUNT(O226,P226,Q226,R226,T226,V226,W226,X226,Y226,Z226,AA226,AC226)=0,"",TODAY()-MAX(O226,P226,Q226,R226,T226,V226,W226,X226,Y226,Z226,AA226,AC226))</f>
        <v/>
      </c>
      <c r="AO226">
        <f>IF(AJ226="","",IF(AND(T226&lt;&gt;"",U226&lt;&gt;"Active (verified)"),"GST: escalate (no tax advice)",IF(AND(IFERROR(VALUE(LEFT(AJ226,2)),0)&gt;=5,AH226&lt;&gt;"YES",ISNUMBER(AN226),AN226&gt;SETTINGS!$B$14),"STUCK in onboarding","")))</f>
        <v/>
      </c>
    </row>
    <row r="227">
      <c r="A227" t="n">
        <v>226</v>
      </c>
      <c r="B227" t="inlineStr">
        <is>
          <t>UPK2-BM-019</t>
        </is>
      </c>
      <c r="C227" t="inlineStr">
        <is>
          <t>MeriBindiya (MeriBindiya International Academy)</t>
        </is>
      </c>
      <c r="D227" t="inlineStr">
        <is>
          <t>Beauty &amp; Makeup</t>
        </is>
      </c>
      <c r="E227" t="inlineStr">
        <is>
          <t>BM-STUDIO</t>
        </is>
      </c>
      <c r="F227" t="inlineStr">
        <is>
          <t>Delhi NCR</t>
        </is>
      </c>
      <c r="G227" t="inlineStr">
        <is>
          <t>C</t>
        </is>
      </c>
      <c r="H227" t="inlineStr">
        <is>
          <t>P0</t>
        </is>
      </c>
      <c r="I227" t="inlineStr"/>
      <c r="J227" t="inlineStr">
        <is>
          <t>Personal 1:1 email from founder/team to published business email</t>
        </is>
      </c>
      <c r="K227" t="inlineStr">
        <is>
          <t>https://www.meribindiya.com/</t>
        </is>
      </c>
      <c r="L227" t="inlineStr">
        <is>
          <t>W2 Expansion</t>
        </is>
      </c>
      <c r="M227" t="inlineStr"/>
      <c r="N227" t="inlineStr"/>
      <c r="O227" s="10" t="inlineStr"/>
      <c r="P227" s="10" t="inlineStr"/>
      <c r="Q227" s="10" t="inlineStr"/>
      <c r="R227" s="10" t="inlineStr"/>
      <c r="S227" t="inlineStr"/>
      <c r="T227" s="10" t="inlineStr"/>
      <c r="U227" t="inlineStr"/>
      <c r="V227" s="10" t="inlineStr"/>
      <c r="W227" s="10" t="inlineStr"/>
      <c r="X227" s="10" t="inlineStr"/>
      <c r="Y227" s="10" t="inlineStr"/>
      <c r="Z227" s="10" t="inlineStr"/>
      <c r="AA227" s="10" t="inlineStr"/>
      <c r="AB227" t="inlineStr"/>
      <c r="AC227" s="10" t="inlineStr"/>
      <c r="AD227" t="inlineStr"/>
      <c r="AE227" t="inlineStr"/>
      <c r="AF227" s="10" t="inlineStr"/>
      <c r="AG227" t="inlineStr"/>
      <c r="AH227">
        <f>IF(AND(B227="",C227=""),"",IF(AND(X227&lt;&gt;"",Y227&lt;&gt;"",Z227&lt;&gt;"",AA227&lt;&gt;"",AB227="Y"),"YES","no"))</f>
        <v/>
      </c>
      <c r="AI227" s="10">
        <f>IF(AH227="YES",MAX(X227,Y227,Z227,AA227),"")</f>
        <v/>
      </c>
      <c r="AJ227">
        <f>IF(AND(B227="",C227=""),"",IF(OR(S227="Not interested",S227="Opt-out / do not contact"),"X Declined / suppressed",IF(S227="Bounced / undeliverable","X Bounced — research",IF(AC227&lt;&gt;"","13 Transacting",IF(AH227="YES","12 ACTIVATED",IF(Z227&lt;&gt;"","11 Listing live",IF(Y227&lt;&gt;"","10 Profile complete",IF(X227&lt;&gt;"","9 Approved",IF(W227&lt;&gt;"","8 KYC submitted",IF(V227&lt;&gt;"","7 Registered",IF(T227&lt;&gt;"","5 Interested",IF(R227&lt;&gt;"","4 Responded",IF(O227&lt;&gt;"","2 Contacted","1 Not yet contacted")))))))))))))</f>
        <v/>
      </c>
      <c r="AK227" s="10">
        <f>IF(AF227&lt;&gt;"",AF227,IF(OR(O227="",R227&lt;&gt;"",LEFT(AJ227,1)="X"),"",IF(Q227&lt;&gt;"","",IF(P227&lt;&gt;"",P227+SETTINGS!$B$4,O227+SETTINGS!$B$3))))</f>
        <v/>
      </c>
      <c r="AL227">
        <f>IF(AJ227="","",IF(LEFT(AJ227,1)="X","None — do not contact",IF(AJ227="1 Not yet contacted","Verify route today, then send M1",IF(AND(R227="",Q227&lt;&gt;""),"Sequence complete — no contact before "&amp;TEXT(Q227+SETTINGS!$B$5,"yyyy-mm-dd"),IF(AND(R227="",P227&lt;&gt;""),"Send final note (M4)",IF(R227="","Send follow-up (M2)",IF(AJ227="12 ACTIVATED","7-day check-in; consent &amp; referral soft ask",IF(AJ227="13 Transacting","Repeat-activity support","Onboarding: move to next stage (see playbook §6)"))))))))</f>
        <v/>
      </c>
      <c r="AM227">
        <f>IF(ISNUMBER(AK227),IF(AK227&lt;=TODAY(),"DUE",""),"")</f>
        <v/>
      </c>
      <c r="AN227">
        <f>IF(COUNT(O227,P227,Q227,R227,T227,V227,W227,X227,Y227,Z227,AA227,AC227)=0,"",TODAY()-MAX(O227,P227,Q227,R227,T227,V227,W227,X227,Y227,Z227,AA227,AC227))</f>
        <v/>
      </c>
      <c r="AO227">
        <f>IF(AJ227="","",IF(AND(T227&lt;&gt;"",U227&lt;&gt;"Active (verified)"),"GST: escalate (no tax advice)",IF(AND(IFERROR(VALUE(LEFT(AJ227,2)),0)&gt;=5,AH227&lt;&gt;"YES",ISNUMBER(AN227),AN227&gt;SETTINGS!$B$14),"STUCK in onboarding","")))</f>
        <v/>
      </c>
    </row>
    <row r="228">
      <c r="A228" t="n">
        <v>227</v>
      </c>
      <c r="B228" t="inlineStr">
        <is>
          <t>UPK2-BM-006</t>
        </is>
      </c>
      <c r="C228" t="inlineStr">
        <is>
          <t>Shivangi Verma Makeup Studio &amp; Academy</t>
        </is>
      </c>
      <c r="D228" t="inlineStr">
        <is>
          <t>Beauty &amp; Makeup</t>
        </is>
      </c>
      <c r="E228" t="inlineStr">
        <is>
          <t>BM-STUDIO</t>
        </is>
      </c>
      <c r="F228" t="inlineStr">
        <is>
          <t>Delhi NCR</t>
        </is>
      </c>
      <c r="G228" t="inlineStr">
        <is>
          <t>B</t>
        </is>
      </c>
      <c r="H228" t="inlineStr">
        <is>
          <t>P0</t>
        </is>
      </c>
      <c r="I228" t="inlineStr"/>
      <c r="J228" t="inlineStr">
        <is>
          <t>Personal 1:1 email from founder/team to published business email</t>
        </is>
      </c>
      <c r="K228" t="inlineStr">
        <is>
          <t>https://shivangivermamakeupstudioandacademy.com/</t>
        </is>
      </c>
      <c r="L228" t="inlineStr">
        <is>
          <t>W2 Expansion</t>
        </is>
      </c>
      <c r="M228" t="inlineStr"/>
      <c r="N228" t="inlineStr"/>
      <c r="O228" s="10" t="inlineStr"/>
      <c r="P228" s="10" t="inlineStr"/>
      <c r="Q228" s="10" t="inlineStr"/>
      <c r="R228" s="10" t="inlineStr"/>
      <c r="S228" t="inlineStr"/>
      <c r="T228" s="10" t="inlineStr"/>
      <c r="U228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t="inlineStr"/>
      <c r="AC228" s="10" t="inlineStr"/>
      <c r="AD228" t="inlineStr"/>
      <c r="AE228" t="inlineStr"/>
      <c r="AF228" s="10" t="inlineStr"/>
      <c r="AG228" t="inlineStr"/>
      <c r="AH228">
        <f>IF(AND(B228="",C228=""),"",IF(AND(X228&lt;&gt;"",Y228&lt;&gt;"",Z228&lt;&gt;"",AA228&lt;&gt;"",AB228="Y"),"YES","no"))</f>
        <v/>
      </c>
      <c r="AI228" s="10">
        <f>IF(AH228="YES",MAX(X228,Y228,Z228,AA228),"")</f>
        <v/>
      </c>
      <c r="AJ228">
        <f>IF(AND(B228="",C228=""),"",IF(OR(S228="Not interested",S228="Opt-out / do not contact"),"X Declined / suppressed",IF(S228="Bounced / undeliverable","X Bounced — research",IF(AC228&lt;&gt;"","13 Transacting",IF(AH228="YES","12 ACTIVATED",IF(Z228&lt;&gt;"","11 Listing live",IF(Y228&lt;&gt;"","10 Profile complete",IF(X228&lt;&gt;"","9 Approved",IF(W228&lt;&gt;"","8 KYC submitted",IF(V228&lt;&gt;"","7 Registered",IF(T228&lt;&gt;"","5 Interested",IF(R228&lt;&gt;"","4 Responded",IF(O228&lt;&gt;"","2 Contacted","1 Not yet contacted")))))))))))))</f>
        <v/>
      </c>
      <c r="AK228" s="10">
        <f>IF(AF228&lt;&gt;"",AF228,IF(OR(O228="",R228&lt;&gt;"",LEFT(AJ228,1)="X"),"",IF(Q228&lt;&gt;"","",IF(P228&lt;&gt;"",P228+SETTINGS!$B$4,O228+SETTINGS!$B$3))))</f>
        <v/>
      </c>
      <c r="AL228">
        <f>IF(AJ228="","",IF(LEFT(AJ228,1)="X","None — do not contact",IF(AJ228="1 Not yet contacted","Verify route today, then send M1",IF(AND(R228="",Q228&lt;&gt;""),"Sequence complete — no contact before "&amp;TEXT(Q228+SETTINGS!$B$5,"yyyy-mm-dd"),IF(AND(R228="",P228&lt;&gt;""),"Send final note (M4)",IF(R228="","Send follow-up (M2)",IF(AJ228="12 ACTIVATED","7-day check-in; consent &amp; referral soft ask",IF(AJ228="13 Transacting","Repeat-activity support","Onboarding: move to next stage (see playbook §6)"))))))))</f>
        <v/>
      </c>
      <c r="AM228">
        <f>IF(ISNUMBER(AK228),IF(AK228&lt;=TODAY(),"DUE",""),"")</f>
        <v/>
      </c>
      <c r="AN228">
        <f>IF(COUNT(O228,P228,Q228,R228,T228,V228,W228,X228,Y228,Z228,AA228,AC228)=0,"",TODAY()-MAX(O228,P228,Q228,R228,T228,V228,W228,X228,Y228,Z228,AA228,AC228))</f>
        <v/>
      </c>
      <c r="AO228">
        <f>IF(AJ228="","",IF(AND(T228&lt;&gt;"",U228&lt;&gt;"Active (verified)"),"GST: escalate (no tax advice)",IF(AND(IFERROR(VALUE(LEFT(AJ228,2)),0)&gt;=5,AH228&lt;&gt;"YES",ISNUMBER(AN228),AN228&gt;SETTINGS!$B$14),"STUCK in onboarding","")))</f>
        <v/>
      </c>
    </row>
    <row r="229">
      <c r="A229" t="n">
        <v>228</v>
      </c>
      <c r="B229" t="inlineStr">
        <is>
          <t>UPK2-BM-005</t>
        </is>
      </c>
      <c r="C229" t="inlineStr">
        <is>
          <t>Anjum Bhardwaj Makeup Artist</t>
        </is>
      </c>
      <c r="D229" t="inlineStr">
        <is>
          <t>Beauty &amp; Makeup</t>
        </is>
      </c>
      <c r="E229" t="inlineStr">
        <is>
          <t>BM-INDEPENDENT-MUA</t>
        </is>
      </c>
      <c r="F229" t="inlineStr">
        <is>
          <t>Delhi NCR</t>
        </is>
      </c>
      <c r="G229" t="inlineStr">
        <is>
          <t>B</t>
        </is>
      </c>
      <c r="H229" t="inlineStr">
        <is>
          <t>P0</t>
        </is>
      </c>
      <c r="I229" t="inlineStr">
        <is>
          <t>under-discovered</t>
        </is>
      </c>
      <c r="J229" t="inlineStr">
        <is>
          <t>Personal 1:1 email from founder/team to published business email</t>
        </is>
      </c>
      <c r="K229" t="inlineStr">
        <is>
          <t>https://www.anjumbhardwaj.com/contact/contact-form</t>
        </is>
      </c>
      <c r="L229" t="inlineStr">
        <is>
          <t>W2 Expansion</t>
        </is>
      </c>
      <c r="M229" t="inlineStr"/>
      <c r="N229" t="inlineStr"/>
      <c r="O229" s="10" t="inlineStr"/>
      <c r="P229" s="10" t="inlineStr"/>
      <c r="Q229" s="10" t="inlineStr"/>
      <c r="R229" s="10" t="inlineStr"/>
      <c r="S229" t="inlineStr"/>
      <c r="T229" s="10" t="inlineStr"/>
      <c r="U229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t="inlineStr"/>
      <c r="AC229" s="10" t="inlineStr"/>
      <c r="AD229" t="inlineStr"/>
      <c r="AE229" t="inlineStr"/>
      <c r="AF229" s="10" t="inlineStr"/>
      <c r="AG229" t="inlineStr"/>
      <c r="AH229">
        <f>IF(AND(B229="",C229=""),"",IF(AND(X229&lt;&gt;"",Y229&lt;&gt;"",Z229&lt;&gt;"",AA229&lt;&gt;"",AB229="Y"),"YES","no"))</f>
        <v/>
      </c>
      <c r="AI229" s="10">
        <f>IF(AH229="YES",MAX(X229,Y229,Z229,AA229),"")</f>
        <v/>
      </c>
      <c r="AJ229">
        <f>IF(AND(B229="",C229=""),"",IF(OR(S229="Not interested",S229="Opt-out / do not contact"),"X Declined / suppressed",IF(S229="Bounced / undeliverable","X Bounced — research",IF(AC229&lt;&gt;"","13 Transacting",IF(AH229="YES","12 ACTIVATED",IF(Z229&lt;&gt;"","11 Listing live",IF(Y229&lt;&gt;"","10 Profile complete",IF(X229&lt;&gt;"","9 Approved",IF(W229&lt;&gt;"","8 KYC submitted",IF(V229&lt;&gt;"","7 Registered",IF(T229&lt;&gt;"","5 Interested",IF(R229&lt;&gt;"","4 Responded",IF(O229&lt;&gt;"","2 Contacted","1 Not yet contacted")))))))))))))</f>
        <v/>
      </c>
      <c r="AK229" s="10">
        <f>IF(AF229&lt;&gt;"",AF229,IF(OR(O229="",R229&lt;&gt;"",LEFT(AJ229,1)="X"),"",IF(Q229&lt;&gt;"","",IF(P229&lt;&gt;"",P229+SETTINGS!$B$4,O229+SETTINGS!$B$3))))</f>
        <v/>
      </c>
      <c r="AL229">
        <f>IF(AJ229="","",IF(LEFT(AJ229,1)="X","None — do not contact",IF(AJ229="1 Not yet contacted","Verify route today, then send M1",IF(AND(R229="",Q229&lt;&gt;""),"Sequence complete — no contact before "&amp;TEXT(Q229+SETTINGS!$B$5,"yyyy-mm-dd"),IF(AND(R229="",P229&lt;&gt;""),"Send final note (M4)",IF(R229="","Send follow-up (M2)",IF(AJ229="12 ACTIVATED","7-day check-in; consent &amp; referral soft ask",IF(AJ229="13 Transacting","Repeat-activity support","Onboarding: move to next stage (see playbook §6)"))))))))</f>
        <v/>
      </c>
      <c r="AM229">
        <f>IF(ISNUMBER(AK229),IF(AK229&lt;=TODAY(),"DUE",""),"")</f>
        <v/>
      </c>
      <c r="AN229">
        <f>IF(COUNT(O229,P229,Q229,R229,T229,V229,W229,X229,Y229,Z229,AA229,AC229)=0,"",TODAY()-MAX(O229,P229,Q229,R229,T229,V229,W229,X229,Y229,Z229,AA229,AC229))</f>
        <v/>
      </c>
      <c r="AO229">
        <f>IF(AJ229="","",IF(AND(T229&lt;&gt;"",U229&lt;&gt;"Active (verified)"),"GST: escalate (no tax advice)",IF(AND(IFERROR(VALUE(LEFT(AJ229,2)),0)&gt;=5,AH229&lt;&gt;"YES",ISNUMBER(AN229),AN229&gt;SETTINGS!$B$14),"STUCK in onboarding","")))</f>
        <v/>
      </c>
    </row>
    <row r="230">
      <c r="A230" t="n">
        <v>229</v>
      </c>
      <c r="B230" t="inlineStr">
        <is>
          <t>UPK2-BM-015</t>
        </is>
      </c>
      <c r="C230" t="inlineStr">
        <is>
          <t>Dejavu Makeup by Vinni</t>
        </is>
      </c>
      <c r="D230" t="inlineStr">
        <is>
          <t>Beauty &amp; Makeup</t>
        </is>
      </c>
      <c r="E230" t="inlineStr">
        <is>
          <t>BM-STUDIO</t>
        </is>
      </c>
      <c r="F230" t="inlineStr">
        <is>
          <t>Bengaluru</t>
        </is>
      </c>
      <c r="G230" t="inlineStr">
        <is>
          <t>C</t>
        </is>
      </c>
      <c r="H230" t="inlineStr">
        <is>
          <t>P0</t>
        </is>
      </c>
      <c r="I230" t="inlineStr"/>
      <c r="J230" t="inlineStr">
        <is>
          <t>1:1 message via own-website contact form</t>
        </is>
      </c>
      <c r="K230" t="inlineStr">
        <is>
          <t>https://dejavumakeup.com/</t>
        </is>
      </c>
      <c r="L230" t="inlineStr">
        <is>
          <t>W2 Expansion</t>
        </is>
      </c>
      <c r="M230" t="inlineStr"/>
      <c r="N230" t="inlineStr"/>
      <c r="O230" s="10" t="inlineStr"/>
      <c r="P230" s="10" t="inlineStr"/>
      <c r="Q230" s="10" t="inlineStr"/>
      <c r="R230" s="10" t="inlineStr"/>
      <c r="S230" t="inlineStr"/>
      <c r="T230" s="10" t="inlineStr"/>
      <c r="U23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t="inlineStr"/>
      <c r="AC230" s="10" t="inlineStr"/>
      <c r="AD230" t="inlineStr"/>
      <c r="AE230" t="inlineStr"/>
      <c r="AF230" s="10" t="inlineStr"/>
      <c r="AG230" t="inlineStr"/>
      <c r="AH230">
        <f>IF(AND(B230="",C230=""),"",IF(AND(X230&lt;&gt;"",Y230&lt;&gt;"",Z230&lt;&gt;"",AA230&lt;&gt;"",AB230="Y"),"YES","no"))</f>
        <v/>
      </c>
      <c r="AI230" s="10">
        <f>IF(AH230="YES",MAX(X230,Y230,Z230,AA230),"")</f>
        <v/>
      </c>
      <c r="AJ230">
        <f>IF(AND(B230="",C230=""),"",IF(OR(S230="Not interested",S230="Opt-out / do not contact"),"X Declined / suppressed",IF(S230="Bounced / undeliverable","X Bounced — research",IF(AC230&lt;&gt;"","13 Transacting",IF(AH230="YES","12 ACTIVATED",IF(Z230&lt;&gt;"","11 Listing live",IF(Y230&lt;&gt;"","10 Profile complete",IF(X230&lt;&gt;"","9 Approved",IF(W230&lt;&gt;"","8 KYC submitted",IF(V230&lt;&gt;"","7 Registered",IF(T230&lt;&gt;"","5 Interested",IF(R230&lt;&gt;"","4 Responded",IF(O230&lt;&gt;"","2 Contacted","1 Not yet contacted")))))))))))))</f>
        <v/>
      </c>
      <c r="AK230" s="10">
        <f>IF(AF230&lt;&gt;"",AF230,IF(OR(O230="",R230&lt;&gt;"",LEFT(AJ230,1)="X"),"",IF(Q230&lt;&gt;"","",IF(P230&lt;&gt;"",P230+SETTINGS!$B$4,O230+SETTINGS!$B$3))))</f>
        <v/>
      </c>
      <c r="AL230">
        <f>IF(AJ230="","",IF(LEFT(AJ230,1)="X","None — do not contact",IF(AJ230="1 Not yet contacted","Verify route today, then send M1",IF(AND(R230="",Q230&lt;&gt;""),"Sequence complete — no contact before "&amp;TEXT(Q230+SETTINGS!$B$5,"yyyy-mm-dd"),IF(AND(R230="",P230&lt;&gt;""),"Send final note (M4)",IF(R230="","Send follow-up (M2)",IF(AJ230="12 ACTIVATED","7-day check-in; consent &amp; referral soft ask",IF(AJ230="13 Transacting","Repeat-activity support","Onboarding: move to next stage (see playbook §6)"))))))))</f>
        <v/>
      </c>
      <c r="AM230">
        <f>IF(ISNUMBER(AK230),IF(AK230&lt;=TODAY(),"DUE",""),"")</f>
        <v/>
      </c>
      <c r="AN230">
        <f>IF(COUNT(O230,P230,Q230,R230,T230,V230,W230,X230,Y230,Z230,AA230,AC230)=0,"",TODAY()-MAX(O230,P230,Q230,R230,T230,V230,W230,X230,Y230,Z230,AA230,AC230))</f>
        <v/>
      </c>
      <c r="AO230">
        <f>IF(AJ230="","",IF(AND(T230&lt;&gt;"",U230&lt;&gt;"Active (verified)"),"GST: escalate (no tax advice)",IF(AND(IFERROR(VALUE(LEFT(AJ230,2)),0)&gt;=5,AH230&lt;&gt;"YES",ISNUMBER(AN230),AN230&gt;SETTINGS!$B$14),"STUCK in onboarding","")))</f>
        <v/>
      </c>
    </row>
    <row r="231">
      <c r="A231" t="n">
        <v>230</v>
      </c>
      <c r="B231" t="inlineStr">
        <is>
          <t>UPK2-BM-048</t>
        </is>
      </c>
      <c r="C231" t="inlineStr">
        <is>
          <t>The Makeup Wala</t>
        </is>
      </c>
      <c r="D231" t="inlineStr">
        <is>
          <t>Beauty &amp; Makeup</t>
        </is>
      </c>
      <c r="E231" t="inlineStr">
        <is>
          <t>BM-STUDIO</t>
        </is>
      </c>
      <c r="F231" t="inlineStr">
        <is>
          <t>Delhi NCR</t>
        </is>
      </c>
      <c r="G231" t="inlineStr">
        <is>
          <t>B</t>
        </is>
      </c>
      <c r="H231" t="inlineStr">
        <is>
          <t>P0</t>
        </is>
      </c>
      <c r="I231" t="inlineStr">
        <is>
          <t>under-discovered</t>
        </is>
      </c>
      <c r="J231" t="inlineStr">
        <is>
          <t>Personal 1:1 email from founder/team to published business email</t>
        </is>
      </c>
      <c r="K231" t="inlineStr">
        <is>
          <t>https://www.themakeupwala.com/contact/</t>
        </is>
      </c>
      <c r="L231" t="inlineStr">
        <is>
          <t>W2 Expansion</t>
        </is>
      </c>
      <c r="M231" t="inlineStr"/>
      <c r="N231" t="inlineStr"/>
      <c r="O231" s="10" t="inlineStr"/>
      <c r="P231" s="10" t="inlineStr"/>
      <c r="Q231" s="10" t="inlineStr"/>
      <c r="R231" s="10" t="inlineStr"/>
      <c r="S231" t="inlineStr"/>
      <c r="T231" s="10" t="inlineStr"/>
      <c r="U231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t="inlineStr"/>
      <c r="AC231" s="10" t="inlineStr"/>
      <c r="AD231" t="inlineStr"/>
      <c r="AE231" t="inlineStr"/>
      <c r="AF231" s="10" t="inlineStr"/>
      <c r="AG231" t="inlineStr"/>
      <c r="AH231">
        <f>IF(AND(B231="",C231=""),"",IF(AND(X231&lt;&gt;"",Y231&lt;&gt;"",Z231&lt;&gt;"",AA231&lt;&gt;"",AB231="Y"),"YES","no"))</f>
        <v/>
      </c>
      <c r="AI231" s="10">
        <f>IF(AH231="YES",MAX(X231,Y231,Z231,AA231),"")</f>
        <v/>
      </c>
      <c r="AJ231">
        <f>IF(AND(B231="",C231=""),"",IF(OR(S231="Not interested",S231="Opt-out / do not contact"),"X Declined / suppressed",IF(S231="Bounced / undeliverable","X Bounced — research",IF(AC231&lt;&gt;"","13 Transacting",IF(AH231="YES","12 ACTIVATED",IF(Z231&lt;&gt;"","11 Listing live",IF(Y231&lt;&gt;"","10 Profile complete",IF(X231&lt;&gt;"","9 Approved",IF(W231&lt;&gt;"","8 KYC submitted",IF(V231&lt;&gt;"","7 Registered",IF(T231&lt;&gt;"","5 Interested",IF(R231&lt;&gt;"","4 Responded",IF(O231&lt;&gt;"","2 Contacted","1 Not yet contacted")))))))))))))</f>
        <v/>
      </c>
      <c r="AK231" s="10">
        <f>IF(AF231&lt;&gt;"",AF231,IF(OR(O231="",R231&lt;&gt;"",LEFT(AJ231,1)="X"),"",IF(Q231&lt;&gt;"","",IF(P231&lt;&gt;"",P231+SETTINGS!$B$4,O231+SETTINGS!$B$3))))</f>
        <v/>
      </c>
      <c r="AL231">
        <f>IF(AJ231="","",IF(LEFT(AJ231,1)="X","None — do not contact",IF(AJ231="1 Not yet contacted","Verify route today, then send M1",IF(AND(R231="",Q231&lt;&gt;""),"Sequence complete — no contact before "&amp;TEXT(Q231+SETTINGS!$B$5,"yyyy-mm-dd"),IF(AND(R231="",P231&lt;&gt;""),"Send final note (M4)",IF(R231="","Send follow-up (M2)",IF(AJ231="12 ACTIVATED","7-day check-in; consent &amp; referral soft ask",IF(AJ231="13 Transacting","Repeat-activity support","Onboarding: move to next stage (see playbook §6)"))))))))</f>
        <v/>
      </c>
      <c r="AM231">
        <f>IF(ISNUMBER(AK231),IF(AK231&lt;=TODAY(),"DUE",""),"")</f>
        <v/>
      </c>
      <c r="AN231">
        <f>IF(COUNT(O231,P231,Q231,R231,T231,V231,W231,X231,Y231,Z231,AA231,AC231)=0,"",TODAY()-MAX(O231,P231,Q231,R231,T231,V231,W231,X231,Y231,Z231,AA231,AC231))</f>
        <v/>
      </c>
      <c r="AO231">
        <f>IF(AJ231="","",IF(AND(T231&lt;&gt;"",U231&lt;&gt;"Active (verified)"),"GST: escalate (no tax advice)",IF(AND(IFERROR(VALUE(LEFT(AJ231,2)),0)&gt;=5,AH231&lt;&gt;"YES",ISNUMBER(AN231),AN231&gt;SETTINGS!$B$14),"STUCK in onboarding","")))</f>
        <v/>
      </c>
    </row>
    <row r="232">
      <c r="A232" t="n">
        <v>231</v>
      </c>
      <c r="B232" t="inlineStr">
        <is>
          <t>UPK2-BM-047</t>
        </is>
      </c>
      <c r="C232" t="inlineStr">
        <is>
          <t>Glow Fizz Makeover</t>
        </is>
      </c>
      <c r="D232" t="inlineStr">
        <is>
          <t>Beauty &amp; Makeup</t>
        </is>
      </c>
      <c r="E232" t="inlineStr">
        <is>
          <t>BM-STUDIO</t>
        </is>
      </c>
      <c r="F232" t="inlineStr">
        <is>
          <t>Delhi NCR</t>
        </is>
      </c>
      <c r="G232" t="inlineStr">
        <is>
          <t>B</t>
        </is>
      </c>
      <c r="H232" t="inlineStr">
        <is>
          <t>P1</t>
        </is>
      </c>
      <c r="I232" t="inlineStr">
        <is>
          <t>under-discovered</t>
        </is>
      </c>
      <c r="J232" t="inlineStr">
        <is>
          <t>Personal 1:1 email from founder/team to published business email</t>
        </is>
      </c>
      <c r="K232" t="inlineStr">
        <is>
          <t>https://glowfizzmakeover.com/contact/</t>
        </is>
      </c>
      <c r="L232" t="inlineStr">
        <is>
          <t>W2 Expansion</t>
        </is>
      </c>
      <c r="M232" t="inlineStr"/>
      <c r="N232" t="inlineStr"/>
      <c r="O232" s="10" t="inlineStr"/>
      <c r="P232" s="10" t="inlineStr"/>
      <c r="Q232" s="10" t="inlineStr"/>
      <c r="R232" s="10" t="inlineStr"/>
      <c r="S232" t="inlineStr"/>
      <c r="T232" s="10" t="inlineStr"/>
      <c r="U232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t="inlineStr"/>
      <c r="AC232" s="10" t="inlineStr"/>
      <c r="AD232" t="inlineStr"/>
      <c r="AE232" t="inlineStr"/>
      <c r="AF232" s="10" t="inlineStr"/>
      <c r="AG232" t="inlineStr"/>
      <c r="AH232">
        <f>IF(AND(B232="",C232=""),"",IF(AND(X232&lt;&gt;"",Y232&lt;&gt;"",Z232&lt;&gt;"",AA232&lt;&gt;"",AB232="Y"),"YES","no"))</f>
        <v/>
      </c>
      <c r="AI232" s="10">
        <f>IF(AH232="YES",MAX(X232,Y232,Z232,AA232),"")</f>
        <v/>
      </c>
      <c r="AJ232">
        <f>IF(AND(B232="",C232=""),"",IF(OR(S232="Not interested",S232="Opt-out / do not contact"),"X Declined / suppressed",IF(S232="Bounced / undeliverable","X Bounced — research",IF(AC232&lt;&gt;"","13 Transacting",IF(AH232="YES","12 ACTIVATED",IF(Z232&lt;&gt;"","11 Listing live",IF(Y232&lt;&gt;"","10 Profile complete",IF(X232&lt;&gt;"","9 Approved",IF(W232&lt;&gt;"","8 KYC submitted",IF(V232&lt;&gt;"","7 Registered",IF(T232&lt;&gt;"","5 Interested",IF(R232&lt;&gt;"","4 Responded",IF(O232&lt;&gt;"","2 Contacted","1 Not yet contacted")))))))))))))</f>
        <v/>
      </c>
      <c r="AK232" s="10">
        <f>IF(AF232&lt;&gt;"",AF232,IF(OR(O232="",R232&lt;&gt;"",LEFT(AJ232,1)="X"),"",IF(Q232&lt;&gt;"","",IF(P232&lt;&gt;"",P232+SETTINGS!$B$4,O232+SETTINGS!$B$3))))</f>
        <v/>
      </c>
      <c r="AL232">
        <f>IF(AJ232="","",IF(LEFT(AJ232,1)="X","None — do not contact",IF(AJ232="1 Not yet contacted","Verify route today, then send M1",IF(AND(R232="",Q232&lt;&gt;""),"Sequence complete — no contact before "&amp;TEXT(Q232+SETTINGS!$B$5,"yyyy-mm-dd"),IF(AND(R232="",P232&lt;&gt;""),"Send final note (M4)",IF(R232="","Send follow-up (M2)",IF(AJ232="12 ACTIVATED","7-day check-in; consent &amp; referral soft ask",IF(AJ232="13 Transacting","Repeat-activity support","Onboarding: move to next stage (see playbook §6)"))))))))</f>
        <v/>
      </c>
      <c r="AM232">
        <f>IF(ISNUMBER(AK232),IF(AK232&lt;=TODAY(),"DUE",""),"")</f>
        <v/>
      </c>
      <c r="AN232">
        <f>IF(COUNT(O232,P232,Q232,R232,T232,V232,W232,X232,Y232,Z232,AA232,AC232)=0,"",TODAY()-MAX(O232,P232,Q232,R232,T232,V232,W232,X232,Y232,Z232,AA232,AC232))</f>
        <v/>
      </c>
      <c r="AO232">
        <f>IF(AJ232="","",IF(AND(T232&lt;&gt;"",U232&lt;&gt;"Active (verified)"),"GST: escalate (no tax advice)",IF(AND(IFERROR(VALUE(LEFT(AJ232,2)),0)&gt;=5,AH232&lt;&gt;"YES",ISNUMBER(AN232),AN232&gt;SETTINGS!$B$14),"STUCK in onboarding","")))</f>
        <v/>
      </c>
    </row>
    <row r="233">
      <c r="A233" t="n">
        <v>232</v>
      </c>
      <c r="B233" t="inlineStr">
        <is>
          <t>UPK2-BM-044</t>
        </is>
      </c>
      <c r="C233" t="inlineStr">
        <is>
          <t>Studio Appearance</t>
        </is>
      </c>
      <c r="D233" t="inlineStr">
        <is>
          <t>Beauty &amp; Makeup</t>
        </is>
      </c>
      <c r="E233" t="inlineStr">
        <is>
          <t>BM-STUDIO</t>
        </is>
      </c>
      <c r="F233" t="inlineStr">
        <is>
          <t>Jaipur</t>
        </is>
      </c>
      <c r="G233" t="inlineStr">
        <is>
          <t>B</t>
        </is>
      </c>
      <c r="H233" t="inlineStr">
        <is>
          <t>P0</t>
        </is>
      </c>
      <c r="I233" t="inlineStr">
        <is>
          <t>under-discovered</t>
        </is>
      </c>
      <c r="J233" t="inlineStr">
        <is>
          <t>Personal 1:1 email from founder/team to published business email</t>
        </is>
      </c>
      <c r="K233" t="inlineStr">
        <is>
          <t>https://studioappearances.com/</t>
        </is>
      </c>
      <c r="L233" t="inlineStr">
        <is>
          <t>W2 Expansion</t>
        </is>
      </c>
      <c r="M233" t="inlineStr"/>
      <c r="N233" t="inlineStr"/>
      <c r="O233" s="10" t="inlineStr"/>
      <c r="P233" s="10" t="inlineStr"/>
      <c r="Q233" s="10" t="inlineStr"/>
      <c r="R233" s="10" t="inlineStr"/>
      <c r="S233" t="inlineStr"/>
      <c r="T233" s="10" t="inlineStr"/>
      <c r="U233" t="inlineStr"/>
      <c r="V233" s="10" t="inlineStr"/>
      <c r="W233" s="10" t="inlineStr"/>
      <c r="X233" s="10" t="inlineStr"/>
      <c r="Y233" s="10" t="inlineStr"/>
      <c r="Z233" s="10" t="inlineStr"/>
      <c r="AA233" s="10" t="inlineStr"/>
      <c r="AB233" t="inlineStr"/>
      <c r="AC233" s="10" t="inlineStr"/>
      <c r="AD233" t="inlineStr"/>
      <c r="AE233" t="inlineStr"/>
      <c r="AF233" s="10" t="inlineStr"/>
      <c r="AG233" t="inlineStr"/>
      <c r="AH233">
        <f>IF(AND(B233="",C233=""),"",IF(AND(X233&lt;&gt;"",Y233&lt;&gt;"",Z233&lt;&gt;"",AA233&lt;&gt;"",AB233="Y"),"YES","no"))</f>
        <v/>
      </c>
      <c r="AI233" s="10">
        <f>IF(AH233="YES",MAX(X233,Y233,Z233,AA233),"")</f>
        <v/>
      </c>
      <c r="AJ233">
        <f>IF(AND(B233="",C233=""),"",IF(OR(S233="Not interested",S233="Opt-out / do not contact"),"X Declined / suppressed",IF(S233="Bounced / undeliverable","X Bounced — research",IF(AC233&lt;&gt;"","13 Transacting",IF(AH233="YES","12 ACTIVATED",IF(Z233&lt;&gt;"","11 Listing live",IF(Y233&lt;&gt;"","10 Profile complete",IF(X233&lt;&gt;"","9 Approved",IF(W233&lt;&gt;"","8 KYC submitted",IF(V233&lt;&gt;"","7 Registered",IF(T233&lt;&gt;"","5 Interested",IF(R233&lt;&gt;"","4 Responded",IF(O233&lt;&gt;"","2 Contacted","1 Not yet contacted")))))))))))))</f>
        <v/>
      </c>
      <c r="AK233" s="10">
        <f>IF(AF233&lt;&gt;"",AF233,IF(OR(O233="",R233&lt;&gt;"",LEFT(AJ233,1)="X"),"",IF(Q233&lt;&gt;"","",IF(P233&lt;&gt;"",P233+SETTINGS!$B$4,O233+SETTINGS!$B$3))))</f>
        <v/>
      </c>
      <c r="AL233">
        <f>IF(AJ233="","",IF(LEFT(AJ233,1)="X","None — do not contact",IF(AJ233="1 Not yet contacted","Verify route today, then send M1",IF(AND(R233="",Q233&lt;&gt;""),"Sequence complete — no contact before "&amp;TEXT(Q233+SETTINGS!$B$5,"yyyy-mm-dd"),IF(AND(R233="",P233&lt;&gt;""),"Send final note (M4)",IF(R233="","Send follow-up (M2)",IF(AJ233="12 ACTIVATED","7-day check-in; consent &amp; referral soft ask",IF(AJ233="13 Transacting","Repeat-activity support","Onboarding: move to next stage (see playbook §6)"))))))))</f>
        <v/>
      </c>
      <c r="AM233">
        <f>IF(ISNUMBER(AK233),IF(AK233&lt;=TODAY(),"DUE",""),"")</f>
        <v/>
      </c>
      <c r="AN233">
        <f>IF(COUNT(O233,P233,Q233,R233,T233,V233,W233,X233,Y233,Z233,AA233,AC233)=0,"",TODAY()-MAX(O233,P233,Q233,R233,T233,V233,W233,X233,Y233,Z233,AA233,AC233))</f>
        <v/>
      </c>
      <c r="AO233">
        <f>IF(AJ233="","",IF(AND(T233&lt;&gt;"",U233&lt;&gt;"Active (verified)"),"GST: escalate (no tax advice)",IF(AND(IFERROR(VALUE(LEFT(AJ233,2)),0)&gt;=5,AH233&lt;&gt;"YES",ISNUMBER(AN233),AN233&gt;SETTINGS!$B$14),"STUCK in onboarding","")))</f>
        <v/>
      </c>
    </row>
    <row r="234">
      <c r="A234" t="n">
        <v>233</v>
      </c>
      <c r="B234" t="inlineStr">
        <is>
          <t>UPK2-BM-064</t>
        </is>
      </c>
      <c r="C234" t="inlineStr">
        <is>
          <t>Zorain's Studio &amp; Academy</t>
        </is>
      </c>
      <c r="D234" t="inlineStr">
        <is>
          <t>Beauty &amp; Makeup</t>
        </is>
      </c>
      <c r="E234" t="inlineStr">
        <is>
          <t>BM-STUDIO</t>
        </is>
      </c>
      <c r="F234" t="inlineStr">
        <is>
          <t>Bengaluru</t>
        </is>
      </c>
      <c r="G234" t="inlineStr">
        <is>
          <t>C</t>
        </is>
      </c>
      <c r="H234" t="inlineStr">
        <is>
          <t>P0</t>
        </is>
      </c>
      <c r="I234" t="inlineStr"/>
      <c r="J234" t="inlineStr">
        <is>
          <t>Personal 1:1 email from founder/team to published business email</t>
        </is>
      </c>
      <c r="K234" t="inlineStr">
        <is>
          <t>https://zorainsstudio.com/</t>
        </is>
      </c>
      <c r="L234" t="inlineStr">
        <is>
          <t>W2 Expansion</t>
        </is>
      </c>
      <c r="M234" t="inlineStr"/>
      <c r="N234" t="inlineStr"/>
      <c r="O234" s="10" t="inlineStr"/>
      <c r="P234" s="10" t="inlineStr"/>
      <c r="Q234" s="10" t="inlineStr"/>
      <c r="R234" s="10" t="inlineStr"/>
      <c r="S234" t="inlineStr"/>
      <c r="T234" s="10" t="inlineStr"/>
      <c r="U234" t="inlineStr"/>
      <c r="V234" s="10" t="inlineStr"/>
      <c r="W234" s="10" t="inlineStr"/>
      <c r="X234" s="10" t="inlineStr"/>
      <c r="Y234" s="10" t="inlineStr"/>
      <c r="Z234" s="10" t="inlineStr"/>
      <c r="AA234" s="10" t="inlineStr"/>
      <c r="AB234" t="inlineStr"/>
      <c r="AC234" s="10" t="inlineStr"/>
      <c r="AD234" t="inlineStr"/>
      <c r="AE234" t="inlineStr"/>
      <c r="AF234" s="10" t="inlineStr"/>
      <c r="AG234" t="inlineStr"/>
      <c r="AH234">
        <f>IF(AND(B234="",C234=""),"",IF(AND(X234&lt;&gt;"",Y234&lt;&gt;"",Z234&lt;&gt;"",AA234&lt;&gt;"",AB234="Y"),"YES","no"))</f>
        <v/>
      </c>
      <c r="AI234" s="10">
        <f>IF(AH234="YES",MAX(X234,Y234,Z234,AA234),"")</f>
        <v/>
      </c>
      <c r="AJ234">
        <f>IF(AND(B234="",C234=""),"",IF(OR(S234="Not interested",S234="Opt-out / do not contact"),"X Declined / suppressed",IF(S234="Bounced / undeliverable","X Bounced — research",IF(AC234&lt;&gt;"","13 Transacting",IF(AH234="YES","12 ACTIVATED",IF(Z234&lt;&gt;"","11 Listing live",IF(Y234&lt;&gt;"","10 Profile complete",IF(X234&lt;&gt;"","9 Approved",IF(W234&lt;&gt;"","8 KYC submitted",IF(V234&lt;&gt;"","7 Registered",IF(T234&lt;&gt;"","5 Interested",IF(R234&lt;&gt;"","4 Responded",IF(O234&lt;&gt;"","2 Contacted","1 Not yet contacted")))))))))))))</f>
        <v/>
      </c>
      <c r="AK234" s="10">
        <f>IF(AF234&lt;&gt;"",AF234,IF(OR(O234="",R234&lt;&gt;"",LEFT(AJ234,1)="X"),"",IF(Q234&lt;&gt;"","",IF(P234&lt;&gt;"",P234+SETTINGS!$B$4,O234+SETTINGS!$B$3))))</f>
        <v/>
      </c>
      <c r="AL234">
        <f>IF(AJ234="","",IF(LEFT(AJ234,1)="X","None — do not contact",IF(AJ234="1 Not yet contacted","Verify route today, then send M1",IF(AND(R234="",Q234&lt;&gt;""),"Sequence complete — no contact before "&amp;TEXT(Q234+SETTINGS!$B$5,"yyyy-mm-dd"),IF(AND(R234="",P234&lt;&gt;""),"Send final note (M4)",IF(R234="","Send follow-up (M2)",IF(AJ234="12 ACTIVATED","7-day check-in; consent &amp; referral soft ask",IF(AJ234="13 Transacting","Repeat-activity support","Onboarding: move to next stage (see playbook §6)"))))))))</f>
        <v/>
      </c>
      <c r="AM234">
        <f>IF(ISNUMBER(AK234),IF(AK234&lt;=TODAY(),"DUE",""),"")</f>
        <v/>
      </c>
      <c r="AN234">
        <f>IF(COUNT(O234,P234,Q234,R234,T234,V234,W234,X234,Y234,Z234,AA234,AC234)=0,"",TODAY()-MAX(O234,P234,Q234,R234,T234,V234,W234,X234,Y234,Z234,AA234,AC234))</f>
        <v/>
      </c>
      <c r="AO234">
        <f>IF(AJ234="","",IF(AND(T234&lt;&gt;"",U234&lt;&gt;"Active (verified)"),"GST: escalate (no tax advice)",IF(AND(IFERROR(VALUE(LEFT(AJ234,2)),0)&gt;=5,AH234&lt;&gt;"YES",ISNUMBER(AN234),AN234&gt;SETTINGS!$B$14),"STUCK in onboarding","")))</f>
        <v/>
      </c>
    </row>
    <row r="235">
      <c r="A235" t="n">
        <v>234</v>
      </c>
      <c r="B235" t="inlineStr">
        <is>
          <t>UPK2-BM-036</t>
        </is>
      </c>
      <c r="C235" t="inlineStr">
        <is>
          <t>Vrunda's Beauty Maker</t>
        </is>
      </c>
      <c r="D235" t="inlineStr">
        <is>
          <t>Beauty &amp; Makeup</t>
        </is>
      </c>
      <c r="E235" t="inlineStr">
        <is>
          <t>BM-INDEPENDENT-MUA</t>
        </is>
      </c>
      <c r="F235" t="inlineStr">
        <is>
          <t>Mumbai</t>
        </is>
      </c>
      <c r="G235" t="inlineStr">
        <is>
          <t>B</t>
        </is>
      </c>
      <c r="H235" t="inlineStr">
        <is>
          <t>P0</t>
        </is>
      </c>
      <c r="I235" t="inlineStr">
        <is>
          <t>under-discovered</t>
        </is>
      </c>
      <c r="J235" t="inlineStr">
        <is>
          <t>1:1 Instagram DM from Uepaki professional account</t>
        </is>
      </c>
      <c r="K235" t="inlineStr">
        <is>
          <t>https://beautymaker.in/</t>
        </is>
      </c>
      <c r="L235" t="inlineStr">
        <is>
          <t>W2 Expansion</t>
        </is>
      </c>
      <c r="M235" t="inlineStr"/>
      <c r="N235" t="inlineStr"/>
      <c r="O235" s="10" t="inlineStr"/>
      <c r="P235" s="10" t="inlineStr"/>
      <c r="Q235" s="10" t="inlineStr"/>
      <c r="R235" s="10" t="inlineStr"/>
      <c r="S235" t="inlineStr"/>
      <c r="T235" s="10" t="inlineStr"/>
      <c r="U235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t="inlineStr"/>
      <c r="AC235" s="10" t="inlineStr"/>
      <c r="AD235" t="inlineStr"/>
      <c r="AE235" t="inlineStr"/>
      <c r="AF235" s="10" t="inlineStr"/>
      <c r="AG235" t="inlineStr"/>
      <c r="AH235">
        <f>IF(AND(B235="",C235=""),"",IF(AND(X235&lt;&gt;"",Y235&lt;&gt;"",Z235&lt;&gt;"",AA235&lt;&gt;"",AB235="Y"),"YES","no"))</f>
        <v/>
      </c>
      <c r="AI235" s="10">
        <f>IF(AH235="YES",MAX(X235,Y235,Z235,AA235),"")</f>
        <v/>
      </c>
      <c r="AJ235">
        <f>IF(AND(B235="",C235=""),"",IF(OR(S235="Not interested",S235="Opt-out / do not contact"),"X Declined / suppressed",IF(S235="Bounced / undeliverable","X Bounced — research",IF(AC235&lt;&gt;"","13 Transacting",IF(AH235="YES","12 ACTIVATED",IF(Z235&lt;&gt;"","11 Listing live",IF(Y235&lt;&gt;"","10 Profile complete",IF(X235&lt;&gt;"","9 Approved",IF(W235&lt;&gt;"","8 KYC submitted",IF(V235&lt;&gt;"","7 Registered",IF(T235&lt;&gt;"","5 Interested",IF(R235&lt;&gt;"","4 Responded",IF(O235&lt;&gt;"","2 Contacted","1 Not yet contacted")))))))))))))</f>
        <v/>
      </c>
      <c r="AK235" s="10">
        <f>IF(AF235&lt;&gt;"",AF235,IF(OR(O235="",R235&lt;&gt;"",LEFT(AJ235,1)="X"),"",IF(Q235&lt;&gt;"","",IF(P235&lt;&gt;"",P235+SETTINGS!$B$4,O235+SETTINGS!$B$3))))</f>
        <v/>
      </c>
      <c r="AL235">
        <f>IF(AJ235="","",IF(LEFT(AJ235,1)="X","None — do not contact",IF(AJ235="1 Not yet contacted","Verify route today, then send M1",IF(AND(R235="",Q235&lt;&gt;""),"Sequence complete — no contact before "&amp;TEXT(Q235+SETTINGS!$B$5,"yyyy-mm-dd"),IF(AND(R235="",P235&lt;&gt;""),"Send final note (M4)",IF(R235="","Send follow-up (M2)",IF(AJ235="12 ACTIVATED","7-day check-in; consent &amp; referral soft ask",IF(AJ235="13 Transacting","Repeat-activity support","Onboarding: move to next stage (see playbook §6)"))))))))</f>
        <v/>
      </c>
      <c r="AM235">
        <f>IF(ISNUMBER(AK235),IF(AK235&lt;=TODAY(),"DUE",""),"")</f>
        <v/>
      </c>
      <c r="AN235">
        <f>IF(COUNT(O235,P235,Q235,R235,T235,V235,W235,X235,Y235,Z235,AA235,AC235)=0,"",TODAY()-MAX(O235,P235,Q235,R235,T235,V235,W235,X235,Y235,Z235,AA235,AC235))</f>
        <v/>
      </c>
      <c r="AO235">
        <f>IF(AJ235="","",IF(AND(T235&lt;&gt;"",U235&lt;&gt;"Active (verified)"),"GST: escalate (no tax advice)",IF(AND(IFERROR(VALUE(LEFT(AJ235,2)),0)&gt;=5,AH235&lt;&gt;"YES",ISNUMBER(AN235),AN235&gt;SETTINGS!$B$14),"STUCK in onboarding","")))</f>
        <v/>
      </c>
    </row>
    <row r="236">
      <c r="A236" t="n">
        <v>235</v>
      </c>
      <c r="B236" t="inlineStr">
        <is>
          <t>UPK2-BM-028</t>
        </is>
      </c>
      <c r="C236" t="inlineStr">
        <is>
          <t>Kajol R Paswwan Makeup</t>
        </is>
      </c>
      <c r="D236" t="inlineStr">
        <is>
          <t>Beauty &amp; Makeup</t>
        </is>
      </c>
      <c r="E236" t="inlineStr">
        <is>
          <t>BM-INDEPENDENT-MUA</t>
        </is>
      </c>
      <c r="F236" t="inlineStr">
        <is>
          <t>Mumbai</t>
        </is>
      </c>
      <c r="G236" t="inlineStr">
        <is>
          <t>B</t>
        </is>
      </c>
      <c r="H236" t="inlineStr">
        <is>
          <t>P0</t>
        </is>
      </c>
      <c r="I236" t="inlineStr"/>
      <c r="J236" t="inlineStr">
        <is>
          <t>1:1 Instagram DM from Uepaki professional account</t>
        </is>
      </c>
      <c r="K236" t="inlineStr">
        <is>
          <t>https://www.instagram.com/kajolrpaswan/</t>
        </is>
      </c>
      <c r="L236" t="inlineStr">
        <is>
          <t>W2 Expansion</t>
        </is>
      </c>
      <c r="M236" t="inlineStr"/>
      <c r="N236" t="inlineStr"/>
      <c r="O236" s="10" t="inlineStr"/>
      <c r="P236" s="10" t="inlineStr"/>
      <c r="Q236" s="10" t="inlineStr"/>
      <c r="R236" s="10" t="inlineStr"/>
      <c r="S236" t="inlineStr"/>
      <c r="T236" s="10" t="inlineStr"/>
      <c r="U236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t="inlineStr"/>
      <c r="AC236" s="10" t="inlineStr"/>
      <c r="AD236" t="inlineStr"/>
      <c r="AE236" t="inlineStr"/>
      <c r="AF236" s="10" t="inlineStr"/>
      <c r="AG236" t="inlineStr"/>
      <c r="AH236">
        <f>IF(AND(B236="",C236=""),"",IF(AND(X236&lt;&gt;"",Y236&lt;&gt;"",Z236&lt;&gt;"",AA236&lt;&gt;"",AB236="Y"),"YES","no"))</f>
        <v/>
      </c>
      <c r="AI236" s="10">
        <f>IF(AH236="YES",MAX(X236,Y236,Z236,AA236),"")</f>
        <v/>
      </c>
      <c r="AJ236">
        <f>IF(AND(B236="",C236=""),"",IF(OR(S236="Not interested",S236="Opt-out / do not contact"),"X Declined / suppressed",IF(S236="Bounced / undeliverable","X Bounced — research",IF(AC236&lt;&gt;"","13 Transacting",IF(AH236="YES","12 ACTIVATED",IF(Z236&lt;&gt;"","11 Listing live",IF(Y236&lt;&gt;"","10 Profile complete",IF(X236&lt;&gt;"","9 Approved",IF(W236&lt;&gt;"","8 KYC submitted",IF(V236&lt;&gt;"","7 Registered",IF(T236&lt;&gt;"","5 Interested",IF(R236&lt;&gt;"","4 Responded",IF(O236&lt;&gt;"","2 Contacted","1 Not yet contacted")))))))))))))</f>
        <v/>
      </c>
      <c r="AK236" s="10">
        <f>IF(AF236&lt;&gt;"",AF236,IF(OR(O236="",R236&lt;&gt;"",LEFT(AJ236,1)="X"),"",IF(Q236&lt;&gt;"","",IF(P236&lt;&gt;"",P236+SETTINGS!$B$4,O236+SETTINGS!$B$3))))</f>
        <v/>
      </c>
      <c r="AL236">
        <f>IF(AJ236="","",IF(LEFT(AJ236,1)="X","None — do not contact",IF(AJ236="1 Not yet contacted","Verify route today, then send M1",IF(AND(R236="",Q236&lt;&gt;""),"Sequence complete — no contact before "&amp;TEXT(Q236+SETTINGS!$B$5,"yyyy-mm-dd"),IF(AND(R236="",P236&lt;&gt;""),"Send final note (M4)",IF(R236="","Send follow-up (M2)",IF(AJ236="12 ACTIVATED","7-day check-in; consent &amp; referral soft ask",IF(AJ236="13 Transacting","Repeat-activity support","Onboarding: move to next stage (see playbook §6)"))))))))</f>
        <v/>
      </c>
      <c r="AM236">
        <f>IF(ISNUMBER(AK236),IF(AK236&lt;=TODAY(),"DUE",""),"")</f>
        <v/>
      </c>
      <c r="AN236">
        <f>IF(COUNT(O236,P236,Q236,R236,T236,V236,W236,X236,Y236,Z236,AA236,AC236)=0,"",TODAY()-MAX(O236,P236,Q236,R236,T236,V236,W236,X236,Y236,Z236,AA236,AC236))</f>
        <v/>
      </c>
      <c r="AO236">
        <f>IF(AJ236="","",IF(AND(T236&lt;&gt;"",U236&lt;&gt;"Active (verified)"),"GST: escalate (no tax advice)",IF(AND(IFERROR(VALUE(LEFT(AJ236,2)),0)&gt;=5,AH236&lt;&gt;"YES",ISNUMBER(AN236),AN236&gt;SETTINGS!$B$14),"STUCK in onboarding","")))</f>
        <v/>
      </c>
    </row>
    <row r="237">
      <c r="A237" t="n">
        <v>236</v>
      </c>
      <c r="B237" t="inlineStr">
        <is>
          <t>UPK2-BM-031</t>
        </is>
      </c>
      <c r="C237" t="inlineStr">
        <is>
          <t>Farida's Makeovers</t>
        </is>
      </c>
      <c r="D237" t="inlineStr">
        <is>
          <t>Beauty &amp; Makeup</t>
        </is>
      </c>
      <c r="E237" t="inlineStr">
        <is>
          <t>BM-INDEPENDENT-MUA</t>
        </is>
      </c>
      <c r="F237" t="inlineStr">
        <is>
          <t>Mumbai</t>
        </is>
      </c>
      <c r="G237" t="inlineStr">
        <is>
          <t>B</t>
        </is>
      </c>
      <c r="H237" t="inlineStr">
        <is>
          <t>P0</t>
        </is>
      </c>
      <c r="I237" t="inlineStr"/>
      <c r="J237" t="inlineStr">
        <is>
          <t>1:1 Instagram DM from Uepaki professional account</t>
        </is>
      </c>
      <c r="K237" t="inlineStr">
        <is>
          <t>https://www.instagram.com/faridasmakeovers?stkn=Nmc3NXlycnE1YWNw&amp;utm_source=qr</t>
        </is>
      </c>
      <c r="L237" t="inlineStr">
        <is>
          <t>W2 Expansion</t>
        </is>
      </c>
      <c r="M237" t="inlineStr"/>
      <c r="N237" t="inlineStr"/>
      <c r="O237" s="10" t="inlineStr"/>
      <c r="P237" s="10" t="inlineStr"/>
      <c r="Q237" s="10" t="inlineStr"/>
      <c r="R237" s="10" t="inlineStr"/>
      <c r="S237" t="inlineStr"/>
      <c r="T237" s="10" t="inlineStr"/>
      <c r="U237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t="inlineStr"/>
      <c r="AC237" s="10" t="inlineStr"/>
      <c r="AD237" t="inlineStr"/>
      <c r="AE237" t="inlineStr"/>
      <c r="AF237" s="10" t="inlineStr"/>
      <c r="AG237" t="inlineStr"/>
      <c r="AH237">
        <f>IF(AND(B237="",C237=""),"",IF(AND(X237&lt;&gt;"",Y237&lt;&gt;"",Z237&lt;&gt;"",AA237&lt;&gt;"",AB237="Y"),"YES","no"))</f>
        <v/>
      </c>
      <c r="AI237" s="10">
        <f>IF(AH237="YES",MAX(X237,Y237,Z237,AA237),"")</f>
        <v/>
      </c>
      <c r="AJ237">
        <f>IF(AND(B237="",C237=""),"",IF(OR(S237="Not interested",S237="Opt-out / do not contact"),"X Declined / suppressed",IF(S237="Bounced / undeliverable","X Bounced — research",IF(AC237&lt;&gt;"","13 Transacting",IF(AH237="YES","12 ACTIVATED",IF(Z237&lt;&gt;"","11 Listing live",IF(Y237&lt;&gt;"","10 Profile complete",IF(X237&lt;&gt;"","9 Approved",IF(W237&lt;&gt;"","8 KYC submitted",IF(V237&lt;&gt;"","7 Registered",IF(T237&lt;&gt;"","5 Interested",IF(R237&lt;&gt;"","4 Responded",IF(O237&lt;&gt;"","2 Contacted","1 Not yet contacted")))))))))))))</f>
        <v/>
      </c>
      <c r="AK237" s="10">
        <f>IF(AF237&lt;&gt;"",AF237,IF(OR(O237="",R237&lt;&gt;"",LEFT(AJ237,1)="X"),"",IF(Q237&lt;&gt;"","",IF(P237&lt;&gt;"",P237+SETTINGS!$B$4,O237+SETTINGS!$B$3))))</f>
        <v/>
      </c>
      <c r="AL237">
        <f>IF(AJ237="","",IF(LEFT(AJ237,1)="X","None — do not contact",IF(AJ237="1 Not yet contacted","Verify route today, then send M1",IF(AND(R237="",Q237&lt;&gt;""),"Sequence complete — no contact before "&amp;TEXT(Q237+SETTINGS!$B$5,"yyyy-mm-dd"),IF(AND(R237="",P237&lt;&gt;""),"Send final note (M4)",IF(R237="","Send follow-up (M2)",IF(AJ237="12 ACTIVATED","7-day check-in; consent &amp; referral soft ask",IF(AJ237="13 Transacting","Repeat-activity support","Onboarding: move to next stage (see playbook §6)"))))))))</f>
        <v/>
      </c>
      <c r="AM237">
        <f>IF(ISNUMBER(AK237),IF(AK237&lt;=TODAY(),"DUE",""),"")</f>
        <v/>
      </c>
      <c r="AN237">
        <f>IF(COUNT(O237,P237,Q237,R237,T237,V237,W237,X237,Y237,Z237,AA237,AC237)=0,"",TODAY()-MAX(O237,P237,Q237,R237,T237,V237,W237,X237,Y237,Z237,AA237,AC237))</f>
        <v/>
      </c>
      <c r="AO237">
        <f>IF(AJ237="","",IF(AND(T237&lt;&gt;"",U237&lt;&gt;"Active (verified)"),"GST: escalate (no tax advice)",IF(AND(IFERROR(VALUE(LEFT(AJ237,2)),0)&gt;=5,AH237&lt;&gt;"YES",ISNUMBER(AN237),AN237&gt;SETTINGS!$B$14),"STUCK in onboarding","")))</f>
        <v/>
      </c>
    </row>
    <row r="238">
      <c r="A238" t="n">
        <v>237</v>
      </c>
      <c r="B238" t="inlineStr">
        <is>
          <t>UPK2-BM-029</t>
        </is>
      </c>
      <c r="C238" t="inlineStr">
        <is>
          <t>Richa Thakkar Makeup</t>
        </is>
      </c>
      <c r="D238" t="inlineStr">
        <is>
          <t>Beauty &amp; Makeup</t>
        </is>
      </c>
      <c r="E238" t="inlineStr">
        <is>
          <t>BM-INDEPENDENT-MUA</t>
        </is>
      </c>
      <c r="F238" t="inlineStr">
        <is>
          <t>Mumbai</t>
        </is>
      </c>
      <c r="G238" t="inlineStr">
        <is>
          <t>B</t>
        </is>
      </c>
      <c r="H238" t="inlineStr">
        <is>
          <t>P0</t>
        </is>
      </c>
      <c r="I238" t="inlineStr"/>
      <c r="J238" t="inlineStr">
        <is>
          <t>1:1 Instagram DM from Uepaki professional account</t>
        </is>
      </c>
      <c r="K238" t="inlineStr">
        <is>
          <t>https://www.instagram.com/richa_thakkar26/</t>
        </is>
      </c>
      <c r="L238" t="inlineStr">
        <is>
          <t>W2 Expansion</t>
        </is>
      </c>
      <c r="M238" t="inlineStr"/>
      <c r="N238" t="inlineStr"/>
      <c r="O238" s="10" t="inlineStr"/>
      <c r="P238" s="10" t="inlineStr"/>
      <c r="Q238" s="10" t="inlineStr"/>
      <c r="R238" s="10" t="inlineStr"/>
      <c r="S238" t="inlineStr"/>
      <c r="T238" s="10" t="inlineStr"/>
      <c r="U238" t="inlineStr"/>
      <c r="V238" s="10" t="inlineStr"/>
      <c r="W238" s="10" t="inlineStr"/>
      <c r="X238" s="10" t="inlineStr"/>
      <c r="Y238" s="10" t="inlineStr"/>
      <c r="Z238" s="10" t="inlineStr"/>
      <c r="AA238" s="10" t="inlineStr"/>
      <c r="AB238" t="inlineStr"/>
      <c r="AC238" s="10" t="inlineStr"/>
      <c r="AD238" t="inlineStr"/>
      <c r="AE238" t="inlineStr"/>
      <c r="AF238" s="10" t="inlineStr"/>
      <c r="AG238" t="inlineStr"/>
      <c r="AH238">
        <f>IF(AND(B238="",C238=""),"",IF(AND(X238&lt;&gt;"",Y238&lt;&gt;"",Z238&lt;&gt;"",AA238&lt;&gt;"",AB238="Y"),"YES","no"))</f>
        <v/>
      </c>
      <c r="AI238" s="10">
        <f>IF(AH238="YES",MAX(X238,Y238,Z238,AA238),"")</f>
        <v/>
      </c>
      <c r="AJ238">
        <f>IF(AND(B238="",C238=""),"",IF(OR(S238="Not interested",S238="Opt-out / do not contact"),"X Declined / suppressed",IF(S238="Bounced / undeliverable","X Bounced — research",IF(AC238&lt;&gt;"","13 Transacting",IF(AH238="YES","12 ACTIVATED",IF(Z238&lt;&gt;"","11 Listing live",IF(Y238&lt;&gt;"","10 Profile complete",IF(X238&lt;&gt;"","9 Approved",IF(W238&lt;&gt;"","8 KYC submitted",IF(V238&lt;&gt;"","7 Registered",IF(T238&lt;&gt;"","5 Interested",IF(R238&lt;&gt;"","4 Responded",IF(O238&lt;&gt;"","2 Contacted","1 Not yet contacted")))))))))))))</f>
        <v/>
      </c>
      <c r="AK238" s="10">
        <f>IF(AF238&lt;&gt;"",AF238,IF(OR(O238="",R238&lt;&gt;"",LEFT(AJ238,1)="X"),"",IF(Q238&lt;&gt;"","",IF(P238&lt;&gt;"",P238+SETTINGS!$B$4,O238+SETTINGS!$B$3))))</f>
        <v/>
      </c>
      <c r="AL238">
        <f>IF(AJ238="","",IF(LEFT(AJ238,1)="X","None — do not contact",IF(AJ238="1 Not yet contacted","Verify route today, then send M1",IF(AND(R238="",Q238&lt;&gt;""),"Sequence complete — no contact before "&amp;TEXT(Q238+SETTINGS!$B$5,"yyyy-mm-dd"),IF(AND(R238="",P238&lt;&gt;""),"Send final note (M4)",IF(R238="","Send follow-up (M2)",IF(AJ238="12 ACTIVATED","7-day check-in; consent &amp; referral soft ask",IF(AJ238="13 Transacting","Repeat-activity support","Onboarding: move to next stage (see playbook §6)"))))))))</f>
        <v/>
      </c>
      <c r="AM238">
        <f>IF(ISNUMBER(AK238),IF(AK238&lt;=TODAY(),"DUE",""),"")</f>
        <v/>
      </c>
      <c r="AN238">
        <f>IF(COUNT(O238,P238,Q238,R238,T238,V238,W238,X238,Y238,Z238,AA238,AC238)=0,"",TODAY()-MAX(O238,P238,Q238,R238,T238,V238,W238,X238,Y238,Z238,AA238,AC238))</f>
        <v/>
      </c>
      <c r="AO238">
        <f>IF(AJ238="","",IF(AND(T238&lt;&gt;"",U238&lt;&gt;"Active (verified)"),"GST: escalate (no tax advice)",IF(AND(IFERROR(VALUE(LEFT(AJ238,2)),0)&gt;=5,AH238&lt;&gt;"YES",ISNUMBER(AN238),AN238&gt;SETTINGS!$B$14),"STUCK in onboarding","")))</f>
        <v/>
      </c>
    </row>
    <row r="239">
      <c r="A239" t="n">
        <v>238</v>
      </c>
      <c r="B239" t="inlineStr">
        <is>
          <t>UPK2-BM-032</t>
        </is>
      </c>
      <c r="C239" t="inlineStr">
        <is>
          <t>The Lipstick Diary</t>
        </is>
      </c>
      <c r="D239" t="inlineStr">
        <is>
          <t>Beauty &amp; Makeup</t>
        </is>
      </c>
      <c r="E239" t="inlineStr">
        <is>
          <t>BM-INDEPENDENT-MUA</t>
        </is>
      </c>
      <c r="F239" t="inlineStr">
        <is>
          <t>Mumbai</t>
        </is>
      </c>
      <c r="G239" t="inlineStr">
        <is>
          <t>B</t>
        </is>
      </c>
      <c r="H239" t="inlineStr">
        <is>
          <t>P0</t>
        </is>
      </c>
      <c r="I239" t="inlineStr"/>
      <c r="J239" t="inlineStr">
        <is>
          <t>1:1 Instagram DM from Uepaki professional account</t>
        </is>
      </c>
      <c r="K239" t="inlineStr">
        <is>
          <t>https://www.instagram.com/the_lipstick_diary?igsh=Nnp0eG9heDcxb3M0</t>
        </is>
      </c>
      <c r="L239" t="inlineStr">
        <is>
          <t>W2 Expansion</t>
        </is>
      </c>
      <c r="M239" t="inlineStr"/>
      <c r="N239" t="inlineStr"/>
      <c r="O239" s="10" t="inlineStr"/>
      <c r="P239" s="10" t="inlineStr"/>
      <c r="Q239" s="10" t="inlineStr"/>
      <c r="R239" s="10" t="inlineStr"/>
      <c r="S239" t="inlineStr"/>
      <c r="T239" s="10" t="inlineStr"/>
      <c r="U239" t="inlineStr"/>
      <c r="V239" s="10" t="inlineStr"/>
      <c r="W239" s="10" t="inlineStr"/>
      <c r="X239" s="10" t="inlineStr"/>
      <c r="Y239" s="10" t="inlineStr"/>
      <c r="Z239" s="10" t="inlineStr"/>
      <c r="AA239" s="10" t="inlineStr"/>
      <c r="AB239" t="inlineStr"/>
      <c r="AC239" s="10" t="inlineStr"/>
      <c r="AD239" t="inlineStr"/>
      <c r="AE239" t="inlineStr"/>
      <c r="AF239" s="10" t="inlineStr"/>
      <c r="AG239" t="inlineStr"/>
      <c r="AH239">
        <f>IF(AND(B239="",C239=""),"",IF(AND(X239&lt;&gt;"",Y239&lt;&gt;"",Z239&lt;&gt;"",AA239&lt;&gt;"",AB239="Y"),"YES","no"))</f>
        <v/>
      </c>
      <c r="AI239" s="10">
        <f>IF(AH239="YES",MAX(X239,Y239,Z239,AA239),"")</f>
        <v/>
      </c>
      <c r="AJ239">
        <f>IF(AND(B239="",C239=""),"",IF(OR(S239="Not interested",S239="Opt-out / do not contact"),"X Declined / suppressed",IF(S239="Bounced / undeliverable","X Bounced — research",IF(AC239&lt;&gt;"","13 Transacting",IF(AH239="YES","12 ACTIVATED",IF(Z239&lt;&gt;"","11 Listing live",IF(Y239&lt;&gt;"","10 Profile complete",IF(X239&lt;&gt;"","9 Approved",IF(W239&lt;&gt;"","8 KYC submitted",IF(V239&lt;&gt;"","7 Registered",IF(T239&lt;&gt;"","5 Interested",IF(R239&lt;&gt;"","4 Responded",IF(O239&lt;&gt;"","2 Contacted","1 Not yet contacted")))))))))))))</f>
        <v/>
      </c>
      <c r="AK239" s="10">
        <f>IF(AF239&lt;&gt;"",AF239,IF(OR(O239="",R239&lt;&gt;"",LEFT(AJ239,1)="X"),"",IF(Q239&lt;&gt;"","",IF(P239&lt;&gt;"",P239+SETTINGS!$B$4,O239+SETTINGS!$B$3))))</f>
        <v/>
      </c>
      <c r="AL239">
        <f>IF(AJ239="","",IF(LEFT(AJ239,1)="X","None — do not contact",IF(AJ239="1 Not yet contacted","Verify route today, then send M1",IF(AND(R239="",Q239&lt;&gt;""),"Sequence complete — no contact before "&amp;TEXT(Q239+SETTINGS!$B$5,"yyyy-mm-dd"),IF(AND(R239="",P239&lt;&gt;""),"Send final note (M4)",IF(R239="","Send follow-up (M2)",IF(AJ239="12 ACTIVATED","7-day check-in; consent &amp; referral soft ask",IF(AJ239="13 Transacting","Repeat-activity support","Onboarding: move to next stage (see playbook §6)"))))))))</f>
        <v/>
      </c>
      <c r="AM239">
        <f>IF(ISNUMBER(AK239),IF(AK239&lt;=TODAY(),"DUE",""),"")</f>
        <v/>
      </c>
      <c r="AN239">
        <f>IF(COUNT(O239,P239,Q239,R239,T239,V239,W239,X239,Y239,Z239,AA239,AC239)=0,"",TODAY()-MAX(O239,P239,Q239,R239,T239,V239,W239,X239,Y239,Z239,AA239,AC239))</f>
        <v/>
      </c>
      <c r="AO239">
        <f>IF(AJ239="","",IF(AND(T239&lt;&gt;"",U239&lt;&gt;"Active (verified)"),"GST: escalate (no tax advice)",IF(AND(IFERROR(VALUE(LEFT(AJ239,2)),0)&gt;=5,AH239&lt;&gt;"YES",ISNUMBER(AN239),AN239&gt;SETTINGS!$B$14),"STUCK in onboarding","")))</f>
        <v/>
      </c>
    </row>
    <row r="240">
      <c r="A240" t="n">
        <v>239</v>
      </c>
      <c r="B240" t="inlineStr">
        <is>
          <t>UPK2-BM-013</t>
        </is>
      </c>
      <c r="C240" t="inlineStr">
        <is>
          <t>Makeup by Dimplle S Bathija</t>
        </is>
      </c>
      <c r="D240" t="inlineStr">
        <is>
          <t>Beauty &amp; Makeup</t>
        </is>
      </c>
      <c r="E240" t="inlineStr">
        <is>
          <t>BM-INDEPENDENT-MUA</t>
        </is>
      </c>
      <c r="F240" t="inlineStr">
        <is>
          <t>Mumbai</t>
        </is>
      </c>
      <c r="G240" t="inlineStr">
        <is>
          <t>C</t>
        </is>
      </c>
      <c r="H240" t="inlineStr">
        <is>
          <t>P1</t>
        </is>
      </c>
      <c r="I240" t="inlineStr"/>
      <c r="J240" t="inlineStr">
        <is>
          <t>1:1 Instagram DM from Uepaki professional account</t>
        </is>
      </c>
      <c r="K240" t="inlineStr">
        <is>
          <t>https://www.makeupbydimpllesbathija.com/</t>
        </is>
      </c>
      <c r="L240" t="inlineStr">
        <is>
          <t>W2 Expansion</t>
        </is>
      </c>
      <c r="M240" t="inlineStr"/>
      <c r="N240" t="inlineStr"/>
      <c r="O240" s="10" t="inlineStr"/>
      <c r="P240" s="10" t="inlineStr"/>
      <c r="Q240" s="10" t="inlineStr"/>
      <c r="R240" s="10" t="inlineStr"/>
      <c r="S240" t="inlineStr"/>
      <c r="T240" s="10" t="inlineStr"/>
      <c r="U240" t="inlineStr"/>
      <c r="V240" s="10" t="inlineStr"/>
      <c r="W240" s="10" t="inlineStr"/>
      <c r="X240" s="10" t="inlineStr"/>
      <c r="Y240" s="10" t="inlineStr"/>
      <c r="Z240" s="10" t="inlineStr"/>
      <c r="AA240" s="10" t="inlineStr"/>
      <c r="AB240" t="inlineStr"/>
      <c r="AC240" s="10" t="inlineStr"/>
      <c r="AD240" t="inlineStr"/>
      <c r="AE240" t="inlineStr"/>
      <c r="AF240" s="10" t="inlineStr"/>
      <c r="AG240" t="inlineStr"/>
      <c r="AH240">
        <f>IF(AND(B240="",C240=""),"",IF(AND(X240&lt;&gt;"",Y240&lt;&gt;"",Z240&lt;&gt;"",AA240&lt;&gt;"",AB240="Y"),"YES","no"))</f>
        <v/>
      </c>
      <c r="AI240" s="10">
        <f>IF(AH240="YES",MAX(X240,Y240,Z240,AA240),"")</f>
        <v/>
      </c>
      <c r="AJ240">
        <f>IF(AND(B240="",C240=""),"",IF(OR(S240="Not interested",S240="Opt-out / do not contact"),"X Declined / suppressed",IF(S240="Bounced / undeliverable","X Bounced — research",IF(AC240&lt;&gt;"","13 Transacting",IF(AH240="YES","12 ACTIVATED",IF(Z240&lt;&gt;"","11 Listing live",IF(Y240&lt;&gt;"","10 Profile complete",IF(X240&lt;&gt;"","9 Approved",IF(W240&lt;&gt;"","8 KYC submitted",IF(V240&lt;&gt;"","7 Registered",IF(T240&lt;&gt;"","5 Interested",IF(R240&lt;&gt;"","4 Responded",IF(O240&lt;&gt;"","2 Contacted","1 Not yet contacted")))))))))))))</f>
        <v/>
      </c>
      <c r="AK240" s="10">
        <f>IF(AF240&lt;&gt;"",AF240,IF(OR(O240="",R240&lt;&gt;"",LEFT(AJ240,1)="X"),"",IF(Q240&lt;&gt;"","",IF(P240&lt;&gt;"",P240+SETTINGS!$B$4,O240+SETTINGS!$B$3))))</f>
        <v/>
      </c>
      <c r="AL240">
        <f>IF(AJ240="","",IF(LEFT(AJ240,1)="X","None — do not contact",IF(AJ240="1 Not yet contacted","Verify route today, then send M1",IF(AND(R240="",Q240&lt;&gt;""),"Sequence complete — no contact before "&amp;TEXT(Q240+SETTINGS!$B$5,"yyyy-mm-dd"),IF(AND(R240="",P240&lt;&gt;""),"Send final note (M4)",IF(R240="","Send follow-up (M2)",IF(AJ240="12 ACTIVATED","7-day check-in; consent &amp; referral soft ask",IF(AJ240="13 Transacting","Repeat-activity support","Onboarding: move to next stage (see playbook §6)"))))))))</f>
        <v/>
      </c>
      <c r="AM240">
        <f>IF(ISNUMBER(AK240),IF(AK240&lt;=TODAY(),"DUE",""),"")</f>
        <v/>
      </c>
      <c r="AN240">
        <f>IF(COUNT(O240,P240,Q240,R240,T240,V240,W240,X240,Y240,Z240,AA240,AC240)=0,"",TODAY()-MAX(O240,P240,Q240,R240,T240,V240,W240,X240,Y240,Z240,AA240,AC240))</f>
        <v/>
      </c>
      <c r="AO240">
        <f>IF(AJ240="","",IF(AND(T240&lt;&gt;"",U240&lt;&gt;"Active (verified)"),"GST: escalate (no tax advice)",IF(AND(IFERROR(VALUE(LEFT(AJ240,2)),0)&gt;=5,AH240&lt;&gt;"YES",ISNUMBER(AN240),AN240&gt;SETTINGS!$B$14),"STUCK in onboarding","")))</f>
        <v/>
      </c>
    </row>
    <row r="241">
      <c r="A241" t="n">
        <v>240</v>
      </c>
      <c r="B241" t="inlineStr">
        <is>
          <t>UPK2-BM-021</t>
        </is>
      </c>
      <c r="C241" t="inlineStr">
        <is>
          <t>Brides by Sabahat</t>
        </is>
      </c>
      <c r="D241" t="inlineStr">
        <is>
          <t>Beauty &amp; Makeup</t>
        </is>
      </c>
      <c r="E241" t="inlineStr">
        <is>
          <t>BM-INDEPENDENT-MUA</t>
        </is>
      </c>
      <c r="F241" t="inlineStr">
        <is>
          <t>Mumbai</t>
        </is>
      </c>
      <c r="G241" t="inlineStr">
        <is>
          <t>C</t>
        </is>
      </c>
      <c r="H241" t="inlineStr">
        <is>
          <t>P0</t>
        </is>
      </c>
      <c r="I241" t="inlineStr"/>
      <c r="J241" t="inlineStr">
        <is>
          <t>1:1 Instagram DM from Uepaki professional account</t>
        </is>
      </c>
      <c r="K241" t="inlineStr">
        <is>
          <t>https://www.instagram.com/bridesbysabahat?igsh=MWl6eTh0cm1kOHZ0Mg%3D%3D&amp;utm_source=qr</t>
        </is>
      </c>
      <c r="L241" t="inlineStr">
        <is>
          <t>W2 Expansion</t>
        </is>
      </c>
      <c r="M241" t="inlineStr"/>
      <c r="N241" t="inlineStr"/>
      <c r="O241" s="10" t="inlineStr"/>
      <c r="P241" s="10" t="inlineStr"/>
      <c r="Q241" s="10" t="inlineStr"/>
      <c r="R241" s="10" t="inlineStr"/>
      <c r="S241" t="inlineStr"/>
      <c r="T241" s="10" t="inlineStr"/>
      <c r="U241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t="inlineStr"/>
      <c r="AC241" s="10" t="inlineStr"/>
      <c r="AD241" t="inlineStr"/>
      <c r="AE241" t="inlineStr"/>
      <c r="AF241" s="10" t="inlineStr"/>
      <c r="AG241" t="inlineStr"/>
      <c r="AH241">
        <f>IF(AND(B241="",C241=""),"",IF(AND(X241&lt;&gt;"",Y241&lt;&gt;"",Z241&lt;&gt;"",AA241&lt;&gt;"",AB241="Y"),"YES","no"))</f>
        <v/>
      </c>
      <c r="AI241" s="10">
        <f>IF(AH241="YES",MAX(X241,Y241,Z241,AA241),"")</f>
        <v/>
      </c>
      <c r="AJ241">
        <f>IF(AND(B241="",C241=""),"",IF(OR(S241="Not interested",S241="Opt-out / do not contact"),"X Declined / suppressed",IF(S241="Bounced / undeliverable","X Bounced — research",IF(AC241&lt;&gt;"","13 Transacting",IF(AH241="YES","12 ACTIVATED",IF(Z241&lt;&gt;"","11 Listing live",IF(Y241&lt;&gt;"","10 Profile complete",IF(X241&lt;&gt;"","9 Approved",IF(W241&lt;&gt;"","8 KYC submitted",IF(V241&lt;&gt;"","7 Registered",IF(T241&lt;&gt;"","5 Interested",IF(R241&lt;&gt;"","4 Responded",IF(O241&lt;&gt;"","2 Contacted","1 Not yet contacted")))))))))))))</f>
        <v/>
      </c>
      <c r="AK241" s="10">
        <f>IF(AF241&lt;&gt;"",AF241,IF(OR(O241="",R241&lt;&gt;"",LEFT(AJ241,1)="X"),"",IF(Q241&lt;&gt;"","",IF(P241&lt;&gt;"",P241+SETTINGS!$B$4,O241+SETTINGS!$B$3))))</f>
        <v/>
      </c>
      <c r="AL241">
        <f>IF(AJ241="","",IF(LEFT(AJ241,1)="X","None — do not contact",IF(AJ241="1 Not yet contacted","Verify route today, then send M1",IF(AND(R241="",Q241&lt;&gt;""),"Sequence complete — no contact before "&amp;TEXT(Q241+SETTINGS!$B$5,"yyyy-mm-dd"),IF(AND(R241="",P241&lt;&gt;""),"Send final note (M4)",IF(R241="","Send follow-up (M2)",IF(AJ241="12 ACTIVATED","7-day check-in; consent &amp; referral soft ask",IF(AJ241="13 Transacting","Repeat-activity support","Onboarding: move to next stage (see playbook §6)"))))))))</f>
        <v/>
      </c>
      <c r="AM241">
        <f>IF(ISNUMBER(AK241),IF(AK241&lt;=TODAY(),"DUE",""),"")</f>
        <v/>
      </c>
      <c r="AN241">
        <f>IF(COUNT(O241,P241,Q241,R241,T241,V241,W241,X241,Y241,Z241,AA241,AC241)=0,"",TODAY()-MAX(O241,P241,Q241,R241,T241,V241,W241,X241,Y241,Z241,AA241,AC241))</f>
        <v/>
      </c>
      <c r="AO241">
        <f>IF(AJ241="","",IF(AND(T241&lt;&gt;"",U241&lt;&gt;"Active (verified)"),"GST: escalate (no tax advice)",IF(AND(IFERROR(VALUE(LEFT(AJ241,2)),0)&gt;=5,AH241&lt;&gt;"YES",ISNUMBER(AN241),AN241&gt;SETTINGS!$B$14),"STUCK in onboarding","")))</f>
        <v/>
      </c>
    </row>
    <row r="242">
      <c r="A242" t="n">
        <v>241</v>
      </c>
      <c r="B242" t="inlineStr">
        <is>
          <t>UPK2-BM-067</t>
        </is>
      </c>
      <c r="C242" t="inlineStr">
        <is>
          <t>Makeup by Chandni Doshi</t>
        </is>
      </c>
      <c r="D242" t="inlineStr">
        <is>
          <t>Beauty &amp; Makeup</t>
        </is>
      </c>
      <c r="E242" t="inlineStr">
        <is>
          <t>BM-INDEPENDENT-MUA</t>
        </is>
      </c>
      <c r="F242" t="inlineStr">
        <is>
          <t>Mumbai</t>
        </is>
      </c>
      <c r="G242" t="inlineStr">
        <is>
          <t>B</t>
        </is>
      </c>
      <c r="H242" t="inlineStr">
        <is>
          <t>P0</t>
        </is>
      </c>
      <c r="I242" t="inlineStr"/>
      <c r="J242" t="inlineStr">
        <is>
          <t>1:1 Instagram DM from Uepaki professional account</t>
        </is>
      </c>
      <c r="K242" t="inlineStr">
        <is>
          <t>https://www.instagram.com/makeup_chandnidoshi?igsh=MXJsZmNyZG9sZDV5NQ%3D%3D&amp;utm_source=qr</t>
        </is>
      </c>
      <c r="L242" t="inlineStr">
        <is>
          <t>W2 Expansion</t>
        </is>
      </c>
      <c r="M242" t="inlineStr"/>
      <c r="N242" t="inlineStr"/>
      <c r="O242" s="10" t="inlineStr"/>
      <c r="P242" s="10" t="inlineStr"/>
      <c r="Q242" s="10" t="inlineStr"/>
      <c r="R242" s="10" t="inlineStr"/>
      <c r="S242" t="inlineStr"/>
      <c r="T242" s="10" t="inlineStr"/>
      <c r="U242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t="inlineStr"/>
      <c r="AC242" s="10" t="inlineStr"/>
      <c r="AD242" t="inlineStr"/>
      <c r="AE242" t="inlineStr"/>
      <c r="AF242" s="10" t="inlineStr"/>
      <c r="AG242" t="inlineStr"/>
      <c r="AH242">
        <f>IF(AND(B242="",C242=""),"",IF(AND(X242&lt;&gt;"",Y242&lt;&gt;"",Z242&lt;&gt;"",AA242&lt;&gt;"",AB242="Y"),"YES","no"))</f>
        <v/>
      </c>
      <c r="AI242" s="10">
        <f>IF(AH242="YES",MAX(X242,Y242,Z242,AA242),"")</f>
        <v/>
      </c>
      <c r="AJ242">
        <f>IF(AND(B242="",C242=""),"",IF(OR(S242="Not interested",S242="Opt-out / do not contact"),"X Declined / suppressed",IF(S242="Bounced / undeliverable","X Bounced — research",IF(AC242&lt;&gt;"","13 Transacting",IF(AH242="YES","12 ACTIVATED",IF(Z242&lt;&gt;"","11 Listing live",IF(Y242&lt;&gt;"","10 Profile complete",IF(X242&lt;&gt;"","9 Approved",IF(W242&lt;&gt;"","8 KYC submitted",IF(V242&lt;&gt;"","7 Registered",IF(T242&lt;&gt;"","5 Interested",IF(R242&lt;&gt;"","4 Responded",IF(O242&lt;&gt;"","2 Contacted","1 Not yet contacted")))))))))))))</f>
        <v/>
      </c>
      <c r="AK242" s="10">
        <f>IF(AF242&lt;&gt;"",AF242,IF(OR(O242="",R242&lt;&gt;"",LEFT(AJ242,1)="X"),"",IF(Q242&lt;&gt;"","",IF(P242&lt;&gt;"",P242+SETTINGS!$B$4,O242+SETTINGS!$B$3))))</f>
        <v/>
      </c>
      <c r="AL242">
        <f>IF(AJ242="","",IF(LEFT(AJ242,1)="X","None — do not contact",IF(AJ242="1 Not yet contacted","Verify route today, then send M1",IF(AND(R242="",Q242&lt;&gt;""),"Sequence complete — no contact before "&amp;TEXT(Q242+SETTINGS!$B$5,"yyyy-mm-dd"),IF(AND(R242="",P242&lt;&gt;""),"Send final note (M4)",IF(R242="","Send follow-up (M2)",IF(AJ242="12 ACTIVATED","7-day check-in; consent &amp; referral soft ask",IF(AJ242="13 Transacting","Repeat-activity support","Onboarding: move to next stage (see playbook §6)"))))))))</f>
        <v/>
      </c>
      <c r="AM242">
        <f>IF(ISNUMBER(AK242),IF(AK242&lt;=TODAY(),"DUE",""),"")</f>
        <v/>
      </c>
      <c r="AN242">
        <f>IF(COUNT(O242,P242,Q242,R242,T242,V242,W242,X242,Y242,Z242,AA242,AC242)=0,"",TODAY()-MAX(O242,P242,Q242,R242,T242,V242,W242,X242,Y242,Z242,AA242,AC242))</f>
        <v/>
      </c>
      <c r="AO242">
        <f>IF(AJ242="","",IF(AND(T242&lt;&gt;"",U242&lt;&gt;"Active (verified)"),"GST: escalate (no tax advice)",IF(AND(IFERROR(VALUE(LEFT(AJ242,2)),0)&gt;=5,AH242&lt;&gt;"YES",ISNUMBER(AN242),AN242&gt;SETTINGS!$B$14),"STUCK in onboarding","")))</f>
        <v/>
      </c>
    </row>
    <row r="243">
      <c r="A243" t="n">
        <v>242</v>
      </c>
      <c r="B243" t="inlineStr">
        <is>
          <t>UPK-BM-009</t>
        </is>
      </c>
      <c r="C243" t="inlineStr">
        <is>
          <t>Chhaya Shankar Makeovers</t>
        </is>
      </c>
      <c r="D243" t="inlineStr">
        <is>
          <t>Beauty &amp; Makeup</t>
        </is>
      </c>
      <c r="E243" t="inlineStr">
        <is>
          <t>BM-STUDIO</t>
        </is>
      </c>
      <c r="F243" t="inlineStr">
        <is>
          <t>Jaipur</t>
        </is>
      </c>
      <c r="G243" t="inlineStr">
        <is>
          <t>B</t>
        </is>
      </c>
      <c r="H243" t="inlineStr">
        <is>
          <t>P1</t>
        </is>
      </c>
      <c r="I243" t="inlineStr"/>
      <c r="J243" t="inlineStr">
        <is>
          <t>1:1 message via own-website contact form</t>
        </is>
      </c>
      <c r="K243" t="inlineStr">
        <is>
          <t>https://chhayashankar.com/contact</t>
        </is>
      </c>
      <c r="L243" t="inlineStr">
        <is>
          <t>W2 Expansion</t>
        </is>
      </c>
      <c r="M243" t="inlineStr"/>
      <c r="N243" t="inlineStr"/>
      <c r="O243" s="10" t="inlineStr"/>
      <c r="P243" s="10" t="inlineStr"/>
      <c r="Q243" s="10" t="inlineStr"/>
      <c r="R243" s="10" t="inlineStr"/>
      <c r="S243" t="inlineStr"/>
      <c r="T243" s="10" t="inlineStr"/>
      <c r="U243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t="inlineStr"/>
      <c r="AC243" s="10" t="inlineStr"/>
      <c r="AD243" t="inlineStr"/>
      <c r="AE243" t="inlineStr"/>
      <c r="AF243" s="10" t="inlineStr"/>
      <c r="AG243" t="inlineStr"/>
      <c r="AH243">
        <f>IF(AND(B243="",C243=""),"",IF(AND(X243&lt;&gt;"",Y243&lt;&gt;"",Z243&lt;&gt;"",AA243&lt;&gt;"",AB243="Y"),"YES","no"))</f>
        <v/>
      </c>
      <c r="AI243" s="10">
        <f>IF(AH243="YES",MAX(X243,Y243,Z243,AA243),"")</f>
        <v/>
      </c>
      <c r="AJ243">
        <f>IF(AND(B243="",C243=""),"",IF(OR(S243="Not interested",S243="Opt-out / do not contact"),"X Declined / suppressed",IF(S243="Bounced / undeliverable","X Bounced — research",IF(AC243&lt;&gt;"","13 Transacting",IF(AH243="YES","12 ACTIVATED",IF(Z243&lt;&gt;"","11 Listing live",IF(Y243&lt;&gt;"","10 Profile complete",IF(X243&lt;&gt;"","9 Approved",IF(W243&lt;&gt;"","8 KYC submitted",IF(V243&lt;&gt;"","7 Registered",IF(T243&lt;&gt;"","5 Interested",IF(R243&lt;&gt;"","4 Responded",IF(O243&lt;&gt;"","2 Contacted","1 Not yet contacted")))))))))))))</f>
        <v/>
      </c>
      <c r="AK243" s="10">
        <f>IF(AF243&lt;&gt;"",AF243,IF(OR(O243="",R243&lt;&gt;"",LEFT(AJ243,1)="X"),"",IF(Q243&lt;&gt;"","",IF(P243&lt;&gt;"",P243+SETTINGS!$B$4,O243+SETTINGS!$B$3))))</f>
        <v/>
      </c>
      <c r="AL243">
        <f>IF(AJ243="","",IF(LEFT(AJ243,1)="X","None — do not contact",IF(AJ243="1 Not yet contacted","Verify route today, then send M1",IF(AND(R243="",Q243&lt;&gt;""),"Sequence complete — no contact before "&amp;TEXT(Q243+SETTINGS!$B$5,"yyyy-mm-dd"),IF(AND(R243="",P243&lt;&gt;""),"Send final note (M4)",IF(R243="","Send follow-up (M2)",IF(AJ243="12 ACTIVATED","7-day check-in; consent &amp; referral soft ask",IF(AJ243="13 Transacting","Repeat-activity support","Onboarding: move to next stage (see playbook §6)"))))))))</f>
        <v/>
      </c>
      <c r="AM243">
        <f>IF(ISNUMBER(AK243),IF(AK243&lt;=TODAY(),"DUE",""),"")</f>
        <v/>
      </c>
      <c r="AN243">
        <f>IF(COUNT(O243,P243,Q243,R243,T243,V243,W243,X243,Y243,Z243,AA243,AC243)=0,"",TODAY()-MAX(O243,P243,Q243,R243,T243,V243,W243,X243,Y243,Z243,AA243,AC243))</f>
        <v/>
      </c>
      <c r="AO243">
        <f>IF(AJ243="","",IF(AND(T243&lt;&gt;"",U243&lt;&gt;"Active (verified)"),"GST: escalate (no tax advice)",IF(AND(IFERROR(VALUE(LEFT(AJ243,2)),0)&gt;=5,AH243&lt;&gt;"YES",ISNUMBER(AN243),AN243&gt;SETTINGS!$B$14),"STUCK in onboarding","")))</f>
        <v/>
      </c>
    </row>
    <row r="244">
      <c r="A244" t="n">
        <v>243</v>
      </c>
      <c r="B244" t="inlineStr">
        <is>
          <t>UPK2-BM-394</t>
        </is>
      </c>
      <c r="C244" t="inlineStr">
        <is>
          <t>Satish Mehandi Art</t>
        </is>
      </c>
      <c r="D244" t="inlineStr">
        <is>
          <t>Beauty &amp; Makeup</t>
        </is>
      </c>
      <c r="E244" t="inlineStr">
        <is>
          <t>BM-MEHENDI</t>
        </is>
      </c>
      <c r="F244" t="inlineStr">
        <is>
          <t>Delhi NCR</t>
        </is>
      </c>
      <c r="G244" t="inlineStr">
        <is>
          <t>C</t>
        </is>
      </c>
      <c r="H244" t="inlineStr">
        <is>
          <t>P0</t>
        </is>
      </c>
      <c r="I244" t="inlineStr"/>
      <c r="J244" t="inlineStr">
        <is>
          <t>1:1 Instagram DM from Uepaki professional account</t>
        </is>
      </c>
      <c r="K244" t="inlineStr">
        <is>
          <t>https://satishmehandiart.in/</t>
        </is>
      </c>
      <c r="L244" t="inlineStr">
        <is>
          <t>W2 Expansion</t>
        </is>
      </c>
      <c r="M244" t="inlineStr"/>
      <c r="N244" t="inlineStr"/>
      <c r="O244" s="10" t="inlineStr"/>
      <c r="P244" s="10" t="inlineStr"/>
      <c r="Q244" s="10" t="inlineStr"/>
      <c r="R244" s="10" t="inlineStr"/>
      <c r="S244" t="inlineStr"/>
      <c r="T244" s="10" t="inlineStr"/>
      <c r="U244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t="inlineStr"/>
      <c r="AC244" s="10" t="inlineStr"/>
      <c r="AD244" t="inlineStr"/>
      <c r="AE244" t="inlineStr"/>
      <c r="AF244" s="10" t="inlineStr"/>
      <c r="AG244" t="inlineStr"/>
      <c r="AH244">
        <f>IF(AND(B244="",C244=""),"",IF(AND(X244&lt;&gt;"",Y244&lt;&gt;"",Z244&lt;&gt;"",AA244&lt;&gt;"",AB244="Y"),"YES","no"))</f>
        <v/>
      </c>
      <c r="AI244" s="10">
        <f>IF(AH244="YES",MAX(X244,Y244,Z244,AA244),"")</f>
        <v/>
      </c>
      <c r="AJ244">
        <f>IF(AND(B244="",C244=""),"",IF(OR(S244="Not interested",S244="Opt-out / do not contact"),"X Declined / suppressed",IF(S244="Bounced / undeliverable","X Bounced — research",IF(AC244&lt;&gt;"","13 Transacting",IF(AH244="YES","12 ACTIVATED",IF(Z244&lt;&gt;"","11 Listing live",IF(Y244&lt;&gt;"","10 Profile complete",IF(X244&lt;&gt;"","9 Approved",IF(W244&lt;&gt;"","8 KYC submitted",IF(V244&lt;&gt;"","7 Registered",IF(T244&lt;&gt;"","5 Interested",IF(R244&lt;&gt;"","4 Responded",IF(O244&lt;&gt;"","2 Contacted","1 Not yet contacted")))))))))))))</f>
        <v/>
      </c>
      <c r="AK244" s="10">
        <f>IF(AF244&lt;&gt;"",AF244,IF(OR(O244="",R244&lt;&gt;"",LEFT(AJ244,1)="X"),"",IF(Q244&lt;&gt;"","",IF(P244&lt;&gt;"",P244+SETTINGS!$B$4,O244+SETTINGS!$B$3))))</f>
        <v/>
      </c>
      <c r="AL244">
        <f>IF(AJ244="","",IF(LEFT(AJ244,1)="X","None — do not contact",IF(AJ244="1 Not yet contacted","Verify route today, then send M1",IF(AND(R244="",Q244&lt;&gt;""),"Sequence complete — no contact before "&amp;TEXT(Q244+SETTINGS!$B$5,"yyyy-mm-dd"),IF(AND(R244="",P244&lt;&gt;""),"Send final note (M4)",IF(R244="","Send follow-up (M2)",IF(AJ244="12 ACTIVATED","7-day check-in; consent &amp; referral soft ask",IF(AJ244="13 Transacting","Repeat-activity support","Onboarding: move to next stage (see playbook §6)"))))))))</f>
        <v/>
      </c>
      <c r="AM244">
        <f>IF(ISNUMBER(AK244),IF(AK244&lt;=TODAY(),"DUE",""),"")</f>
        <v/>
      </c>
      <c r="AN244">
        <f>IF(COUNT(O244,P244,Q244,R244,T244,V244,W244,X244,Y244,Z244,AA244,AC244)=0,"",TODAY()-MAX(O244,P244,Q244,R244,T244,V244,W244,X244,Y244,Z244,AA244,AC244))</f>
        <v/>
      </c>
      <c r="AO244">
        <f>IF(AJ244="","",IF(AND(T244&lt;&gt;"",U244&lt;&gt;"Active (verified)"),"GST: escalate (no tax advice)",IF(AND(IFERROR(VALUE(LEFT(AJ244,2)),0)&gt;=5,AH244&lt;&gt;"YES",ISNUMBER(AN244),AN244&gt;SETTINGS!$B$14),"STUCK in onboarding","")))</f>
        <v/>
      </c>
    </row>
    <row r="245">
      <c r="A245" t="n">
        <v>244</v>
      </c>
      <c r="B245" t="inlineStr">
        <is>
          <t>UPK2-BM-030</t>
        </is>
      </c>
      <c r="C245" t="inlineStr">
        <is>
          <t>Kirti Gandhi Makeup</t>
        </is>
      </c>
      <c r="D245" t="inlineStr">
        <is>
          <t>Beauty &amp; Makeup</t>
        </is>
      </c>
      <c r="E245" t="inlineStr">
        <is>
          <t>BM-INDEPENDENT-MUA</t>
        </is>
      </c>
      <c r="F245" t="inlineStr">
        <is>
          <t>Mumbai</t>
        </is>
      </c>
      <c r="G245" t="inlineStr">
        <is>
          <t>B</t>
        </is>
      </c>
      <c r="H245" t="inlineStr">
        <is>
          <t>P0</t>
        </is>
      </c>
      <c r="I245" t="inlineStr"/>
      <c r="J245" t="inlineStr">
        <is>
          <t>1:1 Instagram DM from Uepaki professional account</t>
        </is>
      </c>
      <c r="K245" t="inlineStr">
        <is>
          <t>https://www.instagram.com/KirtiGokalgandhi/</t>
        </is>
      </c>
      <c r="L245" t="inlineStr">
        <is>
          <t>W2 Expansion</t>
        </is>
      </c>
      <c r="M245" t="inlineStr"/>
      <c r="N245" t="inlineStr"/>
      <c r="O245" s="10" t="inlineStr"/>
      <c r="P245" s="10" t="inlineStr"/>
      <c r="Q245" s="10" t="inlineStr"/>
      <c r="R245" s="10" t="inlineStr"/>
      <c r="S245" t="inlineStr"/>
      <c r="T245" s="10" t="inlineStr"/>
      <c r="U245" t="inlineStr"/>
      <c r="V245" s="10" t="inlineStr"/>
      <c r="W245" s="10" t="inlineStr"/>
      <c r="X245" s="10" t="inlineStr"/>
      <c r="Y245" s="10" t="inlineStr"/>
      <c r="Z245" s="10" t="inlineStr"/>
      <c r="AA245" s="10" t="inlineStr"/>
      <c r="AB245" t="inlineStr"/>
      <c r="AC245" s="10" t="inlineStr"/>
      <c r="AD245" t="inlineStr"/>
      <c r="AE245" t="inlineStr"/>
      <c r="AF245" s="10" t="inlineStr"/>
      <c r="AG245" t="inlineStr"/>
      <c r="AH245">
        <f>IF(AND(B245="",C245=""),"",IF(AND(X245&lt;&gt;"",Y245&lt;&gt;"",Z245&lt;&gt;"",AA245&lt;&gt;"",AB245="Y"),"YES","no"))</f>
        <v/>
      </c>
      <c r="AI245" s="10">
        <f>IF(AH245="YES",MAX(X245,Y245,Z245,AA245),"")</f>
        <v/>
      </c>
      <c r="AJ245">
        <f>IF(AND(B245="",C245=""),"",IF(OR(S245="Not interested",S245="Opt-out / do not contact"),"X Declined / suppressed",IF(S245="Bounced / undeliverable","X Bounced — research",IF(AC245&lt;&gt;"","13 Transacting",IF(AH245="YES","12 ACTIVATED",IF(Z245&lt;&gt;"","11 Listing live",IF(Y245&lt;&gt;"","10 Profile complete",IF(X245&lt;&gt;"","9 Approved",IF(W245&lt;&gt;"","8 KYC submitted",IF(V245&lt;&gt;"","7 Registered",IF(T245&lt;&gt;"","5 Interested",IF(R245&lt;&gt;"","4 Responded",IF(O245&lt;&gt;"","2 Contacted","1 Not yet contacted")))))))))))))</f>
        <v/>
      </c>
      <c r="AK245" s="10">
        <f>IF(AF245&lt;&gt;"",AF245,IF(OR(O245="",R245&lt;&gt;"",LEFT(AJ245,1)="X"),"",IF(Q245&lt;&gt;"","",IF(P245&lt;&gt;"",P245+SETTINGS!$B$4,O245+SETTINGS!$B$3))))</f>
        <v/>
      </c>
      <c r="AL245">
        <f>IF(AJ245="","",IF(LEFT(AJ245,1)="X","None — do not contact",IF(AJ245="1 Not yet contacted","Verify route today, then send M1",IF(AND(R245="",Q245&lt;&gt;""),"Sequence complete — no contact before "&amp;TEXT(Q245+SETTINGS!$B$5,"yyyy-mm-dd"),IF(AND(R245="",P245&lt;&gt;""),"Send final note (M4)",IF(R245="","Send follow-up (M2)",IF(AJ245="12 ACTIVATED","7-day check-in; consent &amp; referral soft ask",IF(AJ245="13 Transacting","Repeat-activity support","Onboarding: move to next stage (see playbook §6)"))))))))</f>
        <v/>
      </c>
      <c r="AM245">
        <f>IF(ISNUMBER(AK245),IF(AK245&lt;=TODAY(),"DUE",""),"")</f>
        <v/>
      </c>
      <c r="AN245">
        <f>IF(COUNT(O245,P245,Q245,R245,T245,V245,W245,X245,Y245,Z245,AA245,AC245)=0,"",TODAY()-MAX(O245,P245,Q245,R245,T245,V245,W245,X245,Y245,Z245,AA245,AC245))</f>
        <v/>
      </c>
      <c r="AO245">
        <f>IF(AJ245="","",IF(AND(T245&lt;&gt;"",U245&lt;&gt;"Active (verified)"),"GST: escalate (no tax advice)",IF(AND(IFERROR(VALUE(LEFT(AJ245,2)),0)&gt;=5,AH245&lt;&gt;"YES",ISNUMBER(AN245),AN245&gt;SETTINGS!$B$14),"STUCK in onboarding","")))</f>
        <v/>
      </c>
    </row>
    <row r="246">
      <c r="A246" t="n">
        <v>245</v>
      </c>
      <c r="B246" t="inlineStr">
        <is>
          <t>UPK2-BM-114</t>
        </is>
      </c>
      <c r="C246" t="inlineStr">
        <is>
          <t>Silverine Salon</t>
        </is>
      </c>
      <c r="D246" t="inlineStr">
        <is>
          <t>Beauty &amp; Makeup</t>
        </is>
      </c>
      <c r="E246" t="inlineStr">
        <is>
          <t>BM-STUDIO</t>
        </is>
      </c>
      <c r="F246" t="inlineStr">
        <is>
          <t>Jaipur</t>
        </is>
      </c>
      <c r="G246" t="inlineStr">
        <is>
          <t>B</t>
        </is>
      </c>
      <c r="H246" t="inlineStr">
        <is>
          <t>P1</t>
        </is>
      </c>
      <c r="I246" t="inlineStr"/>
      <c r="J246" t="inlineStr">
        <is>
          <t>Personal 1:1 email from founder/team to published business email</t>
        </is>
      </c>
      <c r="K246" t="inlineStr">
        <is>
          <t>https://silverinesalon.in/</t>
        </is>
      </c>
      <c r="L246" t="inlineStr">
        <is>
          <t>W2 Expansion</t>
        </is>
      </c>
      <c r="M246" t="inlineStr"/>
      <c r="N246" t="inlineStr"/>
      <c r="O246" s="10" t="inlineStr"/>
      <c r="P246" s="10" t="inlineStr"/>
      <c r="Q246" s="10" t="inlineStr"/>
      <c r="R246" s="10" t="inlineStr"/>
      <c r="S246" t="inlineStr"/>
      <c r="T246" s="10" t="inlineStr"/>
      <c r="U246" t="inlineStr"/>
      <c r="V246" s="10" t="inlineStr"/>
      <c r="W246" s="10" t="inlineStr"/>
      <c r="X246" s="10" t="inlineStr"/>
      <c r="Y246" s="10" t="inlineStr"/>
      <c r="Z246" s="10" t="inlineStr"/>
      <c r="AA246" s="10" t="inlineStr"/>
      <c r="AB246" t="inlineStr"/>
      <c r="AC246" s="10" t="inlineStr"/>
      <c r="AD246" t="inlineStr"/>
      <c r="AE246" t="inlineStr"/>
      <c r="AF246" s="10" t="inlineStr"/>
      <c r="AG246" t="inlineStr"/>
      <c r="AH246">
        <f>IF(AND(B246="",C246=""),"",IF(AND(X246&lt;&gt;"",Y246&lt;&gt;"",Z246&lt;&gt;"",AA246&lt;&gt;"",AB246="Y"),"YES","no"))</f>
        <v/>
      </c>
      <c r="AI246" s="10">
        <f>IF(AH246="YES",MAX(X246,Y246,Z246,AA246),"")</f>
        <v/>
      </c>
      <c r="AJ246">
        <f>IF(AND(B246="",C246=""),"",IF(OR(S246="Not interested",S246="Opt-out / do not contact"),"X Declined / suppressed",IF(S246="Bounced / undeliverable","X Bounced — research",IF(AC246&lt;&gt;"","13 Transacting",IF(AH246="YES","12 ACTIVATED",IF(Z246&lt;&gt;"","11 Listing live",IF(Y246&lt;&gt;"","10 Profile complete",IF(X246&lt;&gt;"","9 Approved",IF(W246&lt;&gt;"","8 KYC submitted",IF(V246&lt;&gt;"","7 Registered",IF(T246&lt;&gt;"","5 Interested",IF(R246&lt;&gt;"","4 Responded",IF(O246&lt;&gt;"","2 Contacted","1 Not yet contacted")))))))))))))</f>
        <v/>
      </c>
      <c r="AK246" s="10">
        <f>IF(AF246&lt;&gt;"",AF246,IF(OR(O246="",R246&lt;&gt;"",LEFT(AJ246,1)="X"),"",IF(Q246&lt;&gt;"","",IF(P246&lt;&gt;"",P246+SETTINGS!$B$4,O246+SETTINGS!$B$3))))</f>
        <v/>
      </c>
      <c r="AL246">
        <f>IF(AJ246="","",IF(LEFT(AJ246,1)="X","None — do not contact",IF(AJ246="1 Not yet contacted","Verify route today, then send M1",IF(AND(R246="",Q246&lt;&gt;""),"Sequence complete — no contact before "&amp;TEXT(Q246+SETTINGS!$B$5,"yyyy-mm-dd"),IF(AND(R246="",P246&lt;&gt;""),"Send final note (M4)",IF(R246="","Send follow-up (M2)",IF(AJ246="12 ACTIVATED","7-day check-in; consent &amp; referral soft ask",IF(AJ246="13 Transacting","Repeat-activity support","Onboarding: move to next stage (see playbook §6)"))))))))</f>
        <v/>
      </c>
      <c r="AM246">
        <f>IF(ISNUMBER(AK246),IF(AK246&lt;=TODAY(),"DUE",""),"")</f>
        <v/>
      </c>
      <c r="AN246">
        <f>IF(COUNT(O246,P246,Q246,R246,T246,V246,W246,X246,Y246,Z246,AA246,AC246)=0,"",TODAY()-MAX(O246,P246,Q246,R246,T246,V246,W246,X246,Y246,Z246,AA246,AC246))</f>
        <v/>
      </c>
      <c r="AO246">
        <f>IF(AJ246="","",IF(AND(T246&lt;&gt;"",U246&lt;&gt;"Active (verified)"),"GST: escalate (no tax advice)",IF(AND(IFERROR(VALUE(LEFT(AJ246,2)),0)&gt;=5,AH246&lt;&gt;"YES",ISNUMBER(AN246),AN246&gt;SETTINGS!$B$14),"STUCK in onboarding","")))</f>
        <v/>
      </c>
    </row>
    <row r="247">
      <c r="A247" t="n">
        <v>246</v>
      </c>
      <c r="B247" t="inlineStr">
        <is>
          <t>UPK2-BM-068</t>
        </is>
      </c>
      <c r="C247" t="inlineStr">
        <is>
          <t>Makeup by Rekha Krishnamurthy</t>
        </is>
      </c>
      <c r="D247" t="inlineStr">
        <is>
          <t>Beauty &amp; Makeup</t>
        </is>
      </c>
      <c r="E247" t="inlineStr">
        <is>
          <t>BM-INDEPENDENT-MUA</t>
        </is>
      </c>
      <c r="F247" t="inlineStr">
        <is>
          <t>Bengaluru</t>
        </is>
      </c>
      <c r="G247" t="inlineStr">
        <is>
          <t>B</t>
        </is>
      </c>
      <c r="H247" t="inlineStr">
        <is>
          <t>P0</t>
        </is>
      </c>
      <c r="I247" t="inlineStr"/>
      <c r="J247" t="inlineStr">
        <is>
          <t>1:1 Instagram DM from Uepaki professional account</t>
        </is>
      </c>
      <c r="K247" t="inlineStr">
        <is>
          <t>https://rekhakrishnamurthy.com/</t>
        </is>
      </c>
      <c r="L247" t="inlineStr">
        <is>
          <t>W2 Expansion</t>
        </is>
      </c>
      <c r="M247" t="inlineStr"/>
      <c r="N247" t="inlineStr"/>
      <c r="O247" s="10" t="inlineStr"/>
      <c r="P247" s="10" t="inlineStr"/>
      <c r="Q247" s="10" t="inlineStr"/>
      <c r="R247" s="10" t="inlineStr"/>
      <c r="S247" t="inlineStr"/>
      <c r="T247" s="10" t="inlineStr"/>
      <c r="U247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t="inlineStr"/>
      <c r="AC247" s="10" t="inlineStr"/>
      <c r="AD247" t="inlineStr"/>
      <c r="AE247" t="inlineStr"/>
      <c r="AF247" s="10" t="inlineStr"/>
      <c r="AG247" t="inlineStr"/>
      <c r="AH247">
        <f>IF(AND(B247="",C247=""),"",IF(AND(X247&lt;&gt;"",Y247&lt;&gt;"",Z247&lt;&gt;"",AA247&lt;&gt;"",AB247="Y"),"YES","no"))</f>
        <v/>
      </c>
      <c r="AI247" s="10">
        <f>IF(AH247="YES",MAX(X247,Y247,Z247,AA247),"")</f>
        <v/>
      </c>
      <c r="AJ247">
        <f>IF(AND(B247="",C247=""),"",IF(OR(S247="Not interested",S247="Opt-out / do not contact"),"X Declined / suppressed",IF(S247="Bounced / undeliverable","X Bounced — research",IF(AC247&lt;&gt;"","13 Transacting",IF(AH247="YES","12 ACTIVATED",IF(Z247&lt;&gt;"","11 Listing live",IF(Y247&lt;&gt;"","10 Profile complete",IF(X247&lt;&gt;"","9 Approved",IF(W247&lt;&gt;"","8 KYC submitted",IF(V247&lt;&gt;"","7 Registered",IF(T247&lt;&gt;"","5 Interested",IF(R247&lt;&gt;"","4 Responded",IF(O247&lt;&gt;"","2 Contacted","1 Not yet contacted")))))))))))))</f>
        <v/>
      </c>
      <c r="AK247" s="10">
        <f>IF(AF247&lt;&gt;"",AF247,IF(OR(O247="",R247&lt;&gt;"",LEFT(AJ247,1)="X"),"",IF(Q247&lt;&gt;"","",IF(P247&lt;&gt;"",P247+SETTINGS!$B$4,O247+SETTINGS!$B$3))))</f>
        <v/>
      </c>
      <c r="AL247">
        <f>IF(AJ247="","",IF(LEFT(AJ247,1)="X","None — do not contact",IF(AJ247="1 Not yet contacted","Verify route today, then send M1",IF(AND(R247="",Q247&lt;&gt;""),"Sequence complete — no contact before "&amp;TEXT(Q247+SETTINGS!$B$5,"yyyy-mm-dd"),IF(AND(R247="",P247&lt;&gt;""),"Send final note (M4)",IF(R247="","Send follow-up (M2)",IF(AJ247="12 ACTIVATED","7-day check-in; consent &amp; referral soft ask",IF(AJ247="13 Transacting","Repeat-activity support","Onboarding: move to next stage (see playbook §6)"))))))))</f>
        <v/>
      </c>
      <c r="AM247">
        <f>IF(ISNUMBER(AK247),IF(AK247&lt;=TODAY(),"DUE",""),"")</f>
        <v/>
      </c>
      <c r="AN247">
        <f>IF(COUNT(O247,P247,Q247,R247,T247,V247,W247,X247,Y247,Z247,AA247,AC247)=0,"",TODAY()-MAX(O247,P247,Q247,R247,T247,V247,W247,X247,Y247,Z247,AA247,AC247))</f>
        <v/>
      </c>
      <c r="AO247">
        <f>IF(AJ247="","",IF(AND(T247&lt;&gt;"",U247&lt;&gt;"Active (verified)"),"GST: escalate (no tax advice)",IF(AND(IFERROR(VALUE(LEFT(AJ247,2)),0)&gt;=5,AH247&lt;&gt;"YES",ISNUMBER(AN247),AN247&gt;SETTINGS!$B$14),"STUCK in onboarding","")))</f>
        <v/>
      </c>
    </row>
    <row r="248">
      <c r="A248" t="n">
        <v>247</v>
      </c>
      <c r="B248" t="inlineStr">
        <is>
          <t>UPK2-BM-037</t>
        </is>
      </c>
      <c r="C248" t="inlineStr">
        <is>
          <t>Anushree Shewale Makeovers</t>
        </is>
      </c>
      <c r="D248" t="inlineStr">
        <is>
          <t>Beauty &amp; Makeup</t>
        </is>
      </c>
      <c r="E248" t="inlineStr">
        <is>
          <t>BM-INDEPENDENT-MUA</t>
        </is>
      </c>
      <c r="F248" t="inlineStr">
        <is>
          <t>Mumbai</t>
        </is>
      </c>
      <c r="G248" t="inlineStr">
        <is>
          <t>B</t>
        </is>
      </c>
      <c r="H248" t="inlineStr">
        <is>
          <t>P0</t>
        </is>
      </c>
      <c r="I248" t="inlineStr"/>
      <c r="J248" t="inlineStr">
        <is>
          <t>1:1 Instagram DM from Uepaki professional account</t>
        </is>
      </c>
      <c r="K248" t="inlineStr">
        <is>
          <t>https://anushreeshewale.com/</t>
        </is>
      </c>
      <c r="L248" t="inlineStr">
        <is>
          <t>W2 Expansion</t>
        </is>
      </c>
      <c r="M248" t="inlineStr"/>
      <c r="N248" t="inlineStr"/>
      <c r="O248" s="10" t="inlineStr"/>
      <c r="P248" s="10" t="inlineStr"/>
      <c r="Q248" s="10" t="inlineStr"/>
      <c r="R248" s="10" t="inlineStr"/>
      <c r="S248" t="inlineStr"/>
      <c r="T248" s="10" t="inlineStr"/>
      <c r="U248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t="inlineStr"/>
      <c r="AC248" s="10" t="inlineStr"/>
      <c r="AD248" t="inlineStr"/>
      <c r="AE248" t="inlineStr"/>
      <c r="AF248" s="10" t="inlineStr"/>
      <c r="AG248" t="inlineStr"/>
      <c r="AH248">
        <f>IF(AND(B248="",C248=""),"",IF(AND(X248&lt;&gt;"",Y248&lt;&gt;"",Z248&lt;&gt;"",AA248&lt;&gt;"",AB248="Y"),"YES","no"))</f>
        <v/>
      </c>
      <c r="AI248" s="10">
        <f>IF(AH248="YES",MAX(X248,Y248,Z248,AA248),"")</f>
        <v/>
      </c>
      <c r="AJ248">
        <f>IF(AND(B248="",C248=""),"",IF(OR(S248="Not interested",S248="Opt-out / do not contact"),"X Declined / suppressed",IF(S248="Bounced / undeliverable","X Bounced — research",IF(AC248&lt;&gt;"","13 Transacting",IF(AH248="YES","12 ACTIVATED",IF(Z248&lt;&gt;"","11 Listing live",IF(Y248&lt;&gt;"","10 Profile complete",IF(X248&lt;&gt;"","9 Approved",IF(W248&lt;&gt;"","8 KYC submitted",IF(V248&lt;&gt;"","7 Registered",IF(T248&lt;&gt;"","5 Interested",IF(R248&lt;&gt;"","4 Responded",IF(O248&lt;&gt;"","2 Contacted","1 Not yet contacted")))))))))))))</f>
        <v/>
      </c>
      <c r="AK248" s="10">
        <f>IF(AF248&lt;&gt;"",AF248,IF(OR(O248="",R248&lt;&gt;"",LEFT(AJ248,1)="X"),"",IF(Q248&lt;&gt;"","",IF(P248&lt;&gt;"",P248+SETTINGS!$B$4,O248+SETTINGS!$B$3))))</f>
        <v/>
      </c>
      <c r="AL248">
        <f>IF(AJ248="","",IF(LEFT(AJ248,1)="X","None — do not contact",IF(AJ248="1 Not yet contacted","Verify route today, then send M1",IF(AND(R248="",Q248&lt;&gt;""),"Sequence complete — no contact before "&amp;TEXT(Q248+SETTINGS!$B$5,"yyyy-mm-dd"),IF(AND(R248="",P248&lt;&gt;""),"Send final note (M4)",IF(R248="","Send follow-up (M2)",IF(AJ248="12 ACTIVATED","7-day check-in; consent &amp; referral soft ask",IF(AJ248="13 Transacting","Repeat-activity support","Onboarding: move to next stage (see playbook §6)"))))))))</f>
        <v/>
      </c>
      <c r="AM248">
        <f>IF(ISNUMBER(AK248),IF(AK248&lt;=TODAY(),"DUE",""),"")</f>
        <v/>
      </c>
      <c r="AN248">
        <f>IF(COUNT(O248,P248,Q248,R248,T248,V248,W248,X248,Y248,Z248,AA248,AC248)=0,"",TODAY()-MAX(O248,P248,Q248,R248,T248,V248,W248,X248,Y248,Z248,AA248,AC248))</f>
        <v/>
      </c>
      <c r="AO248">
        <f>IF(AJ248="","",IF(AND(T248&lt;&gt;"",U248&lt;&gt;"Active (verified)"),"GST: escalate (no tax advice)",IF(AND(IFERROR(VALUE(LEFT(AJ248,2)),0)&gt;=5,AH248&lt;&gt;"YES",ISNUMBER(AN248),AN248&gt;SETTINGS!$B$14),"STUCK in onboarding","")))</f>
        <v/>
      </c>
    </row>
    <row r="249">
      <c r="A249" t="n">
        <v>248</v>
      </c>
      <c r="B249" t="inlineStr">
        <is>
          <t>UPK2-BM-078</t>
        </is>
      </c>
      <c r="C249" t="inlineStr">
        <is>
          <t>VK Makeup Studio &amp; Academy</t>
        </is>
      </c>
      <c r="D249" t="inlineStr">
        <is>
          <t>Beauty &amp; Makeup</t>
        </is>
      </c>
      <c r="E249" t="inlineStr">
        <is>
          <t>BM-INDEPENDENT-MUA</t>
        </is>
      </c>
      <c r="F249" t="inlineStr">
        <is>
          <t>Jaipur</t>
        </is>
      </c>
      <c r="G249" t="inlineStr">
        <is>
          <t>B</t>
        </is>
      </c>
      <c r="H249" t="inlineStr">
        <is>
          <t>P1</t>
        </is>
      </c>
      <c r="I249" t="inlineStr"/>
      <c r="J249" t="inlineStr">
        <is>
          <t>1:1 Instagram DM from Uepaki professional account</t>
        </is>
      </c>
      <c r="K249" t="inlineStr">
        <is>
          <t>https://www.instagram.com/teamvaibhikumawat/?hl=en</t>
        </is>
      </c>
      <c r="L249" t="inlineStr">
        <is>
          <t>W2 Expansion</t>
        </is>
      </c>
      <c r="M249" t="inlineStr"/>
      <c r="N249" t="inlineStr"/>
      <c r="O249" s="10" t="inlineStr"/>
      <c r="P249" s="10" t="inlineStr"/>
      <c r="Q249" s="10" t="inlineStr"/>
      <c r="R249" s="10" t="inlineStr"/>
      <c r="S249" t="inlineStr"/>
      <c r="T249" s="10" t="inlineStr"/>
      <c r="U249" t="inlineStr"/>
      <c r="V249" s="10" t="inlineStr"/>
      <c r="W249" s="10" t="inlineStr"/>
      <c r="X249" s="10" t="inlineStr"/>
      <c r="Y249" s="10" t="inlineStr"/>
      <c r="Z249" s="10" t="inlineStr"/>
      <c r="AA249" s="10" t="inlineStr"/>
      <c r="AB249" t="inlineStr"/>
      <c r="AC249" s="10" t="inlineStr"/>
      <c r="AD249" t="inlineStr"/>
      <c r="AE249" t="inlineStr"/>
      <c r="AF249" s="10" t="inlineStr"/>
      <c r="AG249" t="inlineStr"/>
      <c r="AH249">
        <f>IF(AND(B249="",C249=""),"",IF(AND(X249&lt;&gt;"",Y249&lt;&gt;"",Z249&lt;&gt;"",AA249&lt;&gt;"",AB249="Y"),"YES","no"))</f>
        <v/>
      </c>
      <c r="AI249" s="10">
        <f>IF(AH249="YES",MAX(X249,Y249,Z249,AA249),"")</f>
        <v/>
      </c>
      <c r="AJ249">
        <f>IF(AND(B249="",C249=""),"",IF(OR(S249="Not interested",S249="Opt-out / do not contact"),"X Declined / suppressed",IF(S249="Bounced / undeliverable","X Bounced — research",IF(AC249&lt;&gt;"","13 Transacting",IF(AH249="YES","12 ACTIVATED",IF(Z249&lt;&gt;"","11 Listing live",IF(Y249&lt;&gt;"","10 Profile complete",IF(X249&lt;&gt;"","9 Approved",IF(W249&lt;&gt;"","8 KYC submitted",IF(V249&lt;&gt;"","7 Registered",IF(T249&lt;&gt;"","5 Interested",IF(R249&lt;&gt;"","4 Responded",IF(O249&lt;&gt;"","2 Contacted","1 Not yet contacted")))))))))))))</f>
        <v/>
      </c>
      <c r="AK249" s="10">
        <f>IF(AF249&lt;&gt;"",AF249,IF(OR(O249="",R249&lt;&gt;"",LEFT(AJ249,1)="X"),"",IF(Q249&lt;&gt;"","",IF(P249&lt;&gt;"",P249+SETTINGS!$B$4,O249+SETTINGS!$B$3))))</f>
        <v/>
      </c>
      <c r="AL249">
        <f>IF(AJ249="","",IF(LEFT(AJ249,1)="X","None — do not contact",IF(AJ249="1 Not yet contacted","Verify route today, then send M1",IF(AND(R249="",Q249&lt;&gt;""),"Sequence complete — no contact before "&amp;TEXT(Q249+SETTINGS!$B$5,"yyyy-mm-dd"),IF(AND(R249="",P249&lt;&gt;""),"Send final note (M4)",IF(R249="","Send follow-up (M2)",IF(AJ249="12 ACTIVATED","7-day check-in; consent &amp; referral soft ask",IF(AJ249="13 Transacting","Repeat-activity support","Onboarding: move to next stage (see playbook §6)"))))))))</f>
        <v/>
      </c>
      <c r="AM249">
        <f>IF(ISNUMBER(AK249),IF(AK249&lt;=TODAY(),"DUE",""),"")</f>
        <v/>
      </c>
      <c r="AN249">
        <f>IF(COUNT(O249,P249,Q249,R249,T249,V249,W249,X249,Y249,Z249,AA249,AC249)=0,"",TODAY()-MAX(O249,P249,Q249,R249,T249,V249,W249,X249,Y249,Z249,AA249,AC249))</f>
        <v/>
      </c>
      <c r="AO249">
        <f>IF(AJ249="","",IF(AND(T249&lt;&gt;"",U249&lt;&gt;"Active (verified)"),"GST: escalate (no tax advice)",IF(AND(IFERROR(VALUE(LEFT(AJ249,2)),0)&gt;=5,AH249&lt;&gt;"YES",ISNUMBER(AN249),AN249&gt;SETTINGS!$B$14),"STUCK in onboarding","")))</f>
        <v/>
      </c>
    </row>
    <row r="250">
      <c r="A250" t="n">
        <v>249</v>
      </c>
      <c r="B250" t="inlineStr">
        <is>
          <t>UPK2-BM-060</t>
        </is>
      </c>
      <c r="C250" t="inlineStr">
        <is>
          <t>MUA Shrruti Saraff</t>
        </is>
      </c>
      <c r="D250" t="inlineStr">
        <is>
          <t>Beauty &amp; Makeup</t>
        </is>
      </c>
      <c r="E250" t="inlineStr">
        <is>
          <t>BM-INDEPENDENT-MUA</t>
        </is>
      </c>
      <c r="F250" t="inlineStr">
        <is>
          <t>Jaipur</t>
        </is>
      </c>
      <c r="G250" t="inlineStr">
        <is>
          <t>B</t>
        </is>
      </c>
      <c r="H250" t="inlineStr">
        <is>
          <t>P1</t>
        </is>
      </c>
      <c r="I250" t="inlineStr"/>
      <c r="J250" t="inlineStr">
        <is>
          <t>1:1 Instagram DM from Uepaki professional account</t>
        </is>
      </c>
      <c r="K250" t="inlineStr">
        <is>
          <t>https://www.instagram.com/makeupbyshrrutisaraff/</t>
        </is>
      </c>
      <c r="L250" t="inlineStr">
        <is>
          <t>W2 Expansion</t>
        </is>
      </c>
      <c r="M250" t="inlineStr"/>
      <c r="N250" t="inlineStr"/>
      <c r="O250" s="10" t="inlineStr"/>
      <c r="P250" s="10" t="inlineStr"/>
      <c r="Q250" s="10" t="inlineStr"/>
      <c r="R250" s="10" t="inlineStr"/>
      <c r="S250" t="inlineStr"/>
      <c r="T250" s="10" t="inlineStr"/>
      <c r="U25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t="inlineStr"/>
      <c r="AC250" s="10" t="inlineStr"/>
      <c r="AD250" t="inlineStr"/>
      <c r="AE250" t="inlineStr"/>
      <c r="AF250" s="10" t="inlineStr"/>
      <c r="AG250" t="inlineStr"/>
      <c r="AH250">
        <f>IF(AND(B250="",C250=""),"",IF(AND(X250&lt;&gt;"",Y250&lt;&gt;"",Z250&lt;&gt;"",AA250&lt;&gt;"",AB250="Y"),"YES","no"))</f>
        <v/>
      </c>
      <c r="AI250" s="10">
        <f>IF(AH250="YES",MAX(X250,Y250,Z250,AA250),"")</f>
        <v/>
      </c>
      <c r="AJ250">
        <f>IF(AND(B250="",C250=""),"",IF(OR(S250="Not interested",S250="Opt-out / do not contact"),"X Declined / suppressed",IF(S250="Bounced / undeliverable","X Bounced — research",IF(AC250&lt;&gt;"","13 Transacting",IF(AH250="YES","12 ACTIVATED",IF(Z250&lt;&gt;"","11 Listing live",IF(Y250&lt;&gt;"","10 Profile complete",IF(X250&lt;&gt;"","9 Approved",IF(W250&lt;&gt;"","8 KYC submitted",IF(V250&lt;&gt;"","7 Registered",IF(T250&lt;&gt;"","5 Interested",IF(R250&lt;&gt;"","4 Responded",IF(O250&lt;&gt;"","2 Contacted","1 Not yet contacted")))))))))))))</f>
        <v/>
      </c>
      <c r="AK250" s="10">
        <f>IF(AF250&lt;&gt;"",AF250,IF(OR(O250="",R250&lt;&gt;"",LEFT(AJ250,1)="X"),"",IF(Q250&lt;&gt;"","",IF(P250&lt;&gt;"",P250+SETTINGS!$B$4,O250+SETTINGS!$B$3))))</f>
        <v/>
      </c>
      <c r="AL250">
        <f>IF(AJ250="","",IF(LEFT(AJ250,1)="X","None — do not contact",IF(AJ250="1 Not yet contacted","Verify route today, then send M1",IF(AND(R250="",Q250&lt;&gt;""),"Sequence complete — no contact before "&amp;TEXT(Q250+SETTINGS!$B$5,"yyyy-mm-dd"),IF(AND(R250="",P250&lt;&gt;""),"Send final note (M4)",IF(R250="","Send follow-up (M2)",IF(AJ250="12 ACTIVATED","7-day check-in; consent &amp; referral soft ask",IF(AJ250="13 Transacting","Repeat-activity support","Onboarding: move to next stage (see playbook §6)"))))))))</f>
        <v/>
      </c>
      <c r="AM250">
        <f>IF(ISNUMBER(AK250),IF(AK250&lt;=TODAY(),"DUE",""),"")</f>
        <v/>
      </c>
      <c r="AN250">
        <f>IF(COUNT(O250,P250,Q250,R250,T250,V250,W250,X250,Y250,Z250,AA250,AC250)=0,"",TODAY()-MAX(O250,P250,Q250,R250,T250,V250,W250,X250,Y250,Z250,AA250,AC250))</f>
        <v/>
      </c>
      <c r="AO250">
        <f>IF(AJ250="","",IF(AND(T250&lt;&gt;"",U250&lt;&gt;"Active (verified)"),"GST: escalate (no tax advice)",IF(AND(IFERROR(VALUE(LEFT(AJ250,2)),0)&gt;=5,AH250&lt;&gt;"YES",ISNUMBER(AN250),AN250&gt;SETTINGS!$B$14),"STUCK in onboarding","")))</f>
        <v/>
      </c>
    </row>
    <row r="251">
      <c r="A251" t="n">
        <v>250</v>
      </c>
      <c r="B251" t="inlineStr">
        <is>
          <t>UPK2-BM-059</t>
        </is>
      </c>
      <c r="C251" t="inlineStr">
        <is>
          <t>Ekta Lulla Makeup</t>
        </is>
      </c>
      <c r="D251" t="inlineStr">
        <is>
          <t>Beauty &amp; Makeup</t>
        </is>
      </c>
      <c r="E251" t="inlineStr">
        <is>
          <t>BM-INDEPENDENT-MUA</t>
        </is>
      </c>
      <c r="F251" t="inlineStr">
        <is>
          <t>Delhi NCR</t>
        </is>
      </c>
      <c r="G251" t="inlineStr">
        <is>
          <t>B</t>
        </is>
      </c>
      <c r="H251" t="inlineStr">
        <is>
          <t>P1</t>
        </is>
      </c>
      <c r="I251" t="inlineStr"/>
      <c r="J251" t="inlineStr">
        <is>
          <t>1:1 Instagram DM from Uepaki professional account</t>
        </is>
      </c>
      <c r="K251" t="inlineStr">
        <is>
          <t>https://www.instagram.com/ekta.lulla/</t>
        </is>
      </c>
      <c r="L251" t="inlineStr">
        <is>
          <t>W2 Expansion</t>
        </is>
      </c>
      <c r="M251" t="inlineStr"/>
      <c r="N251" t="inlineStr"/>
      <c r="O251" s="10" t="inlineStr"/>
      <c r="P251" s="10" t="inlineStr"/>
      <c r="Q251" s="10" t="inlineStr"/>
      <c r="R251" s="10" t="inlineStr"/>
      <c r="S251" t="inlineStr"/>
      <c r="T251" s="10" t="inlineStr"/>
      <c r="U251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t="inlineStr"/>
      <c r="AC251" s="10" t="inlineStr"/>
      <c r="AD251" t="inlineStr"/>
      <c r="AE251" t="inlineStr"/>
      <c r="AF251" s="10" t="inlineStr"/>
      <c r="AG251" t="inlineStr"/>
      <c r="AH251">
        <f>IF(AND(B251="",C251=""),"",IF(AND(X251&lt;&gt;"",Y251&lt;&gt;"",Z251&lt;&gt;"",AA251&lt;&gt;"",AB251="Y"),"YES","no"))</f>
        <v/>
      </c>
      <c r="AI251" s="10">
        <f>IF(AH251="YES",MAX(X251,Y251,Z251,AA251),"")</f>
        <v/>
      </c>
      <c r="AJ251">
        <f>IF(AND(B251="",C251=""),"",IF(OR(S251="Not interested",S251="Opt-out / do not contact"),"X Declined / suppressed",IF(S251="Bounced / undeliverable","X Bounced — research",IF(AC251&lt;&gt;"","13 Transacting",IF(AH251="YES","12 ACTIVATED",IF(Z251&lt;&gt;"","11 Listing live",IF(Y251&lt;&gt;"","10 Profile complete",IF(X251&lt;&gt;"","9 Approved",IF(W251&lt;&gt;"","8 KYC submitted",IF(V251&lt;&gt;"","7 Registered",IF(T251&lt;&gt;"","5 Interested",IF(R251&lt;&gt;"","4 Responded",IF(O251&lt;&gt;"","2 Contacted","1 Not yet contacted")))))))))))))</f>
        <v/>
      </c>
      <c r="AK251" s="10">
        <f>IF(AF251&lt;&gt;"",AF251,IF(OR(O251="",R251&lt;&gt;"",LEFT(AJ251,1)="X"),"",IF(Q251&lt;&gt;"","",IF(P251&lt;&gt;"",P251+SETTINGS!$B$4,O251+SETTINGS!$B$3))))</f>
        <v/>
      </c>
      <c r="AL251">
        <f>IF(AJ251="","",IF(LEFT(AJ251,1)="X","None — do not contact",IF(AJ251="1 Not yet contacted","Verify route today, then send M1",IF(AND(R251="",Q251&lt;&gt;""),"Sequence complete — no contact before "&amp;TEXT(Q251+SETTINGS!$B$5,"yyyy-mm-dd"),IF(AND(R251="",P251&lt;&gt;""),"Send final note (M4)",IF(R251="","Send follow-up (M2)",IF(AJ251="12 ACTIVATED","7-day check-in; consent &amp; referral soft ask",IF(AJ251="13 Transacting","Repeat-activity support","Onboarding: move to next stage (see playbook §6)"))))))))</f>
        <v/>
      </c>
      <c r="AM251">
        <f>IF(ISNUMBER(AK251),IF(AK251&lt;=TODAY(),"DUE",""),"")</f>
        <v/>
      </c>
      <c r="AN251">
        <f>IF(COUNT(O251,P251,Q251,R251,T251,V251,W251,X251,Y251,Z251,AA251,AC251)=0,"",TODAY()-MAX(O251,P251,Q251,R251,T251,V251,W251,X251,Y251,Z251,AA251,AC251))</f>
        <v/>
      </c>
      <c r="AO251">
        <f>IF(AJ251="","",IF(AND(T251&lt;&gt;"",U251&lt;&gt;"Active (verified)"),"GST: escalate (no tax advice)",IF(AND(IFERROR(VALUE(LEFT(AJ251,2)),0)&gt;=5,AH251&lt;&gt;"YES",ISNUMBER(AN251),AN251&gt;SETTINGS!$B$14),"STUCK in onboarding","")))</f>
        <v/>
      </c>
    </row>
    <row r="252">
      <c r="A252" t="n">
        <v>251</v>
      </c>
      <c r="B252" t="inlineStr">
        <is>
          <t>UPK2-BM-020</t>
        </is>
      </c>
      <c r="C252" t="inlineStr">
        <is>
          <t>Keyury Desai Makeup</t>
        </is>
      </c>
      <c r="D252" t="inlineStr">
        <is>
          <t>Beauty &amp; Makeup</t>
        </is>
      </c>
      <c r="E252" t="inlineStr">
        <is>
          <t>BM-INDEPENDENT-MUA</t>
        </is>
      </c>
      <c r="F252" t="inlineStr">
        <is>
          <t>Mumbai</t>
        </is>
      </c>
      <c r="G252" t="inlineStr">
        <is>
          <t>C</t>
        </is>
      </c>
      <c r="H252" t="inlineStr">
        <is>
          <t>P1</t>
        </is>
      </c>
      <c r="I252" t="inlineStr"/>
      <c r="J252" t="inlineStr">
        <is>
          <t>1:1 Instagram DM from Uepaki professional account</t>
        </is>
      </c>
      <c r="K252" t="inlineStr">
        <is>
          <t>https://www.keyurydesai.com/</t>
        </is>
      </c>
      <c r="L252" t="inlineStr">
        <is>
          <t>W2 Expansion</t>
        </is>
      </c>
      <c r="M252" t="inlineStr"/>
      <c r="N252" t="inlineStr"/>
      <c r="O252" s="10" t="inlineStr"/>
      <c r="P252" s="10" t="inlineStr"/>
      <c r="Q252" s="10" t="inlineStr"/>
      <c r="R252" s="10" t="inlineStr"/>
      <c r="S252" t="inlineStr"/>
      <c r="T252" s="10" t="inlineStr"/>
      <c r="U252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t="inlineStr"/>
      <c r="AC252" s="10" t="inlineStr"/>
      <c r="AD252" t="inlineStr"/>
      <c r="AE252" t="inlineStr"/>
      <c r="AF252" s="10" t="inlineStr"/>
      <c r="AG252" t="inlineStr"/>
      <c r="AH252">
        <f>IF(AND(B252="",C252=""),"",IF(AND(X252&lt;&gt;"",Y252&lt;&gt;"",Z252&lt;&gt;"",AA252&lt;&gt;"",AB252="Y"),"YES","no"))</f>
        <v/>
      </c>
      <c r="AI252" s="10">
        <f>IF(AH252="YES",MAX(X252,Y252,Z252,AA252),"")</f>
        <v/>
      </c>
      <c r="AJ252">
        <f>IF(AND(B252="",C252=""),"",IF(OR(S252="Not interested",S252="Opt-out / do not contact"),"X Declined / suppressed",IF(S252="Bounced / undeliverable","X Bounced — research",IF(AC252&lt;&gt;"","13 Transacting",IF(AH252="YES","12 ACTIVATED",IF(Z252&lt;&gt;"","11 Listing live",IF(Y252&lt;&gt;"","10 Profile complete",IF(X252&lt;&gt;"","9 Approved",IF(W252&lt;&gt;"","8 KYC submitted",IF(V252&lt;&gt;"","7 Registered",IF(T252&lt;&gt;"","5 Interested",IF(R252&lt;&gt;"","4 Responded",IF(O252&lt;&gt;"","2 Contacted","1 Not yet contacted")))))))))))))</f>
        <v/>
      </c>
      <c r="AK252" s="10">
        <f>IF(AF252&lt;&gt;"",AF252,IF(OR(O252="",R252&lt;&gt;"",LEFT(AJ252,1)="X"),"",IF(Q252&lt;&gt;"","",IF(P252&lt;&gt;"",P252+SETTINGS!$B$4,O252+SETTINGS!$B$3))))</f>
        <v/>
      </c>
      <c r="AL252">
        <f>IF(AJ252="","",IF(LEFT(AJ252,1)="X","None — do not contact",IF(AJ252="1 Not yet contacted","Verify route today, then send M1",IF(AND(R252="",Q252&lt;&gt;""),"Sequence complete — no contact before "&amp;TEXT(Q252+SETTINGS!$B$5,"yyyy-mm-dd"),IF(AND(R252="",P252&lt;&gt;""),"Send final note (M4)",IF(R252="","Send follow-up (M2)",IF(AJ252="12 ACTIVATED","7-day check-in; consent &amp; referral soft ask",IF(AJ252="13 Transacting","Repeat-activity support","Onboarding: move to next stage (see playbook §6)"))))))))</f>
        <v/>
      </c>
      <c r="AM252">
        <f>IF(ISNUMBER(AK252),IF(AK252&lt;=TODAY(),"DUE",""),"")</f>
        <v/>
      </c>
      <c r="AN252">
        <f>IF(COUNT(O252,P252,Q252,R252,T252,V252,W252,X252,Y252,Z252,AA252,AC252)=0,"",TODAY()-MAX(O252,P252,Q252,R252,T252,V252,W252,X252,Y252,Z252,AA252,AC252))</f>
        <v/>
      </c>
      <c r="AO252">
        <f>IF(AJ252="","",IF(AND(T252&lt;&gt;"",U252&lt;&gt;"Active (verified)"),"GST: escalate (no tax advice)",IF(AND(IFERROR(VALUE(LEFT(AJ252,2)),0)&gt;=5,AH252&lt;&gt;"YES",ISNUMBER(AN252),AN252&gt;SETTINGS!$B$14),"STUCK in onboarding","")))</f>
        <v/>
      </c>
    </row>
    <row r="253">
      <c r="A253" t="n">
        <v>252</v>
      </c>
      <c r="B253" t="inlineStr">
        <is>
          <t>UPK2-BM-040</t>
        </is>
      </c>
      <c r="C253" t="inlineStr">
        <is>
          <t>JS Makeup Artistry (Makeup Diaries by Jo)</t>
        </is>
      </c>
      <c r="D253" t="inlineStr">
        <is>
          <t>Beauty &amp; Makeup</t>
        </is>
      </c>
      <c r="E253" t="inlineStr">
        <is>
          <t>BM-INDEPENDENT-MUA</t>
        </is>
      </c>
      <c r="F253" t="inlineStr">
        <is>
          <t>Mumbai</t>
        </is>
      </c>
      <c r="G253" t="inlineStr">
        <is>
          <t>C</t>
        </is>
      </c>
      <c r="H253" t="inlineStr">
        <is>
          <t>P1</t>
        </is>
      </c>
      <c r="I253" t="inlineStr"/>
      <c r="J253" t="inlineStr">
        <is>
          <t>1:1 Instagram DM from Uepaki professional account</t>
        </is>
      </c>
      <c r="K253" t="inlineStr">
        <is>
          <t>https://www.instagram.com/makeup_diaries_by_jo?igsh=dTJkbGtmYmIzdjds&amp;utm_source=qr</t>
        </is>
      </c>
      <c r="L253" t="inlineStr">
        <is>
          <t>W2 Expansion</t>
        </is>
      </c>
      <c r="M253" t="inlineStr"/>
      <c r="N253" t="inlineStr"/>
      <c r="O253" s="10" t="inlineStr"/>
      <c r="P253" s="10" t="inlineStr"/>
      <c r="Q253" s="10" t="inlineStr"/>
      <c r="R253" s="10" t="inlineStr"/>
      <c r="S253" t="inlineStr"/>
      <c r="T253" s="10" t="inlineStr"/>
      <c r="U253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t="inlineStr"/>
      <c r="AC253" s="10" t="inlineStr"/>
      <c r="AD253" t="inlineStr"/>
      <c r="AE253" t="inlineStr"/>
      <c r="AF253" s="10" t="inlineStr"/>
      <c r="AG253" t="inlineStr"/>
      <c r="AH253">
        <f>IF(AND(B253="",C253=""),"",IF(AND(X253&lt;&gt;"",Y253&lt;&gt;"",Z253&lt;&gt;"",AA253&lt;&gt;"",AB253="Y"),"YES","no"))</f>
        <v/>
      </c>
      <c r="AI253" s="10">
        <f>IF(AH253="YES",MAX(X253,Y253,Z253,AA253),"")</f>
        <v/>
      </c>
      <c r="AJ253">
        <f>IF(AND(B253="",C253=""),"",IF(OR(S253="Not interested",S253="Opt-out / do not contact"),"X Declined / suppressed",IF(S253="Bounced / undeliverable","X Bounced — research",IF(AC253&lt;&gt;"","13 Transacting",IF(AH253="YES","12 ACTIVATED",IF(Z253&lt;&gt;"","11 Listing live",IF(Y253&lt;&gt;"","10 Profile complete",IF(X253&lt;&gt;"","9 Approved",IF(W253&lt;&gt;"","8 KYC submitted",IF(V253&lt;&gt;"","7 Registered",IF(T253&lt;&gt;"","5 Interested",IF(R253&lt;&gt;"","4 Responded",IF(O253&lt;&gt;"","2 Contacted","1 Not yet contacted")))))))))))))</f>
        <v/>
      </c>
      <c r="AK253" s="10">
        <f>IF(AF253&lt;&gt;"",AF253,IF(OR(O253="",R253&lt;&gt;"",LEFT(AJ253,1)="X"),"",IF(Q253&lt;&gt;"","",IF(P253&lt;&gt;"",P253+SETTINGS!$B$4,O253+SETTINGS!$B$3))))</f>
        <v/>
      </c>
      <c r="AL253">
        <f>IF(AJ253="","",IF(LEFT(AJ253,1)="X","None — do not contact",IF(AJ253="1 Not yet contacted","Verify route today, then send M1",IF(AND(R253="",Q253&lt;&gt;""),"Sequence complete — no contact before "&amp;TEXT(Q253+SETTINGS!$B$5,"yyyy-mm-dd"),IF(AND(R253="",P253&lt;&gt;""),"Send final note (M4)",IF(R253="","Send follow-up (M2)",IF(AJ253="12 ACTIVATED","7-day check-in; consent &amp; referral soft ask",IF(AJ253="13 Transacting","Repeat-activity support","Onboarding: move to next stage (see playbook §6)"))))))))</f>
        <v/>
      </c>
      <c r="AM253">
        <f>IF(ISNUMBER(AK253),IF(AK253&lt;=TODAY(),"DUE",""),"")</f>
        <v/>
      </c>
      <c r="AN253">
        <f>IF(COUNT(O253,P253,Q253,R253,T253,V253,W253,X253,Y253,Z253,AA253,AC253)=0,"",TODAY()-MAX(O253,P253,Q253,R253,T253,V253,W253,X253,Y253,Z253,AA253,AC253))</f>
        <v/>
      </c>
      <c r="AO253">
        <f>IF(AJ253="","",IF(AND(T253&lt;&gt;"",U253&lt;&gt;"Active (verified)"),"GST: escalate (no tax advice)",IF(AND(IFERROR(VALUE(LEFT(AJ253,2)),0)&gt;=5,AH253&lt;&gt;"YES",ISNUMBER(AN253),AN253&gt;SETTINGS!$B$14),"STUCK in onboarding","")))</f>
        <v/>
      </c>
    </row>
    <row r="254">
      <c r="A254" t="n">
        <v>253</v>
      </c>
      <c r="B254" t="inlineStr">
        <is>
          <t>UPK2-LM-272</t>
        </is>
      </c>
      <c r="C254" t="inlineStr">
        <is>
          <t>Weddingbellz</t>
        </is>
      </c>
      <c r="D254" t="inlineStr">
        <is>
          <t>Lens &amp; Motion</t>
        </is>
      </c>
      <c r="E254" t="inlineStr">
        <is>
          <t>LM-WEDDING</t>
        </is>
      </c>
      <c r="F254" t="inlineStr">
        <is>
          <t>Bengaluru</t>
        </is>
      </c>
      <c r="G254" t="inlineStr">
        <is>
          <t>A</t>
        </is>
      </c>
      <c r="H254" t="inlineStr">
        <is>
          <t>P0</t>
        </is>
      </c>
      <c r="I254" t="inlineStr">
        <is>
          <t>under-discovered</t>
        </is>
      </c>
      <c r="J254" t="inlineStr">
        <is>
          <t>Personal 1:1 email from founder/team to published business email</t>
        </is>
      </c>
      <c r="K254" t="inlineStr">
        <is>
          <t>https://weddingbellz.co.in/</t>
        </is>
      </c>
      <c r="L254" t="inlineStr">
        <is>
          <t>W2 Expansion</t>
        </is>
      </c>
      <c r="M254" t="inlineStr"/>
      <c r="N254" t="inlineStr"/>
      <c r="O254" s="10" t="inlineStr"/>
      <c r="P254" s="10" t="inlineStr"/>
      <c r="Q254" s="10" t="inlineStr"/>
      <c r="R254" s="10" t="inlineStr"/>
      <c r="S254" t="inlineStr"/>
      <c r="T254" s="10" t="inlineStr"/>
      <c r="U254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t="inlineStr"/>
      <c r="AC254" s="10" t="inlineStr"/>
      <c r="AD254" t="inlineStr"/>
      <c r="AE254" t="inlineStr"/>
      <c r="AF254" s="10" t="inlineStr"/>
      <c r="AG254" t="inlineStr"/>
      <c r="AH254">
        <f>IF(AND(B254="",C254=""),"",IF(AND(X254&lt;&gt;"",Y254&lt;&gt;"",Z254&lt;&gt;"",AA254&lt;&gt;"",AB254="Y"),"YES","no"))</f>
        <v/>
      </c>
      <c r="AI254" s="10">
        <f>IF(AH254="YES",MAX(X254,Y254,Z254,AA254),"")</f>
        <v/>
      </c>
      <c r="AJ254">
        <f>IF(AND(B254="",C254=""),"",IF(OR(S254="Not interested",S254="Opt-out / do not contact"),"X Declined / suppressed",IF(S254="Bounced / undeliverable","X Bounced — research",IF(AC254&lt;&gt;"","13 Transacting",IF(AH254="YES","12 ACTIVATED",IF(Z254&lt;&gt;"","11 Listing live",IF(Y254&lt;&gt;"","10 Profile complete",IF(X254&lt;&gt;"","9 Approved",IF(W254&lt;&gt;"","8 KYC submitted",IF(V254&lt;&gt;"","7 Registered",IF(T254&lt;&gt;"","5 Interested",IF(R254&lt;&gt;"","4 Responded",IF(O254&lt;&gt;"","2 Contacted","1 Not yet contacted")))))))))))))</f>
        <v/>
      </c>
      <c r="AK254" s="10">
        <f>IF(AF254&lt;&gt;"",AF254,IF(OR(O254="",R254&lt;&gt;"",LEFT(AJ254,1)="X"),"",IF(Q254&lt;&gt;"","",IF(P254&lt;&gt;"",P254+SETTINGS!$B$4,O254+SETTINGS!$B$3))))</f>
        <v/>
      </c>
      <c r="AL254">
        <f>IF(AJ254="","",IF(LEFT(AJ254,1)="X","None — do not contact",IF(AJ254="1 Not yet contacted","Verify route today, then send M1",IF(AND(R254="",Q254&lt;&gt;""),"Sequence complete — no contact before "&amp;TEXT(Q254+SETTINGS!$B$5,"yyyy-mm-dd"),IF(AND(R254="",P254&lt;&gt;""),"Send final note (M4)",IF(R254="","Send follow-up (M2)",IF(AJ254="12 ACTIVATED","7-day check-in; consent &amp; referral soft ask",IF(AJ254="13 Transacting","Repeat-activity support","Onboarding: move to next stage (see playbook §6)"))))))))</f>
        <v/>
      </c>
      <c r="AM254">
        <f>IF(ISNUMBER(AK254),IF(AK254&lt;=TODAY(),"DUE",""),"")</f>
        <v/>
      </c>
      <c r="AN254">
        <f>IF(COUNT(O254,P254,Q254,R254,T254,V254,W254,X254,Y254,Z254,AA254,AC254)=0,"",TODAY()-MAX(O254,P254,Q254,R254,T254,V254,W254,X254,Y254,Z254,AA254,AC254))</f>
        <v/>
      </c>
      <c r="AO254">
        <f>IF(AJ254="","",IF(AND(T254&lt;&gt;"",U254&lt;&gt;"Active (verified)"),"GST: escalate (no tax advice)",IF(AND(IFERROR(VALUE(LEFT(AJ254,2)),0)&gt;=5,AH254&lt;&gt;"YES",ISNUMBER(AN254),AN254&gt;SETTINGS!$B$14),"STUCK in onboarding","")))</f>
        <v/>
      </c>
    </row>
    <row r="255">
      <c r="A255" t="n">
        <v>254</v>
      </c>
      <c r="B255" t="inlineStr">
        <is>
          <t>UPK2-LM-264</t>
        </is>
      </c>
      <c r="C255" t="inlineStr">
        <is>
          <t>Studio Tangerine</t>
        </is>
      </c>
      <c r="D255" t="inlineStr">
        <is>
          <t>Lens &amp; Motion</t>
        </is>
      </c>
      <c r="E255" t="inlineStr">
        <is>
          <t>LM-WEDDING</t>
        </is>
      </c>
      <c r="F255" t="inlineStr">
        <is>
          <t>Bengaluru</t>
        </is>
      </c>
      <c r="G255" t="inlineStr">
        <is>
          <t>A</t>
        </is>
      </c>
      <c r="H255" t="inlineStr">
        <is>
          <t>P0</t>
        </is>
      </c>
      <c r="I255" t="inlineStr">
        <is>
          <t>under-discovered</t>
        </is>
      </c>
      <c r="J255" t="inlineStr">
        <is>
          <t>Personal 1:1 email from founder/team to published business email</t>
        </is>
      </c>
      <c r="K255" t="inlineStr">
        <is>
          <t>https://www.studiotangerine.in/</t>
        </is>
      </c>
      <c r="L255" t="inlineStr">
        <is>
          <t>W2 Expansion</t>
        </is>
      </c>
      <c r="M255" t="inlineStr"/>
      <c r="N255" t="inlineStr"/>
      <c r="O255" s="10" t="inlineStr"/>
      <c r="P255" s="10" t="inlineStr"/>
      <c r="Q255" s="10" t="inlineStr"/>
      <c r="R255" s="10" t="inlineStr"/>
      <c r="S255" t="inlineStr"/>
      <c r="T255" s="10" t="inlineStr"/>
      <c r="U255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t="inlineStr"/>
      <c r="AC255" s="10" t="inlineStr"/>
      <c r="AD255" t="inlineStr"/>
      <c r="AE255" t="inlineStr"/>
      <c r="AF255" s="10" t="inlineStr"/>
      <c r="AG255" t="inlineStr"/>
      <c r="AH255">
        <f>IF(AND(B255="",C255=""),"",IF(AND(X255&lt;&gt;"",Y255&lt;&gt;"",Z255&lt;&gt;"",AA255&lt;&gt;"",AB255="Y"),"YES","no"))</f>
        <v/>
      </c>
      <c r="AI255" s="10">
        <f>IF(AH255="YES",MAX(X255,Y255,Z255,AA255),"")</f>
        <v/>
      </c>
      <c r="AJ255">
        <f>IF(AND(B255="",C255=""),"",IF(OR(S255="Not interested",S255="Opt-out / do not contact"),"X Declined / suppressed",IF(S255="Bounced / undeliverable","X Bounced — research",IF(AC255&lt;&gt;"","13 Transacting",IF(AH255="YES","12 ACTIVATED",IF(Z255&lt;&gt;"","11 Listing live",IF(Y255&lt;&gt;"","10 Profile complete",IF(X255&lt;&gt;"","9 Approved",IF(W255&lt;&gt;"","8 KYC submitted",IF(V255&lt;&gt;"","7 Registered",IF(T255&lt;&gt;"","5 Interested",IF(R255&lt;&gt;"","4 Responded",IF(O255&lt;&gt;"","2 Contacted","1 Not yet contacted")))))))))))))</f>
        <v/>
      </c>
      <c r="AK255" s="10">
        <f>IF(AF255&lt;&gt;"",AF255,IF(OR(O255="",R255&lt;&gt;"",LEFT(AJ255,1)="X"),"",IF(Q255&lt;&gt;"","",IF(P255&lt;&gt;"",P255+SETTINGS!$B$4,O255+SETTINGS!$B$3))))</f>
        <v/>
      </c>
      <c r="AL255">
        <f>IF(AJ255="","",IF(LEFT(AJ255,1)="X","None — do not contact",IF(AJ255="1 Not yet contacted","Verify route today, then send M1",IF(AND(R255="",Q255&lt;&gt;""),"Sequence complete — no contact before "&amp;TEXT(Q255+SETTINGS!$B$5,"yyyy-mm-dd"),IF(AND(R255="",P255&lt;&gt;""),"Send final note (M4)",IF(R255="","Send follow-up (M2)",IF(AJ255="12 ACTIVATED","7-day check-in; consent &amp; referral soft ask",IF(AJ255="13 Transacting","Repeat-activity support","Onboarding: move to next stage (see playbook §6)"))))))))</f>
        <v/>
      </c>
      <c r="AM255">
        <f>IF(ISNUMBER(AK255),IF(AK255&lt;=TODAY(),"DUE",""),"")</f>
        <v/>
      </c>
      <c r="AN255">
        <f>IF(COUNT(O255,P255,Q255,R255,T255,V255,W255,X255,Y255,Z255,AA255,AC255)=0,"",TODAY()-MAX(O255,P255,Q255,R255,T255,V255,W255,X255,Y255,Z255,AA255,AC255))</f>
        <v/>
      </c>
      <c r="AO255">
        <f>IF(AJ255="","",IF(AND(T255&lt;&gt;"",U255&lt;&gt;"Active (verified)"),"GST: escalate (no tax advice)",IF(AND(IFERROR(VALUE(LEFT(AJ255,2)),0)&gt;=5,AH255&lt;&gt;"YES",ISNUMBER(AN255),AN255&gt;SETTINGS!$B$14),"STUCK in onboarding","")))</f>
        <v/>
      </c>
    </row>
    <row r="256">
      <c r="A256" t="n">
        <v>255</v>
      </c>
      <c r="B256" t="inlineStr">
        <is>
          <t>UPK2-LM-339</t>
        </is>
      </c>
      <c r="C256" t="inlineStr">
        <is>
          <t>11Eleven Media</t>
        </is>
      </c>
      <c r="D256" t="inlineStr">
        <is>
          <t>Lens &amp; Motion</t>
        </is>
      </c>
      <c r="E256" t="inlineStr">
        <is>
          <t>LM-WEDDING</t>
        </is>
      </c>
      <c r="F256" t="inlineStr">
        <is>
          <t>Delhi NCR</t>
        </is>
      </c>
      <c r="G256" t="inlineStr">
        <is>
          <t>A</t>
        </is>
      </c>
      <c r="H256" t="inlineStr">
        <is>
          <t>P0</t>
        </is>
      </c>
      <c r="I256" t="inlineStr"/>
      <c r="J256" t="inlineStr">
        <is>
          <t>1:1 message via own-website contact form</t>
        </is>
      </c>
      <c r="K256" t="inlineStr">
        <is>
          <t>https://11elevenmedia.in/</t>
        </is>
      </c>
      <c r="L256" t="inlineStr">
        <is>
          <t>W2 Expansion</t>
        </is>
      </c>
      <c r="M256" t="inlineStr"/>
      <c r="N256" t="inlineStr"/>
      <c r="O256" s="10" t="inlineStr"/>
      <c r="P256" s="10" t="inlineStr"/>
      <c r="Q256" s="10" t="inlineStr"/>
      <c r="R256" s="10" t="inlineStr"/>
      <c r="S256" t="inlineStr"/>
      <c r="T256" s="10" t="inlineStr"/>
      <c r="U256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t="inlineStr"/>
      <c r="AC256" s="10" t="inlineStr"/>
      <c r="AD256" t="inlineStr"/>
      <c r="AE256" t="inlineStr"/>
      <c r="AF256" s="10" t="inlineStr"/>
      <c r="AG256" t="inlineStr"/>
      <c r="AH256">
        <f>IF(AND(B256="",C256=""),"",IF(AND(X256&lt;&gt;"",Y256&lt;&gt;"",Z256&lt;&gt;"",AA256&lt;&gt;"",AB256="Y"),"YES","no"))</f>
        <v/>
      </c>
      <c r="AI256" s="10">
        <f>IF(AH256="YES",MAX(X256,Y256,Z256,AA256),"")</f>
        <v/>
      </c>
      <c r="AJ256">
        <f>IF(AND(B256="",C256=""),"",IF(OR(S256="Not interested",S256="Opt-out / do not contact"),"X Declined / suppressed",IF(S256="Bounced / undeliverable","X Bounced — research",IF(AC256&lt;&gt;"","13 Transacting",IF(AH256="YES","12 ACTIVATED",IF(Z256&lt;&gt;"","11 Listing live",IF(Y256&lt;&gt;"","10 Profile complete",IF(X256&lt;&gt;"","9 Approved",IF(W256&lt;&gt;"","8 KYC submitted",IF(V256&lt;&gt;"","7 Registered",IF(T256&lt;&gt;"","5 Interested",IF(R256&lt;&gt;"","4 Responded",IF(O256&lt;&gt;"","2 Contacted","1 Not yet contacted")))))))))))))</f>
        <v/>
      </c>
      <c r="AK256" s="10">
        <f>IF(AF256&lt;&gt;"",AF256,IF(OR(O256="",R256&lt;&gt;"",LEFT(AJ256,1)="X"),"",IF(Q256&lt;&gt;"","",IF(P256&lt;&gt;"",P256+SETTINGS!$B$4,O256+SETTINGS!$B$3))))</f>
        <v/>
      </c>
      <c r="AL256">
        <f>IF(AJ256="","",IF(LEFT(AJ256,1)="X","None — do not contact",IF(AJ256="1 Not yet contacted","Verify route today, then send M1",IF(AND(R256="",Q256&lt;&gt;""),"Sequence complete — no contact before "&amp;TEXT(Q256+SETTINGS!$B$5,"yyyy-mm-dd"),IF(AND(R256="",P256&lt;&gt;""),"Send final note (M4)",IF(R256="","Send follow-up (M2)",IF(AJ256="12 ACTIVATED","7-day check-in; consent &amp; referral soft ask",IF(AJ256="13 Transacting","Repeat-activity support","Onboarding: move to next stage (see playbook §6)"))))))))</f>
        <v/>
      </c>
      <c r="AM256">
        <f>IF(ISNUMBER(AK256),IF(AK256&lt;=TODAY(),"DUE",""),"")</f>
        <v/>
      </c>
      <c r="AN256">
        <f>IF(COUNT(O256,P256,Q256,R256,T256,V256,W256,X256,Y256,Z256,AA256,AC256)=0,"",TODAY()-MAX(O256,P256,Q256,R256,T256,V256,W256,X256,Y256,Z256,AA256,AC256))</f>
        <v/>
      </c>
      <c r="AO256">
        <f>IF(AJ256="","",IF(AND(T256&lt;&gt;"",U256&lt;&gt;"Active (verified)"),"GST: escalate (no tax advice)",IF(AND(IFERROR(VALUE(LEFT(AJ256,2)),0)&gt;=5,AH256&lt;&gt;"YES",ISNUMBER(AN256),AN256&gt;SETTINGS!$B$14),"STUCK in onboarding","")))</f>
        <v/>
      </c>
    </row>
    <row r="257">
      <c r="A257" t="n">
        <v>256</v>
      </c>
      <c r="B257" t="inlineStr">
        <is>
          <t>UPK2-LM-342</t>
        </is>
      </c>
      <c r="C257" t="inlineStr">
        <is>
          <t>Sowmya Photography</t>
        </is>
      </c>
      <c r="D257" t="inlineStr">
        <is>
          <t>Lens &amp; Motion</t>
        </is>
      </c>
      <c r="E257" t="inlineStr">
        <is>
          <t>LM-WEDDING</t>
        </is>
      </c>
      <c r="F257" t="inlineStr">
        <is>
          <t>Bengaluru</t>
        </is>
      </c>
      <c r="G257" t="inlineStr">
        <is>
          <t>A</t>
        </is>
      </c>
      <c r="H257" t="inlineStr">
        <is>
          <t>P0</t>
        </is>
      </c>
      <c r="I257" t="inlineStr">
        <is>
          <t>under-discovered</t>
        </is>
      </c>
      <c r="J257" t="inlineStr">
        <is>
          <t>Personal 1:1 email from founder/team to published business email</t>
        </is>
      </c>
      <c r="K257" t="inlineStr">
        <is>
          <t>https://sowmyaphotography.in/contact</t>
        </is>
      </c>
      <c r="L257" t="inlineStr">
        <is>
          <t>W2 Expansion</t>
        </is>
      </c>
      <c r="M257" t="inlineStr"/>
      <c r="N257" t="inlineStr"/>
      <c r="O257" s="10" t="inlineStr"/>
      <c r="P257" s="10" t="inlineStr"/>
      <c r="Q257" s="10" t="inlineStr"/>
      <c r="R257" s="10" t="inlineStr"/>
      <c r="S257" t="inlineStr"/>
      <c r="T257" s="10" t="inlineStr"/>
      <c r="U257" t="inlineStr"/>
      <c r="V257" s="10" t="inlineStr"/>
      <c r="W257" s="10" t="inlineStr"/>
      <c r="X257" s="10" t="inlineStr"/>
      <c r="Y257" s="10" t="inlineStr"/>
      <c r="Z257" s="10" t="inlineStr"/>
      <c r="AA257" s="10" t="inlineStr"/>
      <c r="AB257" t="inlineStr"/>
      <c r="AC257" s="10" t="inlineStr"/>
      <c r="AD257" t="inlineStr"/>
      <c r="AE257" t="inlineStr"/>
      <c r="AF257" s="10" t="inlineStr"/>
      <c r="AG257" t="inlineStr"/>
      <c r="AH257">
        <f>IF(AND(B257="",C257=""),"",IF(AND(X257&lt;&gt;"",Y257&lt;&gt;"",Z257&lt;&gt;"",AA257&lt;&gt;"",AB257="Y"),"YES","no"))</f>
        <v/>
      </c>
      <c r="AI257" s="10">
        <f>IF(AH257="YES",MAX(X257,Y257,Z257,AA257),"")</f>
        <v/>
      </c>
      <c r="AJ257">
        <f>IF(AND(B257="",C257=""),"",IF(OR(S257="Not interested",S257="Opt-out / do not contact"),"X Declined / suppressed",IF(S257="Bounced / undeliverable","X Bounced — research",IF(AC257&lt;&gt;"","13 Transacting",IF(AH257="YES","12 ACTIVATED",IF(Z257&lt;&gt;"","11 Listing live",IF(Y257&lt;&gt;"","10 Profile complete",IF(X257&lt;&gt;"","9 Approved",IF(W257&lt;&gt;"","8 KYC submitted",IF(V257&lt;&gt;"","7 Registered",IF(T257&lt;&gt;"","5 Interested",IF(R257&lt;&gt;"","4 Responded",IF(O257&lt;&gt;"","2 Contacted","1 Not yet contacted")))))))))))))</f>
        <v/>
      </c>
      <c r="AK257" s="10">
        <f>IF(AF257&lt;&gt;"",AF257,IF(OR(O257="",R257&lt;&gt;"",LEFT(AJ257,1)="X"),"",IF(Q257&lt;&gt;"","",IF(P257&lt;&gt;"",P257+SETTINGS!$B$4,O257+SETTINGS!$B$3))))</f>
        <v/>
      </c>
      <c r="AL257">
        <f>IF(AJ257="","",IF(LEFT(AJ257,1)="X","None — do not contact",IF(AJ257="1 Not yet contacted","Verify route today, then send M1",IF(AND(R257="",Q257&lt;&gt;""),"Sequence complete — no contact before "&amp;TEXT(Q257+SETTINGS!$B$5,"yyyy-mm-dd"),IF(AND(R257="",P257&lt;&gt;""),"Send final note (M4)",IF(R257="","Send follow-up (M2)",IF(AJ257="12 ACTIVATED","7-day check-in; consent &amp; referral soft ask",IF(AJ257="13 Transacting","Repeat-activity support","Onboarding: move to next stage (see playbook §6)"))))))))</f>
        <v/>
      </c>
      <c r="AM257">
        <f>IF(ISNUMBER(AK257),IF(AK257&lt;=TODAY(),"DUE",""),"")</f>
        <v/>
      </c>
      <c r="AN257">
        <f>IF(COUNT(O257,P257,Q257,R257,T257,V257,W257,X257,Y257,Z257,AA257,AC257)=0,"",TODAY()-MAX(O257,P257,Q257,R257,T257,V257,W257,X257,Y257,Z257,AA257,AC257))</f>
        <v/>
      </c>
      <c r="AO257">
        <f>IF(AJ257="","",IF(AND(T257&lt;&gt;"",U257&lt;&gt;"Active (verified)"),"GST: escalate (no tax advice)",IF(AND(IFERROR(VALUE(LEFT(AJ257,2)),0)&gt;=5,AH257&lt;&gt;"YES",ISNUMBER(AN257),AN257&gt;SETTINGS!$B$14),"STUCK in onboarding","")))</f>
        <v/>
      </c>
    </row>
    <row r="258">
      <c r="A258" t="n">
        <v>257</v>
      </c>
      <c r="B258" t="inlineStr">
        <is>
          <t>UPK2-LM-307</t>
        </is>
      </c>
      <c r="C258" t="inlineStr">
        <is>
          <t>Glamour Lens Pro</t>
        </is>
      </c>
      <c r="D258" t="inlineStr">
        <is>
          <t>Lens &amp; Motion</t>
        </is>
      </c>
      <c r="E258" t="inlineStr">
        <is>
          <t>LM-WEDDING</t>
        </is>
      </c>
      <c r="F258" t="inlineStr">
        <is>
          <t>Bengaluru</t>
        </is>
      </c>
      <c r="G258" t="inlineStr">
        <is>
          <t>A</t>
        </is>
      </c>
      <c r="H258" t="inlineStr">
        <is>
          <t>P1</t>
        </is>
      </c>
      <c r="I258" t="inlineStr">
        <is>
          <t>under-discovered</t>
        </is>
      </c>
      <c r="J258" t="inlineStr">
        <is>
          <t>Personal 1:1 email from founder/team to published business email</t>
        </is>
      </c>
      <c r="K258" t="inlineStr">
        <is>
          <t>https://glamourlenspro.in/</t>
        </is>
      </c>
      <c r="L258" t="inlineStr">
        <is>
          <t>W2 Expansion</t>
        </is>
      </c>
      <c r="M258" t="inlineStr"/>
      <c r="N258" t="inlineStr"/>
      <c r="O258" s="10" t="inlineStr"/>
      <c r="P258" s="10" t="inlineStr"/>
      <c r="Q258" s="10" t="inlineStr"/>
      <c r="R258" s="10" t="inlineStr"/>
      <c r="S258" t="inlineStr"/>
      <c r="T258" s="10" t="inlineStr"/>
      <c r="U258" t="inlineStr"/>
      <c r="V258" s="10" t="inlineStr"/>
      <c r="W258" s="10" t="inlineStr"/>
      <c r="X258" s="10" t="inlineStr"/>
      <c r="Y258" s="10" t="inlineStr"/>
      <c r="Z258" s="10" t="inlineStr"/>
      <c r="AA258" s="10" t="inlineStr"/>
      <c r="AB258" t="inlineStr"/>
      <c r="AC258" s="10" t="inlineStr"/>
      <c r="AD258" t="inlineStr"/>
      <c r="AE258" t="inlineStr"/>
      <c r="AF258" s="10" t="inlineStr"/>
      <c r="AG258" t="inlineStr"/>
      <c r="AH258">
        <f>IF(AND(B258="",C258=""),"",IF(AND(X258&lt;&gt;"",Y258&lt;&gt;"",Z258&lt;&gt;"",AA258&lt;&gt;"",AB258="Y"),"YES","no"))</f>
        <v/>
      </c>
      <c r="AI258" s="10">
        <f>IF(AH258="YES",MAX(X258,Y258,Z258,AA258),"")</f>
        <v/>
      </c>
      <c r="AJ258">
        <f>IF(AND(B258="",C258=""),"",IF(OR(S258="Not interested",S258="Opt-out / do not contact"),"X Declined / suppressed",IF(S258="Bounced / undeliverable","X Bounced — research",IF(AC258&lt;&gt;"","13 Transacting",IF(AH258="YES","12 ACTIVATED",IF(Z258&lt;&gt;"","11 Listing live",IF(Y258&lt;&gt;"","10 Profile complete",IF(X258&lt;&gt;"","9 Approved",IF(W258&lt;&gt;"","8 KYC submitted",IF(V258&lt;&gt;"","7 Registered",IF(T258&lt;&gt;"","5 Interested",IF(R258&lt;&gt;"","4 Responded",IF(O258&lt;&gt;"","2 Contacted","1 Not yet contacted")))))))))))))</f>
        <v/>
      </c>
      <c r="AK258" s="10">
        <f>IF(AF258&lt;&gt;"",AF258,IF(OR(O258="",R258&lt;&gt;"",LEFT(AJ258,1)="X"),"",IF(Q258&lt;&gt;"","",IF(P258&lt;&gt;"",P258+SETTINGS!$B$4,O258+SETTINGS!$B$3))))</f>
        <v/>
      </c>
      <c r="AL258">
        <f>IF(AJ258="","",IF(LEFT(AJ258,1)="X","None — do not contact",IF(AJ258="1 Not yet contacted","Verify route today, then send M1",IF(AND(R258="",Q258&lt;&gt;""),"Sequence complete — no contact before "&amp;TEXT(Q258+SETTINGS!$B$5,"yyyy-mm-dd"),IF(AND(R258="",P258&lt;&gt;""),"Send final note (M4)",IF(R258="","Send follow-up (M2)",IF(AJ258="12 ACTIVATED","7-day check-in; consent &amp; referral soft ask",IF(AJ258="13 Transacting","Repeat-activity support","Onboarding: move to next stage (see playbook §6)"))))))))</f>
        <v/>
      </c>
      <c r="AM258">
        <f>IF(ISNUMBER(AK258),IF(AK258&lt;=TODAY(),"DUE",""),"")</f>
        <v/>
      </c>
      <c r="AN258">
        <f>IF(COUNT(O258,P258,Q258,R258,T258,V258,W258,X258,Y258,Z258,AA258,AC258)=0,"",TODAY()-MAX(O258,P258,Q258,R258,T258,V258,W258,X258,Y258,Z258,AA258,AC258))</f>
        <v/>
      </c>
      <c r="AO258">
        <f>IF(AJ258="","",IF(AND(T258&lt;&gt;"",U258&lt;&gt;"Active (verified)"),"GST: escalate (no tax advice)",IF(AND(IFERROR(VALUE(LEFT(AJ258,2)),0)&gt;=5,AH258&lt;&gt;"YES",ISNUMBER(AN258),AN258&gt;SETTINGS!$B$14),"STUCK in onboarding","")))</f>
        <v/>
      </c>
    </row>
    <row r="259">
      <c r="A259" t="n">
        <v>258</v>
      </c>
      <c r="B259" t="inlineStr">
        <is>
          <t>UPK2-LM-217</t>
        </is>
      </c>
      <c r="C259" t="inlineStr">
        <is>
          <t>Bloomsco</t>
        </is>
      </c>
      <c r="D259" t="inlineStr">
        <is>
          <t>Lens &amp; Motion</t>
        </is>
      </c>
      <c r="E259" t="inlineStr">
        <is>
          <t>LM-WEDDING</t>
        </is>
      </c>
      <c r="F259" t="inlineStr">
        <is>
          <t>Jaipur</t>
        </is>
      </c>
      <c r="G259" t="inlineStr">
        <is>
          <t>B</t>
        </is>
      </c>
      <c r="H259" t="inlineStr">
        <is>
          <t>P0</t>
        </is>
      </c>
      <c r="I259" t="inlineStr"/>
      <c r="J259" t="inlineStr">
        <is>
          <t>1:1 message via own-website contact form</t>
        </is>
      </c>
      <c r="K259" t="inlineStr">
        <is>
          <t>https://bloomsco.in/contact/</t>
        </is>
      </c>
      <c r="L259" t="inlineStr">
        <is>
          <t>W2 Expansion</t>
        </is>
      </c>
      <c r="M259" t="inlineStr"/>
      <c r="N259" t="inlineStr"/>
      <c r="O259" s="10" t="inlineStr"/>
      <c r="P259" s="10" t="inlineStr"/>
      <c r="Q259" s="10" t="inlineStr"/>
      <c r="R259" s="10" t="inlineStr"/>
      <c r="S259" t="inlineStr"/>
      <c r="T259" s="10" t="inlineStr"/>
      <c r="U259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t="inlineStr"/>
      <c r="AC259" s="10" t="inlineStr"/>
      <c r="AD259" t="inlineStr"/>
      <c r="AE259" t="inlineStr"/>
      <c r="AF259" s="10" t="inlineStr"/>
      <c r="AG259" t="inlineStr"/>
      <c r="AH259">
        <f>IF(AND(B259="",C259=""),"",IF(AND(X259&lt;&gt;"",Y259&lt;&gt;"",Z259&lt;&gt;"",AA259&lt;&gt;"",AB259="Y"),"YES","no"))</f>
        <v/>
      </c>
      <c r="AI259" s="10">
        <f>IF(AH259="YES",MAX(X259,Y259,Z259,AA259),"")</f>
        <v/>
      </c>
      <c r="AJ259">
        <f>IF(AND(B259="",C259=""),"",IF(OR(S259="Not interested",S259="Opt-out / do not contact"),"X Declined / suppressed",IF(S259="Bounced / undeliverable","X Bounced — research",IF(AC259&lt;&gt;"","13 Transacting",IF(AH259="YES","12 ACTIVATED",IF(Z259&lt;&gt;"","11 Listing live",IF(Y259&lt;&gt;"","10 Profile complete",IF(X259&lt;&gt;"","9 Approved",IF(W259&lt;&gt;"","8 KYC submitted",IF(V259&lt;&gt;"","7 Registered",IF(T259&lt;&gt;"","5 Interested",IF(R259&lt;&gt;"","4 Responded",IF(O259&lt;&gt;"","2 Contacted","1 Not yet contacted")))))))))))))</f>
        <v/>
      </c>
      <c r="AK259" s="10">
        <f>IF(AF259&lt;&gt;"",AF259,IF(OR(O259="",R259&lt;&gt;"",LEFT(AJ259,1)="X"),"",IF(Q259&lt;&gt;"","",IF(P259&lt;&gt;"",P259+SETTINGS!$B$4,O259+SETTINGS!$B$3))))</f>
        <v/>
      </c>
      <c r="AL259">
        <f>IF(AJ259="","",IF(LEFT(AJ259,1)="X","None — do not contact",IF(AJ259="1 Not yet contacted","Verify route today, then send M1",IF(AND(R259="",Q259&lt;&gt;""),"Sequence complete — no contact before "&amp;TEXT(Q259+SETTINGS!$B$5,"yyyy-mm-dd"),IF(AND(R259="",P259&lt;&gt;""),"Send final note (M4)",IF(R259="","Send follow-up (M2)",IF(AJ259="12 ACTIVATED","7-day check-in; consent &amp; referral soft ask",IF(AJ259="13 Transacting","Repeat-activity support","Onboarding: move to next stage (see playbook §6)"))))))))</f>
        <v/>
      </c>
      <c r="AM259">
        <f>IF(ISNUMBER(AK259),IF(AK259&lt;=TODAY(),"DUE",""),"")</f>
        <v/>
      </c>
      <c r="AN259">
        <f>IF(COUNT(O259,P259,Q259,R259,T259,V259,W259,X259,Y259,Z259,AA259,AC259)=0,"",TODAY()-MAX(O259,P259,Q259,R259,T259,V259,W259,X259,Y259,Z259,AA259,AC259))</f>
        <v/>
      </c>
      <c r="AO259">
        <f>IF(AJ259="","",IF(AND(T259&lt;&gt;"",U259&lt;&gt;"Active (verified)"),"GST: escalate (no tax advice)",IF(AND(IFERROR(VALUE(LEFT(AJ259,2)),0)&gt;=5,AH259&lt;&gt;"YES",ISNUMBER(AN259),AN259&gt;SETTINGS!$B$14),"STUCK in onboarding","")))</f>
        <v/>
      </c>
    </row>
    <row r="260">
      <c r="A260" t="n">
        <v>259</v>
      </c>
      <c r="B260" t="inlineStr">
        <is>
          <t>UPK2-LM-212</t>
        </is>
      </c>
      <c r="C260" t="inlineStr">
        <is>
          <t>Believe Collective</t>
        </is>
      </c>
      <c r="D260" t="inlineStr">
        <is>
          <t>Lens &amp; Motion</t>
        </is>
      </c>
      <c r="E260" t="inlineStr">
        <is>
          <t>LM-WEDDING</t>
        </is>
      </c>
      <c r="F260" t="inlineStr">
        <is>
          <t>Delhi NCR</t>
        </is>
      </c>
      <c r="G260" t="inlineStr">
        <is>
          <t>B</t>
        </is>
      </c>
      <c r="H260" t="inlineStr">
        <is>
          <t>P0</t>
        </is>
      </c>
      <c r="I260" t="inlineStr"/>
      <c r="J260" t="inlineStr">
        <is>
          <t>Personal 1:1 email from founder/team to published business email</t>
        </is>
      </c>
      <c r="K260" t="inlineStr">
        <is>
          <t>https://believecollective.co/</t>
        </is>
      </c>
      <c r="L260" t="inlineStr">
        <is>
          <t>W2 Expansion</t>
        </is>
      </c>
      <c r="M260" t="inlineStr"/>
      <c r="N260" t="inlineStr"/>
      <c r="O260" s="10" t="inlineStr"/>
      <c r="P260" s="10" t="inlineStr"/>
      <c r="Q260" s="10" t="inlineStr"/>
      <c r="R260" s="10" t="inlineStr"/>
      <c r="S260" t="inlineStr"/>
      <c r="T260" s="10" t="inlineStr"/>
      <c r="U260" t="inlineStr"/>
      <c r="V260" s="10" t="inlineStr"/>
      <c r="W260" s="10" t="inlineStr"/>
      <c r="X260" s="10" t="inlineStr"/>
      <c r="Y260" s="10" t="inlineStr"/>
      <c r="Z260" s="10" t="inlineStr"/>
      <c r="AA260" s="10" t="inlineStr"/>
      <c r="AB260" t="inlineStr"/>
      <c r="AC260" s="10" t="inlineStr"/>
      <c r="AD260" t="inlineStr"/>
      <c r="AE260" t="inlineStr"/>
      <c r="AF260" s="10" t="inlineStr"/>
      <c r="AG260" t="inlineStr"/>
      <c r="AH260">
        <f>IF(AND(B260="",C260=""),"",IF(AND(X260&lt;&gt;"",Y260&lt;&gt;"",Z260&lt;&gt;"",AA260&lt;&gt;"",AB260="Y"),"YES","no"))</f>
        <v/>
      </c>
      <c r="AI260" s="10">
        <f>IF(AH260="YES",MAX(X260,Y260,Z260,AA260),"")</f>
        <v/>
      </c>
      <c r="AJ260">
        <f>IF(AND(B260="",C260=""),"",IF(OR(S260="Not interested",S260="Opt-out / do not contact"),"X Declined / suppressed",IF(S260="Bounced / undeliverable","X Bounced — research",IF(AC260&lt;&gt;"","13 Transacting",IF(AH260="YES","12 ACTIVATED",IF(Z260&lt;&gt;"","11 Listing live",IF(Y260&lt;&gt;"","10 Profile complete",IF(X260&lt;&gt;"","9 Approved",IF(W260&lt;&gt;"","8 KYC submitted",IF(V260&lt;&gt;"","7 Registered",IF(T260&lt;&gt;"","5 Interested",IF(R260&lt;&gt;"","4 Responded",IF(O260&lt;&gt;"","2 Contacted","1 Not yet contacted")))))))))))))</f>
        <v/>
      </c>
      <c r="AK260" s="10">
        <f>IF(AF260&lt;&gt;"",AF260,IF(OR(O260="",R260&lt;&gt;"",LEFT(AJ260,1)="X"),"",IF(Q260&lt;&gt;"","",IF(P260&lt;&gt;"",P260+SETTINGS!$B$4,O260+SETTINGS!$B$3))))</f>
        <v/>
      </c>
      <c r="AL260">
        <f>IF(AJ260="","",IF(LEFT(AJ260,1)="X","None — do not contact",IF(AJ260="1 Not yet contacted","Verify route today, then send M1",IF(AND(R260="",Q260&lt;&gt;""),"Sequence complete — no contact before "&amp;TEXT(Q260+SETTINGS!$B$5,"yyyy-mm-dd"),IF(AND(R260="",P260&lt;&gt;""),"Send final note (M4)",IF(R260="","Send follow-up (M2)",IF(AJ260="12 ACTIVATED","7-day check-in; consent &amp; referral soft ask",IF(AJ260="13 Transacting","Repeat-activity support","Onboarding: move to next stage (see playbook §6)"))))))))</f>
        <v/>
      </c>
      <c r="AM260">
        <f>IF(ISNUMBER(AK260),IF(AK260&lt;=TODAY(),"DUE",""),"")</f>
        <v/>
      </c>
      <c r="AN260">
        <f>IF(COUNT(O260,P260,Q260,R260,T260,V260,W260,X260,Y260,Z260,AA260,AC260)=0,"",TODAY()-MAX(O260,P260,Q260,R260,T260,V260,W260,X260,Y260,Z260,AA260,AC260))</f>
        <v/>
      </c>
      <c r="AO260">
        <f>IF(AJ260="","",IF(AND(T260&lt;&gt;"",U260&lt;&gt;"Active (verified)"),"GST: escalate (no tax advice)",IF(AND(IFERROR(VALUE(LEFT(AJ260,2)),0)&gt;=5,AH260&lt;&gt;"YES",ISNUMBER(AN260),AN260&gt;SETTINGS!$B$14),"STUCK in onboarding","")))</f>
        <v/>
      </c>
    </row>
    <row r="261">
      <c r="A261" t="n">
        <v>260</v>
      </c>
      <c r="B261" t="inlineStr">
        <is>
          <t>UPK2-LM-218</t>
        </is>
      </c>
      <c r="C261" t="inlineStr">
        <is>
          <t>Dadiwala Production</t>
        </is>
      </c>
      <c r="D261" t="inlineStr">
        <is>
          <t>Lens &amp; Motion</t>
        </is>
      </c>
      <c r="E261" t="inlineStr">
        <is>
          <t>LM-WEDDING</t>
        </is>
      </c>
      <c r="F261" t="inlineStr">
        <is>
          <t>Mumbai</t>
        </is>
      </c>
      <c r="G261" t="inlineStr">
        <is>
          <t>B</t>
        </is>
      </c>
      <c r="H261" t="inlineStr">
        <is>
          <t>P1</t>
        </is>
      </c>
      <c r="I261" t="inlineStr"/>
      <c r="J261" t="inlineStr">
        <is>
          <t>Personal 1:1 email from founder/team to published business email</t>
        </is>
      </c>
      <c r="K261" t="inlineStr">
        <is>
          <t>https://dadiwalaproduction.com/</t>
        </is>
      </c>
      <c r="L261" t="inlineStr">
        <is>
          <t>W2 Expansion</t>
        </is>
      </c>
      <c r="M261" t="inlineStr"/>
      <c r="N261" t="inlineStr"/>
      <c r="O261" s="10" t="inlineStr"/>
      <c r="P261" s="10" t="inlineStr"/>
      <c r="Q261" s="10" t="inlineStr"/>
      <c r="R261" s="10" t="inlineStr"/>
      <c r="S261" t="inlineStr"/>
      <c r="T261" s="10" t="inlineStr"/>
      <c r="U261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t="inlineStr"/>
      <c r="AC261" s="10" t="inlineStr"/>
      <c r="AD261" t="inlineStr"/>
      <c r="AE261" t="inlineStr"/>
      <c r="AF261" s="10" t="inlineStr"/>
      <c r="AG261" t="inlineStr"/>
      <c r="AH261">
        <f>IF(AND(B261="",C261=""),"",IF(AND(X261&lt;&gt;"",Y261&lt;&gt;"",Z261&lt;&gt;"",AA261&lt;&gt;"",AB261="Y"),"YES","no"))</f>
        <v/>
      </c>
      <c r="AI261" s="10">
        <f>IF(AH261="YES",MAX(X261,Y261,Z261,AA261),"")</f>
        <v/>
      </c>
      <c r="AJ261">
        <f>IF(AND(B261="",C261=""),"",IF(OR(S261="Not interested",S261="Opt-out / do not contact"),"X Declined / suppressed",IF(S261="Bounced / undeliverable","X Bounced — research",IF(AC261&lt;&gt;"","13 Transacting",IF(AH261="YES","12 ACTIVATED",IF(Z261&lt;&gt;"","11 Listing live",IF(Y261&lt;&gt;"","10 Profile complete",IF(X261&lt;&gt;"","9 Approved",IF(W261&lt;&gt;"","8 KYC submitted",IF(V261&lt;&gt;"","7 Registered",IF(T261&lt;&gt;"","5 Interested",IF(R261&lt;&gt;"","4 Responded",IF(O261&lt;&gt;"","2 Contacted","1 Not yet contacted")))))))))))))</f>
        <v/>
      </c>
      <c r="AK261" s="10">
        <f>IF(AF261&lt;&gt;"",AF261,IF(OR(O261="",R261&lt;&gt;"",LEFT(AJ261,1)="X"),"",IF(Q261&lt;&gt;"","",IF(P261&lt;&gt;"",P261+SETTINGS!$B$4,O261+SETTINGS!$B$3))))</f>
        <v/>
      </c>
      <c r="AL261">
        <f>IF(AJ261="","",IF(LEFT(AJ261,1)="X","None — do not contact",IF(AJ261="1 Not yet contacted","Verify route today, then send M1",IF(AND(R261="",Q261&lt;&gt;""),"Sequence complete — no contact before "&amp;TEXT(Q261+SETTINGS!$B$5,"yyyy-mm-dd"),IF(AND(R261="",P261&lt;&gt;""),"Send final note (M4)",IF(R261="","Send follow-up (M2)",IF(AJ261="12 ACTIVATED","7-day check-in; consent &amp; referral soft ask",IF(AJ261="13 Transacting","Repeat-activity support","Onboarding: move to next stage (see playbook §6)"))))))))</f>
        <v/>
      </c>
      <c r="AM261">
        <f>IF(ISNUMBER(AK261),IF(AK261&lt;=TODAY(),"DUE",""),"")</f>
        <v/>
      </c>
      <c r="AN261">
        <f>IF(COUNT(O261,P261,Q261,R261,T261,V261,W261,X261,Y261,Z261,AA261,AC261)=0,"",TODAY()-MAX(O261,P261,Q261,R261,T261,V261,W261,X261,Y261,Z261,AA261,AC261))</f>
        <v/>
      </c>
      <c r="AO261">
        <f>IF(AJ261="","",IF(AND(T261&lt;&gt;"",U261&lt;&gt;"Active (verified)"),"GST: escalate (no tax advice)",IF(AND(IFERROR(VALUE(LEFT(AJ261,2)),0)&gt;=5,AH261&lt;&gt;"YES",ISNUMBER(AN261),AN261&gt;SETTINGS!$B$14),"STUCK in onboarding","")))</f>
        <v/>
      </c>
    </row>
    <row r="262">
      <c r="A262" t="n">
        <v>261</v>
      </c>
      <c r="B262" t="inlineStr">
        <is>
          <t>UPK2-LM-005</t>
        </is>
      </c>
      <c r="C262" t="inlineStr">
        <is>
          <t>Harsha Bathija</t>
        </is>
      </c>
      <c r="D262" t="inlineStr">
        <is>
          <t>Lens &amp; Motion</t>
        </is>
      </c>
      <c r="E262" t="inlineStr">
        <is>
          <t>LM-WEDDING</t>
        </is>
      </c>
      <c r="F262" t="inlineStr">
        <is>
          <t>Mumbai</t>
        </is>
      </c>
      <c r="G262" t="inlineStr">
        <is>
          <t>C</t>
        </is>
      </c>
      <c r="H262" t="inlineStr">
        <is>
          <t>P0</t>
        </is>
      </c>
      <c r="I262" t="inlineStr"/>
      <c r="J262" t="inlineStr">
        <is>
          <t>Personal 1:1 email from founder/team to published business email</t>
        </is>
      </c>
      <c r="K262" t="inlineStr">
        <is>
          <t>https://www.harshabathija.com</t>
        </is>
      </c>
      <c r="L262" t="inlineStr">
        <is>
          <t>W2 Expansion</t>
        </is>
      </c>
      <c r="M262" t="inlineStr"/>
      <c r="N262" t="inlineStr"/>
      <c r="O262" s="10" t="inlineStr"/>
      <c r="P262" s="10" t="inlineStr"/>
      <c r="Q262" s="10" t="inlineStr"/>
      <c r="R262" s="10" t="inlineStr"/>
      <c r="S262" t="inlineStr"/>
      <c r="T262" s="10" t="inlineStr"/>
      <c r="U262" t="inlineStr"/>
      <c r="V262" s="10" t="inlineStr"/>
      <c r="W262" s="10" t="inlineStr"/>
      <c r="X262" s="10" t="inlineStr"/>
      <c r="Y262" s="10" t="inlineStr"/>
      <c r="Z262" s="10" t="inlineStr"/>
      <c r="AA262" s="10" t="inlineStr"/>
      <c r="AB262" t="inlineStr"/>
      <c r="AC262" s="10" t="inlineStr"/>
      <c r="AD262" t="inlineStr"/>
      <c r="AE262" t="inlineStr"/>
      <c r="AF262" s="10" t="inlineStr"/>
      <c r="AG262" t="inlineStr"/>
      <c r="AH262">
        <f>IF(AND(B262="",C262=""),"",IF(AND(X262&lt;&gt;"",Y262&lt;&gt;"",Z262&lt;&gt;"",AA262&lt;&gt;"",AB262="Y"),"YES","no"))</f>
        <v/>
      </c>
      <c r="AI262" s="10">
        <f>IF(AH262="YES",MAX(X262,Y262,Z262,AA262),"")</f>
        <v/>
      </c>
      <c r="AJ262">
        <f>IF(AND(B262="",C262=""),"",IF(OR(S262="Not interested",S262="Opt-out / do not contact"),"X Declined / suppressed",IF(S262="Bounced / undeliverable","X Bounced — research",IF(AC262&lt;&gt;"","13 Transacting",IF(AH262="YES","12 ACTIVATED",IF(Z262&lt;&gt;"","11 Listing live",IF(Y262&lt;&gt;"","10 Profile complete",IF(X262&lt;&gt;"","9 Approved",IF(W262&lt;&gt;"","8 KYC submitted",IF(V262&lt;&gt;"","7 Registered",IF(T262&lt;&gt;"","5 Interested",IF(R262&lt;&gt;"","4 Responded",IF(O262&lt;&gt;"","2 Contacted","1 Not yet contacted")))))))))))))</f>
        <v/>
      </c>
      <c r="AK262" s="10">
        <f>IF(AF262&lt;&gt;"",AF262,IF(OR(O262="",R262&lt;&gt;"",LEFT(AJ262,1)="X"),"",IF(Q262&lt;&gt;"","",IF(P262&lt;&gt;"",P262+SETTINGS!$B$4,O262+SETTINGS!$B$3))))</f>
        <v/>
      </c>
      <c r="AL262">
        <f>IF(AJ262="","",IF(LEFT(AJ262,1)="X","None — do not contact",IF(AJ262="1 Not yet contacted","Verify route today, then send M1",IF(AND(R262="",Q262&lt;&gt;""),"Sequence complete — no contact before "&amp;TEXT(Q262+SETTINGS!$B$5,"yyyy-mm-dd"),IF(AND(R262="",P262&lt;&gt;""),"Send final note (M4)",IF(R262="","Send follow-up (M2)",IF(AJ262="12 ACTIVATED","7-day check-in; consent &amp; referral soft ask",IF(AJ262="13 Transacting","Repeat-activity support","Onboarding: move to next stage (see playbook §6)"))))))))</f>
        <v/>
      </c>
      <c r="AM262">
        <f>IF(ISNUMBER(AK262),IF(AK262&lt;=TODAY(),"DUE",""),"")</f>
        <v/>
      </c>
      <c r="AN262">
        <f>IF(COUNT(O262,P262,Q262,R262,T262,V262,W262,X262,Y262,Z262,AA262,AC262)=0,"",TODAY()-MAX(O262,P262,Q262,R262,T262,V262,W262,X262,Y262,Z262,AA262,AC262))</f>
        <v/>
      </c>
      <c r="AO262">
        <f>IF(AJ262="","",IF(AND(T262&lt;&gt;"",U262&lt;&gt;"Active (verified)"),"GST: escalate (no tax advice)",IF(AND(IFERROR(VALUE(LEFT(AJ262,2)),0)&gt;=5,AH262&lt;&gt;"YES",ISNUMBER(AN262),AN262&gt;SETTINGS!$B$14),"STUCK in onboarding","")))</f>
        <v/>
      </c>
    </row>
    <row r="263">
      <c r="A263" t="n">
        <v>262</v>
      </c>
      <c r="B263" t="inlineStr">
        <is>
          <t>UPK2-LM-233</t>
        </is>
      </c>
      <c r="C263" t="inlineStr">
        <is>
          <t>Aikya Productions</t>
        </is>
      </c>
      <c r="D263" t="inlineStr">
        <is>
          <t>Lens &amp; Motion</t>
        </is>
      </c>
      <c r="E263" t="inlineStr">
        <is>
          <t>LM-WEDDING</t>
        </is>
      </c>
      <c r="F263" t="inlineStr">
        <is>
          <t>Bengaluru</t>
        </is>
      </c>
      <c r="G263" t="inlineStr">
        <is>
          <t>B</t>
        </is>
      </c>
      <c r="H263" t="inlineStr">
        <is>
          <t>P0</t>
        </is>
      </c>
      <c r="I263" t="inlineStr"/>
      <c r="J263" t="inlineStr">
        <is>
          <t>Personal 1:1 email from founder/team to published business email</t>
        </is>
      </c>
      <c r="K263" t="inlineStr">
        <is>
          <t>https://www.aikyaproductions.com/contact</t>
        </is>
      </c>
      <c r="L263" t="inlineStr">
        <is>
          <t>W2 Expansion</t>
        </is>
      </c>
      <c r="M263" t="inlineStr"/>
      <c r="N263" t="inlineStr"/>
      <c r="O263" s="10" t="inlineStr"/>
      <c r="P263" s="10" t="inlineStr"/>
      <c r="Q263" s="10" t="inlineStr"/>
      <c r="R263" s="10" t="inlineStr"/>
      <c r="S263" t="inlineStr"/>
      <c r="T263" s="10" t="inlineStr"/>
      <c r="U263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t="inlineStr"/>
      <c r="AC263" s="10" t="inlineStr"/>
      <c r="AD263" t="inlineStr"/>
      <c r="AE263" t="inlineStr"/>
      <c r="AF263" s="10" t="inlineStr"/>
      <c r="AG263" t="inlineStr"/>
      <c r="AH263">
        <f>IF(AND(B263="",C263=""),"",IF(AND(X263&lt;&gt;"",Y263&lt;&gt;"",Z263&lt;&gt;"",AA263&lt;&gt;"",AB263="Y"),"YES","no"))</f>
        <v/>
      </c>
      <c r="AI263" s="10">
        <f>IF(AH263="YES",MAX(X263,Y263,Z263,AA263),"")</f>
        <v/>
      </c>
      <c r="AJ263">
        <f>IF(AND(B263="",C263=""),"",IF(OR(S263="Not interested",S263="Opt-out / do not contact"),"X Declined / suppressed",IF(S263="Bounced / undeliverable","X Bounced — research",IF(AC263&lt;&gt;"","13 Transacting",IF(AH263="YES","12 ACTIVATED",IF(Z263&lt;&gt;"","11 Listing live",IF(Y263&lt;&gt;"","10 Profile complete",IF(X263&lt;&gt;"","9 Approved",IF(W263&lt;&gt;"","8 KYC submitted",IF(V263&lt;&gt;"","7 Registered",IF(T263&lt;&gt;"","5 Interested",IF(R263&lt;&gt;"","4 Responded",IF(O263&lt;&gt;"","2 Contacted","1 Not yet contacted")))))))))))))</f>
        <v/>
      </c>
      <c r="AK263" s="10">
        <f>IF(AF263&lt;&gt;"",AF263,IF(OR(O263="",R263&lt;&gt;"",LEFT(AJ263,1)="X"),"",IF(Q263&lt;&gt;"","",IF(P263&lt;&gt;"",P263+SETTINGS!$B$4,O263+SETTINGS!$B$3))))</f>
        <v/>
      </c>
      <c r="AL263">
        <f>IF(AJ263="","",IF(LEFT(AJ263,1)="X","None — do not contact",IF(AJ263="1 Not yet contacted","Verify route today, then send M1",IF(AND(R263="",Q263&lt;&gt;""),"Sequence complete — no contact before "&amp;TEXT(Q263+SETTINGS!$B$5,"yyyy-mm-dd"),IF(AND(R263="",P263&lt;&gt;""),"Send final note (M4)",IF(R263="","Send follow-up (M2)",IF(AJ263="12 ACTIVATED","7-day check-in; consent &amp; referral soft ask",IF(AJ263="13 Transacting","Repeat-activity support","Onboarding: move to next stage (see playbook §6)"))))))))</f>
        <v/>
      </c>
      <c r="AM263">
        <f>IF(ISNUMBER(AK263),IF(AK263&lt;=TODAY(),"DUE",""),"")</f>
        <v/>
      </c>
      <c r="AN263">
        <f>IF(COUNT(O263,P263,Q263,R263,T263,V263,W263,X263,Y263,Z263,AA263,AC263)=0,"",TODAY()-MAX(O263,P263,Q263,R263,T263,V263,W263,X263,Y263,Z263,AA263,AC263))</f>
        <v/>
      </c>
      <c r="AO263">
        <f>IF(AJ263="","",IF(AND(T263&lt;&gt;"",U263&lt;&gt;"Active (verified)"),"GST: escalate (no tax advice)",IF(AND(IFERROR(VALUE(LEFT(AJ263,2)),0)&gt;=5,AH263&lt;&gt;"YES",ISNUMBER(AN263),AN263&gt;SETTINGS!$B$14),"STUCK in onboarding","")))</f>
        <v/>
      </c>
    </row>
    <row r="264">
      <c r="A264" t="n">
        <v>263</v>
      </c>
      <c r="B264" t="inlineStr">
        <is>
          <t>UPK2-LM-221</t>
        </is>
      </c>
      <c r="C264" t="inlineStr">
        <is>
          <t>Candid Life Photography</t>
        </is>
      </c>
      <c r="D264" t="inlineStr">
        <is>
          <t>Lens &amp; Motion</t>
        </is>
      </c>
      <c r="E264" t="inlineStr">
        <is>
          <t>LM-WEDDING</t>
        </is>
      </c>
      <c r="F264" t="inlineStr">
        <is>
          <t>Jaipur</t>
        </is>
      </c>
      <c r="G264" t="inlineStr">
        <is>
          <t>B</t>
        </is>
      </c>
      <c r="H264" t="inlineStr">
        <is>
          <t>P1</t>
        </is>
      </c>
      <c r="I264" t="inlineStr"/>
      <c r="J264" t="inlineStr">
        <is>
          <t>1:1 message via own-website contact form</t>
        </is>
      </c>
      <c r="K264" t="inlineStr">
        <is>
          <t>https://candidlifephotography.in/contact-us/</t>
        </is>
      </c>
      <c r="L264" t="inlineStr">
        <is>
          <t>W2 Expansion</t>
        </is>
      </c>
      <c r="M264" t="inlineStr"/>
      <c r="N264" t="inlineStr"/>
      <c r="O264" s="10" t="inlineStr"/>
      <c r="P264" s="10" t="inlineStr"/>
      <c r="Q264" s="10" t="inlineStr"/>
      <c r="R264" s="10" t="inlineStr"/>
      <c r="S264" t="inlineStr"/>
      <c r="T264" s="10" t="inlineStr"/>
      <c r="U264" t="inlineStr"/>
      <c r="V264" s="10" t="inlineStr"/>
      <c r="W264" s="10" t="inlineStr"/>
      <c r="X264" s="10" t="inlineStr"/>
      <c r="Y264" s="10" t="inlineStr"/>
      <c r="Z264" s="10" t="inlineStr"/>
      <c r="AA264" s="10" t="inlineStr"/>
      <c r="AB264" t="inlineStr"/>
      <c r="AC264" s="10" t="inlineStr"/>
      <c r="AD264" t="inlineStr"/>
      <c r="AE264" t="inlineStr"/>
      <c r="AF264" s="10" t="inlineStr"/>
      <c r="AG264" t="inlineStr"/>
      <c r="AH264">
        <f>IF(AND(B264="",C264=""),"",IF(AND(X264&lt;&gt;"",Y264&lt;&gt;"",Z264&lt;&gt;"",AA264&lt;&gt;"",AB264="Y"),"YES","no"))</f>
        <v/>
      </c>
      <c r="AI264" s="10">
        <f>IF(AH264="YES",MAX(X264,Y264,Z264,AA264),"")</f>
        <v/>
      </c>
      <c r="AJ264">
        <f>IF(AND(B264="",C264=""),"",IF(OR(S264="Not interested",S264="Opt-out / do not contact"),"X Declined / suppressed",IF(S264="Bounced / undeliverable","X Bounced — research",IF(AC264&lt;&gt;"","13 Transacting",IF(AH264="YES","12 ACTIVATED",IF(Z264&lt;&gt;"","11 Listing live",IF(Y264&lt;&gt;"","10 Profile complete",IF(X264&lt;&gt;"","9 Approved",IF(W264&lt;&gt;"","8 KYC submitted",IF(V264&lt;&gt;"","7 Registered",IF(T264&lt;&gt;"","5 Interested",IF(R264&lt;&gt;"","4 Responded",IF(O264&lt;&gt;"","2 Contacted","1 Not yet contacted")))))))))))))</f>
        <v/>
      </c>
      <c r="AK264" s="10">
        <f>IF(AF264&lt;&gt;"",AF264,IF(OR(O264="",R264&lt;&gt;"",LEFT(AJ264,1)="X"),"",IF(Q264&lt;&gt;"","",IF(P264&lt;&gt;"",P264+SETTINGS!$B$4,O264+SETTINGS!$B$3))))</f>
        <v/>
      </c>
      <c r="AL264">
        <f>IF(AJ264="","",IF(LEFT(AJ264,1)="X","None — do not contact",IF(AJ264="1 Not yet contacted","Verify route today, then send M1",IF(AND(R264="",Q264&lt;&gt;""),"Sequence complete — no contact before "&amp;TEXT(Q264+SETTINGS!$B$5,"yyyy-mm-dd"),IF(AND(R264="",P264&lt;&gt;""),"Send final note (M4)",IF(R264="","Send follow-up (M2)",IF(AJ264="12 ACTIVATED","7-day check-in; consent &amp; referral soft ask",IF(AJ264="13 Transacting","Repeat-activity support","Onboarding: move to next stage (see playbook §6)"))))))))</f>
        <v/>
      </c>
      <c r="AM264">
        <f>IF(ISNUMBER(AK264),IF(AK264&lt;=TODAY(),"DUE",""),"")</f>
        <v/>
      </c>
      <c r="AN264">
        <f>IF(COUNT(O264,P264,Q264,R264,T264,V264,W264,X264,Y264,Z264,AA264,AC264)=0,"",TODAY()-MAX(O264,P264,Q264,R264,T264,V264,W264,X264,Y264,Z264,AA264,AC264))</f>
        <v/>
      </c>
      <c r="AO264">
        <f>IF(AJ264="","",IF(AND(T264&lt;&gt;"",U264&lt;&gt;"Active (verified)"),"GST: escalate (no tax advice)",IF(AND(IFERROR(VALUE(LEFT(AJ264,2)),0)&gt;=5,AH264&lt;&gt;"YES",ISNUMBER(AN264),AN264&gt;SETTINGS!$B$14),"STUCK in onboarding","")))</f>
        <v/>
      </c>
    </row>
    <row r="265">
      <c r="A265" t="n">
        <v>264</v>
      </c>
      <c r="B265" t="inlineStr">
        <is>
          <t>UPK2-LM-214</t>
        </is>
      </c>
      <c r="C265" t="inlineStr">
        <is>
          <t>Bhaven Jani Photography</t>
        </is>
      </c>
      <c r="D265" t="inlineStr">
        <is>
          <t>Lens &amp; Motion</t>
        </is>
      </c>
      <c r="E265" t="inlineStr">
        <is>
          <t>LM-WEDDING</t>
        </is>
      </c>
      <c r="F265" t="inlineStr">
        <is>
          <t>Delhi NCR</t>
        </is>
      </c>
      <c r="G265" t="inlineStr">
        <is>
          <t>B</t>
        </is>
      </c>
      <c r="H265" t="inlineStr">
        <is>
          <t>P1</t>
        </is>
      </c>
      <c r="I265" t="inlineStr"/>
      <c r="J265" t="inlineStr">
        <is>
          <t>Personal 1:1 email from founder/team to published business email</t>
        </is>
      </c>
      <c r="K265" t="inlineStr">
        <is>
          <t>https://bhavenjani.in/</t>
        </is>
      </c>
      <c r="L265" t="inlineStr">
        <is>
          <t>W2 Expansion</t>
        </is>
      </c>
      <c r="M265" t="inlineStr"/>
      <c r="N265" t="inlineStr"/>
      <c r="O265" s="10" t="inlineStr"/>
      <c r="P265" s="10" t="inlineStr"/>
      <c r="Q265" s="10" t="inlineStr"/>
      <c r="R265" s="10" t="inlineStr"/>
      <c r="S265" t="inlineStr"/>
      <c r="T265" s="10" t="inlineStr"/>
      <c r="U265" t="inlineStr"/>
      <c r="V265" s="10" t="inlineStr"/>
      <c r="W265" s="10" t="inlineStr"/>
      <c r="X265" s="10" t="inlineStr"/>
      <c r="Y265" s="10" t="inlineStr"/>
      <c r="Z265" s="10" t="inlineStr"/>
      <c r="AA265" s="10" t="inlineStr"/>
      <c r="AB265" t="inlineStr"/>
      <c r="AC265" s="10" t="inlineStr"/>
      <c r="AD265" t="inlineStr"/>
      <c r="AE265" t="inlineStr"/>
      <c r="AF265" s="10" t="inlineStr"/>
      <c r="AG265" t="inlineStr"/>
      <c r="AH265">
        <f>IF(AND(B265="",C265=""),"",IF(AND(X265&lt;&gt;"",Y265&lt;&gt;"",Z265&lt;&gt;"",AA265&lt;&gt;"",AB265="Y"),"YES","no"))</f>
        <v/>
      </c>
      <c r="AI265" s="10">
        <f>IF(AH265="YES",MAX(X265,Y265,Z265,AA265),"")</f>
        <v/>
      </c>
      <c r="AJ265">
        <f>IF(AND(B265="",C265=""),"",IF(OR(S265="Not interested",S265="Opt-out / do not contact"),"X Declined / suppressed",IF(S265="Bounced / undeliverable","X Bounced — research",IF(AC265&lt;&gt;"","13 Transacting",IF(AH265="YES","12 ACTIVATED",IF(Z265&lt;&gt;"","11 Listing live",IF(Y265&lt;&gt;"","10 Profile complete",IF(X265&lt;&gt;"","9 Approved",IF(W265&lt;&gt;"","8 KYC submitted",IF(V265&lt;&gt;"","7 Registered",IF(T265&lt;&gt;"","5 Interested",IF(R265&lt;&gt;"","4 Responded",IF(O265&lt;&gt;"","2 Contacted","1 Not yet contacted")))))))))))))</f>
        <v/>
      </c>
      <c r="AK265" s="10">
        <f>IF(AF265&lt;&gt;"",AF265,IF(OR(O265="",R265&lt;&gt;"",LEFT(AJ265,1)="X"),"",IF(Q265&lt;&gt;"","",IF(P265&lt;&gt;"",P265+SETTINGS!$B$4,O265+SETTINGS!$B$3))))</f>
        <v/>
      </c>
      <c r="AL265">
        <f>IF(AJ265="","",IF(LEFT(AJ265,1)="X","None — do not contact",IF(AJ265="1 Not yet contacted","Verify route today, then send M1",IF(AND(R265="",Q265&lt;&gt;""),"Sequence complete — no contact before "&amp;TEXT(Q265+SETTINGS!$B$5,"yyyy-mm-dd"),IF(AND(R265="",P265&lt;&gt;""),"Send final note (M4)",IF(R265="","Send follow-up (M2)",IF(AJ265="12 ACTIVATED","7-day check-in; consent &amp; referral soft ask",IF(AJ265="13 Transacting","Repeat-activity support","Onboarding: move to next stage (see playbook §6)"))))))))</f>
        <v/>
      </c>
      <c r="AM265">
        <f>IF(ISNUMBER(AK265),IF(AK265&lt;=TODAY(),"DUE",""),"")</f>
        <v/>
      </c>
      <c r="AN265">
        <f>IF(COUNT(O265,P265,Q265,R265,T265,V265,W265,X265,Y265,Z265,AA265,AC265)=0,"",TODAY()-MAX(O265,P265,Q265,R265,T265,V265,W265,X265,Y265,Z265,AA265,AC265))</f>
        <v/>
      </c>
      <c r="AO265">
        <f>IF(AJ265="","",IF(AND(T265&lt;&gt;"",U265&lt;&gt;"Active (verified)"),"GST: escalate (no tax advice)",IF(AND(IFERROR(VALUE(LEFT(AJ265,2)),0)&gt;=5,AH265&lt;&gt;"YES",ISNUMBER(AN265),AN265&gt;SETTINGS!$B$14),"STUCK in onboarding","")))</f>
        <v/>
      </c>
    </row>
    <row r="266">
      <c r="A266" t="n">
        <v>265</v>
      </c>
      <c r="B266" t="inlineStr">
        <is>
          <t>UPK2-LM-008</t>
        </is>
      </c>
      <c r="C266" t="inlineStr">
        <is>
          <t>Ramit Batra</t>
        </is>
      </c>
      <c r="D266" t="inlineStr">
        <is>
          <t>Lens &amp; Motion</t>
        </is>
      </c>
      <c r="E266" t="inlineStr">
        <is>
          <t>LM-WEDDING</t>
        </is>
      </c>
      <c r="F266" t="inlineStr">
        <is>
          <t>Delhi NCR</t>
        </is>
      </c>
      <c r="G266" t="inlineStr">
        <is>
          <t>C</t>
        </is>
      </c>
      <c r="H266" t="inlineStr">
        <is>
          <t>P0</t>
        </is>
      </c>
      <c r="I266" t="inlineStr"/>
      <c r="J266" t="inlineStr">
        <is>
          <t>Personal 1:1 email from founder/team to published business email</t>
        </is>
      </c>
      <c r="K266" t="inlineStr">
        <is>
          <t>https://www.ramitbatra.com/</t>
        </is>
      </c>
      <c r="L266" t="inlineStr">
        <is>
          <t>W2 Expansion</t>
        </is>
      </c>
      <c r="M266" t="inlineStr"/>
      <c r="N266" t="inlineStr"/>
      <c r="O266" s="10" t="inlineStr"/>
      <c r="P266" s="10" t="inlineStr"/>
      <c r="Q266" s="10" t="inlineStr"/>
      <c r="R266" s="10" t="inlineStr"/>
      <c r="S266" t="inlineStr"/>
      <c r="T266" s="10" t="inlineStr"/>
      <c r="U266" t="inlineStr"/>
      <c r="V266" s="10" t="inlineStr"/>
      <c r="W266" s="10" t="inlineStr"/>
      <c r="X266" s="10" t="inlineStr"/>
      <c r="Y266" s="10" t="inlineStr"/>
      <c r="Z266" s="10" t="inlineStr"/>
      <c r="AA266" s="10" t="inlineStr"/>
      <c r="AB266" t="inlineStr"/>
      <c r="AC266" s="10" t="inlineStr"/>
      <c r="AD266" t="inlineStr"/>
      <c r="AE266" t="inlineStr"/>
      <c r="AF266" s="10" t="inlineStr"/>
      <c r="AG266" t="inlineStr"/>
      <c r="AH266">
        <f>IF(AND(B266="",C266=""),"",IF(AND(X266&lt;&gt;"",Y266&lt;&gt;"",Z266&lt;&gt;"",AA266&lt;&gt;"",AB266="Y"),"YES","no"))</f>
        <v/>
      </c>
      <c r="AI266" s="10">
        <f>IF(AH266="YES",MAX(X266,Y266,Z266,AA266),"")</f>
        <v/>
      </c>
      <c r="AJ266">
        <f>IF(AND(B266="",C266=""),"",IF(OR(S266="Not interested",S266="Opt-out / do not contact"),"X Declined / suppressed",IF(S266="Bounced / undeliverable","X Bounced — research",IF(AC266&lt;&gt;"","13 Transacting",IF(AH266="YES","12 ACTIVATED",IF(Z266&lt;&gt;"","11 Listing live",IF(Y266&lt;&gt;"","10 Profile complete",IF(X266&lt;&gt;"","9 Approved",IF(W266&lt;&gt;"","8 KYC submitted",IF(V266&lt;&gt;"","7 Registered",IF(T266&lt;&gt;"","5 Interested",IF(R266&lt;&gt;"","4 Responded",IF(O266&lt;&gt;"","2 Contacted","1 Not yet contacted")))))))))))))</f>
        <v/>
      </c>
      <c r="AK266" s="10">
        <f>IF(AF266&lt;&gt;"",AF266,IF(OR(O266="",R266&lt;&gt;"",LEFT(AJ266,1)="X"),"",IF(Q266&lt;&gt;"","",IF(P266&lt;&gt;"",P266+SETTINGS!$B$4,O266+SETTINGS!$B$3))))</f>
        <v/>
      </c>
      <c r="AL266">
        <f>IF(AJ266="","",IF(LEFT(AJ266,1)="X","None — do not contact",IF(AJ266="1 Not yet contacted","Verify route today, then send M1",IF(AND(R266="",Q266&lt;&gt;""),"Sequence complete — no contact before "&amp;TEXT(Q266+SETTINGS!$B$5,"yyyy-mm-dd"),IF(AND(R266="",P266&lt;&gt;""),"Send final note (M4)",IF(R266="","Send follow-up (M2)",IF(AJ266="12 ACTIVATED","7-day check-in; consent &amp; referral soft ask",IF(AJ266="13 Transacting","Repeat-activity support","Onboarding: move to next stage (see playbook §6)"))))))))</f>
        <v/>
      </c>
      <c r="AM266">
        <f>IF(ISNUMBER(AK266),IF(AK266&lt;=TODAY(),"DUE",""),"")</f>
        <v/>
      </c>
      <c r="AN266">
        <f>IF(COUNT(O266,P266,Q266,R266,T266,V266,W266,X266,Y266,Z266,AA266,AC266)=0,"",TODAY()-MAX(O266,P266,Q266,R266,T266,V266,W266,X266,Y266,Z266,AA266,AC266))</f>
        <v/>
      </c>
      <c r="AO266">
        <f>IF(AJ266="","",IF(AND(T266&lt;&gt;"",U266&lt;&gt;"Active (verified)"),"GST: escalate (no tax advice)",IF(AND(IFERROR(VALUE(LEFT(AJ266,2)),0)&gt;=5,AH266&lt;&gt;"YES",ISNUMBER(AN266),AN266&gt;SETTINGS!$B$14),"STUCK in onboarding","")))</f>
        <v/>
      </c>
    </row>
    <row r="267">
      <c r="A267" t="n">
        <v>266</v>
      </c>
      <c r="B267" t="inlineStr">
        <is>
          <t>UPK2-LM-010</t>
        </is>
      </c>
      <c r="C267" t="inlineStr">
        <is>
          <t>Dipak Studios</t>
        </is>
      </c>
      <c r="D267" t="inlineStr">
        <is>
          <t>Lens &amp; Motion</t>
        </is>
      </c>
      <c r="E267" t="inlineStr">
        <is>
          <t>LM-WEDDING</t>
        </is>
      </c>
      <c r="F267" t="inlineStr">
        <is>
          <t>Delhi NCR</t>
        </is>
      </c>
      <c r="G267" t="inlineStr">
        <is>
          <t>C</t>
        </is>
      </c>
      <c r="H267" t="inlineStr">
        <is>
          <t>P0</t>
        </is>
      </c>
      <c r="I267" t="inlineStr"/>
      <c r="J267" t="inlineStr">
        <is>
          <t>Personal 1:1 email from founder/team to published business email</t>
        </is>
      </c>
      <c r="K267" t="inlineStr">
        <is>
          <t>https://www.dipakstudios.com</t>
        </is>
      </c>
      <c r="L267" t="inlineStr">
        <is>
          <t>W2 Expansion</t>
        </is>
      </c>
      <c r="M267" t="inlineStr"/>
      <c r="N267" t="inlineStr"/>
      <c r="O267" s="10" t="inlineStr"/>
      <c r="P267" s="10" t="inlineStr"/>
      <c r="Q267" s="10" t="inlineStr"/>
      <c r="R267" s="10" t="inlineStr"/>
      <c r="S267" t="inlineStr"/>
      <c r="T267" s="10" t="inlineStr"/>
      <c r="U267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t="inlineStr"/>
      <c r="AC267" s="10" t="inlineStr"/>
      <c r="AD267" t="inlineStr"/>
      <c r="AE267" t="inlineStr"/>
      <c r="AF267" s="10" t="inlineStr"/>
      <c r="AG267" t="inlineStr"/>
      <c r="AH267">
        <f>IF(AND(B267="",C267=""),"",IF(AND(X267&lt;&gt;"",Y267&lt;&gt;"",Z267&lt;&gt;"",AA267&lt;&gt;"",AB267="Y"),"YES","no"))</f>
        <v/>
      </c>
      <c r="AI267" s="10">
        <f>IF(AH267="YES",MAX(X267,Y267,Z267,AA267),"")</f>
        <v/>
      </c>
      <c r="AJ267">
        <f>IF(AND(B267="",C267=""),"",IF(OR(S267="Not interested",S267="Opt-out / do not contact"),"X Declined / suppressed",IF(S267="Bounced / undeliverable","X Bounced — research",IF(AC267&lt;&gt;"","13 Transacting",IF(AH267="YES","12 ACTIVATED",IF(Z267&lt;&gt;"","11 Listing live",IF(Y267&lt;&gt;"","10 Profile complete",IF(X267&lt;&gt;"","9 Approved",IF(W267&lt;&gt;"","8 KYC submitted",IF(V267&lt;&gt;"","7 Registered",IF(T267&lt;&gt;"","5 Interested",IF(R267&lt;&gt;"","4 Responded",IF(O267&lt;&gt;"","2 Contacted","1 Not yet contacted")))))))))))))</f>
        <v/>
      </c>
      <c r="AK267" s="10">
        <f>IF(AF267&lt;&gt;"",AF267,IF(OR(O267="",R267&lt;&gt;"",LEFT(AJ267,1)="X"),"",IF(Q267&lt;&gt;"","",IF(P267&lt;&gt;"",P267+SETTINGS!$B$4,O267+SETTINGS!$B$3))))</f>
        <v/>
      </c>
      <c r="AL267">
        <f>IF(AJ267="","",IF(LEFT(AJ267,1)="X","None — do not contact",IF(AJ267="1 Not yet contacted","Verify route today, then send M1",IF(AND(R267="",Q267&lt;&gt;""),"Sequence complete — no contact before "&amp;TEXT(Q267+SETTINGS!$B$5,"yyyy-mm-dd"),IF(AND(R267="",P267&lt;&gt;""),"Send final note (M4)",IF(R267="","Send follow-up (M2)",IF(AJ267="12 ACTIVATED","7-day check-in; consent &amp; referral soft ask",IF(AJ267="13 Transacting","Repeat-activity support","Onboarding: move to next stage (see playbook §6)"))))))))</f>
        <v/>
      </c>
      <c r="AM267">
        <f>IF(ISNUMBER(AK267),IF(AK267&lt;=TODAY(),"DUE",""),"")</f>
        <v/>
      </c>
      <c r="AN267">
        <f>IF(COUNT(O267,P267,Q267,R267,T267,V267,W267,X267,Y267,Z267,AA267,AC267)=0,"",TODAY()-MAX(O267,P267,Q267,R267,T267,V267,W267,X267,Y267,Z267,AA267,AC267))</f>
        <v/>
      </c>
      <c r="AO267">
        <f>IF(AJ267="","",IF(AND(T267&lt;&gt;"",U267&lt;&gt;"Active (verified)"),"GST: escalate (no tax advice)",IF(AND(IFERROR(VALUE(LEFT(AJ267,2)),0)&gt;=5,AH267&lt;&gt;"YES",ISNUMBER(AN267),AN267&gt;SETTINGS!$B$14),"STUCK in onboarding","")))</f>
        <v/>
      </c>
    </row>
    <row r="268">
      <c r="A268" t="n">
        <v>267</v>
      </c>
      <c r="B268" t="inlineStr">
        <is>
          <t>UPK2-LM-227</t>
        </is>
      </c>
      <c r="C268" t="inlineStr">
        <is>
          <t>Shutter Beat Stories</t>
        </is>
      </c>
      <c r="D268" t="inlineStr">
        <is>
          <t>Lens &amp; Motion</t>
        </is>
      </c>
      <c r="E268" t="inlineStr">
        <is>
          <t>LM-WEDDING</t>
        </is>
      </c>
      <c r="F268" t="inlineStr">
        <is>
          <t>Bengaluru</t>
        </is>
      </c>
      <c r="G268" t="inlineStr">
        <is>
          <t>B</t>
        </is>
      </c>
      <c r="H268" t="inlineStr">
        <is>
          <t>P0</t>
        </is>
      </c>
      <c r="I268" t="inlineStr"/>
      <c r="J268" t="inlineStr">
        <is>
          <t>Personal 1:1 email from founder/team to published business email</t>
        </is>
      </c>
      <c r="K268" t="inlineStr">
        <is>
          <t>https://shutterbeatstories.com/</t>
        </is>
      </c>
      <c r="L268" t="inlineStr">
        <is>
          <t>W2 Expansion</t>
        </is>
      </c>
      <c r="M268" t="inlineStr"/>
      <c r="N268" t="inlineStr"/>
      <c r="O268" s="10" t="inlineStr"/>
      <c r="P268" s="10" t="inlineStr"/>
      <c r="Q268" s="10" t="inlineStr"/>
      <c r="R268" s="10" t="inlineStr"/>
      <c r="S268" t="inlineStr"/>
      <c r="T268" s="10" t="inlineStr"/>
      <c r="U268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t="inlineStr"/>
      <c r="AC268" s="10" t="inlineStr"/>
      <c r="AD268" t="inlineStr"/>
      <c r="AE268" t="inlineStr"/>
      <c r="AF268" s="10" t="inlineStr"/>
      <c r="AG268" t="inlineStr"/>
      <c r="AH268">
        <f>IF(AND(B268="",C268=""),"",IF(AND(X268&lt;&gt;"",Y268&lt;&gt;"",Z268&lt;&gt;"",AA268&lt;&gt;"",AB268="Y"),"YES","no"))</f>
        <v/>
      </c>
      <c r="AI268" s="10">
        <f>IF(AH268="YES",MAX(X268,Y268,Z268,AA268),"")</f>
        <v/>
      </c>
      <c r="AJ268">
        <f>IF(AND(B268="",C268=""),"",IF(OR(S268="Not interested",S268="Opt-out / do not contact"),"X Declined / suppressed",IF(S268="Bounced / undeliverable","X Bounced — research",IF(AC268&lt;&gt;"","13 Transacting",IF(AH268="YES","12 ACTIVATED",IF(Z268&lt;&gt;"","11 Listing live",IF(Y268&lt;&gt;"","10 Profile complete",IF(X268&lt;&gt;"","9 Approved",IF(W268&lt;&gt;"","8 KYC submitted",IF(V268&lt;&gt;"","7 Registered",IF(T268&lt;&gt;"","5 Interested",IF(R268&lt;&gt;"","4 Responded",IF(O268&lt;&gt;"","2 Contacted","1 Not yet contacted")))))))))))))</f>
        <v/>
      </c>
      <c r="AK268" s="10">
        <f>IF(AF268&lt;&gt;"",AF268,IF(OR(O268="",R268&lt;&gt;"",LEFT(AJ268,1)="X"),"",IF(Q268&lt;&gt;"","",IF(P268&lt;&gt;"",P268+SETTINGS!$B$4,O268+SETTINGS!$B$3))))</f>
        <v/>
      </c>
      <c r="AL268">
        <f>IF(AJ268="","",IF(LEFT(AJ268,1)="X","None — do not contact",IF(AJ268="1 Not yet contacted","Verify route today, then send M1",IF(AND(R268="",Q268&lt;&gt;""),"Sequence complete — no contact before "&amp;TEXT(Q268+SETTINGS!$B$5,"yyyy-mm-dd"),IF(AND(R268="",P268&lt;&gt;""),"Send final note (M4)",IF(R268="","Send follow-up (M2)",IF(AJ268="12 ACTIVATED","7-day check-in; consent &amp; referral soft ask",IF(AJ268="13 Transacting","Repeat-activity support","Onboarding: move to next stage (see playbook §6)"))))))))</f>
        <v/>
      </c>
      <c r="AM268">
        <f>IF(ISNUMBER(AK268),IF(AK268&lt;=TODAY(),"DUE",""),"")</f>
        <v/>
      </c>
      <c r="AN268">
        <f>IF(COUNT(O268,P268,Q268,R268,T268,V268,W268,X268,Y268,Z268,AA268,AC268)=0,"",TODAY()-MAX(O268,P268,Q268,R268,T268,V268,W268,X268,Y268,Z268,AA268,AC268))</f>
        <v/>
      </c>
      <c r="AO268">
        <f>IF(AJ268="","",IF(AND(T268&lt;&gt;"",U268&lt;&gt;"Active (verified)"),"GST: escalate (no tax advice)",IF(AND(IFERROR(VALUE(LEFT(AJ268,2)),0)&gt;=5,AH268&lt;&gt;"YES",ISNUMBER(AN268),AN268&gt;SETTINGS!$B$14),"STUCK in onboarding","")))</f>
        <v/>
      </c>
    </row>
    <row r="269">
      <c r="A269" t="n">
        <v>268</v>
      </c>
      <c r="B269" t="inlineStr">
        <is>
          <t>UPK2-LM-314</t>
        </is>
      </c>
      <c r="C269" t="inlineStr">
        <is>
          <t>Anoushka Ghosh Photography</t>
        </is>
      </c>
      <c r="D269" t="inlineStr">
        <is>
          <t>Lens &amp; Motion</t>
        </is>
      </c>
      <c r="E269" t="inlineStr">
        <is>
          <t>LM-COMMERCIAL-FASHION</t>
        </is>
      </c>
      <c r="F269" t="inlineStr">
        <is>
          <t>Mumbai</t>
        </is>
      </c>
      <c r="G269" t="inlineStr">
        <is>
          <t>B</t>
        </is>
      </c>
      <c r="H269" t="inlineStr">
        <is>
          <t>P0</t>
        </is>
      </c>
      <c r="I269" t="inlineStr">
        <is>
          <t>under-discovered</t>
        </is>
      </c>
      <c r="J269" t="inlineStr">
        <is>
          <t>Personal 1:1 email from founder/team to published business email</t>
        </is>
      </c>
      <c r="K269" t="inlineStr">
        <is>
          <t>https://anoushkaghosh.in/</t>
        </is>
      </c>
      <c r="L269" t="inlineStr">
        <is>
          <t>W2 Expansion</t>
        </is>
      </c>
      <c r="M269" t="inlineStr"/>
      <c r="N269" t="inlineStr"/>
      <c r="O269" s="10" t="inlineStr"/>
      <c r="P269" s="10" t="inlineStr"/>
      <c r="Q269" s="10" t="inlineStr"/>
      <c r="R269" s="10" t="inlineStr"/>
      <c r="S269" t="inlineStr"/>
      <c r="T269" s="10" t="inlineStr"/>
      <c r="U269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t="inlineStr"/>
      <c r="AC269" s="10" t="inlineStr"/>
      <c r="AD269" t="inlineStr"/>
      <c r="AE269" t="inlineStr"/>
      <c r="AF269" s="10" t="inlineStr"/>
      <c r="AG269" t="inlineStr"/>
      <c r="AH269">
        <f>IF(AND(B269="",C269=""),"",IF(AND(X269&lt;&gt;"",Y269&lt;&gt;"",Z269&lt;&gt;"",AA269&lt;&gt;"",AB269="Y"),"YES","no"))</f>
        <v/>
      </c>
      <c r="AI269" s="10">
        <f>IF(AH269="YES",MAX(X269,Y269,Z269,AA269),"")</f>
        <v/>
      </c>
      <c r="AJ269">
        <f>IF(AND(B269="",C269=""),"",IF(OR(S269="Not interested",S269="Opt-out / do not contact"),"X Declined / suppressed",IF(S269="Bounced / undeliverable","X Bounced — research",IF(AC269&lt;&gt;"","13 Transacting",IF(AH269="YES","12 ACTIVATED",IF(Z269&lt;&gt;"","11 Listing live",IF(Y269&lt;&gt;"","10 Profile complete",IF(X269&lt;&gt;"","9 Approved",IF(W269&lt;&gt;"","8 KYC submitted",IF(V269&lt;&gt;"","7 Registered",IF(T269&lt;&gt;"","5 Interested",IF(R269&lt;&gt;"","4 Responded",IF(O269&lt;&gt;"","2 Contacted","1 Not yet contacted")))))))))))))</f>
        <v/>
      </c>
      <c r="AK269" s="10">
        <f>IF(AF269&lt;&gt;"",AF269,IF(OR(O269="",R269&lt;&gt;"",LEFT(AJ269,1)="X"),"",IF(Q269&lt;&gt;"","",IF(P269&lt;&gt;"",P269+SETTINGS!$B$4,O269+SETTINGS!$B$3))))</f>
        <v/>
      </c>
      <c r="AL269">
        <f>IF(AJ269="","",IF(LEFT(AJ269,1)="X","None — do not contact",IF(AJ269="1 Not yet contacted","Verify route today, then send M1",IF(AND(R269="",Q269&lt;&gt;""),"Sequence complete — no contact before "&amp;TEXT(Q269+SETTINGS!$B$5,"yyyy-mm-dd"),IF(AND(R269="",P269&lt;&gt;""),"Send final note (M4)",IF(R269="","Send follow-up (M2)",IF(AJ269="12 ACTIVATED","7-day check-in; consent &amp; referral soft ask",IF(AJ269="13 Transacting","Repeat-activity support","Onboarding: move to next stage (see playbook §6)"))))))))</f>
        <v/>
      </c>
      <c r="AM269">
        <f>IF(ISNUMBER(AK269),IF(AK269&lt;=TODAY(),"DUE",""),"")</f>
        <v/>
      </c>
      <c r="AN269">
        <f>IF(COUNT(O269,P269,Q269,R269,T269,V269,W269,X269,Y269,Z269,AA269,AC269)=0,"",TODAY()-MAX(O269,P269,Q269,R269,T269,V269,W269,X269,Y269,Z269,AA269,AC269))</f>
        <v/>
      </c>
      <c r="AO269">
        <f>IF(AJ269="","",IF(AND(T269&lt;&gt;"",U269&lt;&gt;"Active (verified)"),"GST: escalate (no tax advice)",IF(AND(IFERROR(VALUE(LEFT(AJ269,2)),0)&gt;=5,AH269&lt;&gt;"YES",ISNUMBER(AN269),AN269&gt;SETTINGS!$B$14),"STUCK in onboarding","")))</f>
        <v/>
      </c>
    </row>
    <row r="270">
      <c r="A270" t="n">
        <v>269</v>
      </c>
      <c r="B270" t="inlineStr">
        <is>
          <t>UPK2-LM-300</t>
        </is>
      </c>
      <c r="C270" t="inlineStr">
        <is>
          <t>Ravi Dhingra Photography</t>
        </is>
      </c>
      <c r="D270" t="inlineStr">
        <is>
          <t>Lens &amp; Motion</t>
        </is>
      </c>
      <c r="E270" t="inlineStr">
        <is>
          <t>LM-ARCH-INTERIOR</t>
        </is>
      </c>
      <c r="F270" t="inlineStr">
        <is>
          <t>Delhi NCR</t>
        </is>
      </c>
      <c r="G270" t="inlineStr">
        <is>
          <t>C</t>
        </is>
      </c>
      <c r="H270" t="inlineStr">
        <is>
          <t>P1</t>
        </is>
      </c>
      <c r="I270" t="inlineStr">
        <is>
          <t>under-discovered</t>
        </is>
      </c>
      <c r="J270" t="inlineStr">
        <is>
          <t>Personal 1:1 email from founder/team to published business email</t>
        </is>
      </c>
      <c r="K270" t="inlineStr">
        <is>
          <t>https://www.ravidhingra.in/contact</t>
        </is>
      </c>
      <c r="L270" t="inlineStr">
        <is>
          <t>W2 Expansion</t>
        </is>
      </c>
      <c r="M270" t="inlineStr"/>
      <c r="N270" t="inlineStr"/>
      <c r="O270" s="10" t="inlineStr"/>
      <c r="P270" s="10" t="inlineStr"/>
      <c r="Q270" s="10" t="inlineStr"/>
      <c r="R270" s="10" t="inlineStr"/>
      <c r="S270" t="inlineStr"/>
      <c r="T270" s="10" t="inlineStr"/>
      <c r="U270" t="inlineStr"/>
      <c r="V270" s="10" t="inlineStr"/>
      <c r="W270" s="10" t="inlineStr"/>
      <c r="X270" s="10" t="inlineStr"/>
      <c r="Y270" s="10" t="inlineStr"/>
      <c r="Z270" s="10" t="inlineStr"/>
      <c r="AA270" s="10" t="inlineStr"/>
      <c r="AB270" t="inlineStr"/>
      <c r="AC270" s="10" t="inlineStr"/>
      <c r="AD270" t="inlineStr"/>
      <c r="AE270" t="inlineStr"/>
      <c r="AF270" s="10" t="inlineStr"/>
      <c r="AG270" t="inlineStr"/>
      <c r="AH270">
        <f>IF(AND(B270="",C270=""),"",IF(AND(X270&lt;&gt;"",Y270&lt;&gt;"",Z270&lt;&gt;"",AA270&lt;&gt;"",AB270="Y"),"YES","no"))</f>
        <v/>
      </c>
      <c r="AI270" s="10">
        <f>IF(AH270="YES",MAX(X270,Y270,Z270,AA270),"")</f>
        <v/>
      </c>
      <c r="AJ270">
        <f>IF(AND(B270="",C270=""),"",IF(OR(S270="Not interested",S270="Opt-out / do not contact"),"X Declined / suppressed",IF(S270="Bounced / undeliverable","X Bounced — research",IF(AC270&lt;&gt;"","13 Transacting",IF(AH270="YES","12 ACTIVATED",IF(Z270&lt;&gt;"","11 Listing live",IF(Y270&lt;&gt;"","10 Profile complete",IF(X270&lt;&gt;"","9 Approved",IF(W270&lt;&gt;"","8 KYC submitted",IF(V270&lt;&gt;"","7 Registered",IF(T270&lt;&gt;"","5 Interested",IF(R270&lt;&gt;"","4 Responded",IF(O270&lt;&gt;"","2 Contacted","1 Not yet contacted")))))))))))))</f>
        <v/>
      </c>
      <c r="AK270" s="10">
        <f>IF(AF270&lt;&gt;"",AF270,IF(OR(O270="",R270&lt;&gt;"",LEFT(AJ270,1)="X"),"",IF(Q270&lt;&gt;"","",IF(P270&lt;&gt;"",P270+SETTINGS!$B$4,O270+SETTINGS!$B$3))))</f>
        <v/>
      </c>
      <c r="AL270">
        <f>IF(AJ270="","",IF(LEFT(AJ270,1)="X","None — do not contact",IF(AJ270="1 Not yet contacted","Verify route today, then send M1",IF(AND(R270="",Q270&lt;&gt;""),"Sequence complete — no contact before "&amp;TEXT(Q270+SETTINGS!$B$5,"yyyy-mm-dd"),IF(AND(R270="",P270&lt;&gt;""),"Send final note (M4)",IF(R270="","Send follow-up (M2)",IF(AJ270="12 ACTIVATED","7-day check-in; consent &amp; referral soft ask",IF(AJ270="13 Transacting","Repeat-activity support","Onboarding: move to next stage (see playbook §6)"))))))))</f>
        <v/>
      </c>
      <c r="AM270">
        <f>IF(ISNUMBER(AK270),IF(AK270&lt;=TODAY(),"DUE",""),"")</f>
        <v/>
      </c>
      <c r="AN270">
        <f>IF(COUNT(O270,P270,Q270,R270,T270,V270,W270,X270,Y270,Z270,AA270,AC270)=0,"",TODAY()-MAX(O270,P270,Q270,R270,T270,V270,W270,X270,Y270,Z270,AA270,AC270))</f>
        <v/>
      </c>
      <c r="AO270">
        <f>IF(AJ270="","",IF(AND(T270&lt;&gt;"",U270&lt;&gt;"Active (verified)"),"GST: escalate (no tax advice)",IF(AND(IFERROR(VALUE(LEFT(AJ270,2)),0)&gt;=5,AH270&lt;&gt;"YES",ISNUMBER(AN270),AN270&gt;SETTINGS!$B$14),"STUCK in onboarding","")))</f>
        <v/>
      </c>
    </row>
    <row r="271">
      <c r="A271" t="n">
        <v>270</v>
      </c>
      <c r="B271" t="inlineStr">
        <is>
          <t>UPK-LM-006</t>
        </is>
      </c>
      <c r="C271" t="inlineStr">
        <is>
          <t>Sanket Patil Photography</t>
        </is>
      </c>
      <c r="D271" t="inlineStr">
        <is>
          <t>Lens &amp; Motion</t>
        </is>
      </c>
      <c r="E271" t="inlineStr">
        <is>
          <t>LM-COMMERCIAL-FASHION</t>
        </is>
      </c>
      <c r="F271" t="inlineStr">
        <is>
          <t>Mumbai</t>
        </is>
      </c>
      <c r="G271" t="inlineStr">
        <is>
          <t>C</t>
        </is>
      </c>
      <c r="H271" t="inlineStr">
        <is>
          <t>P1</t>
        </is>
      </c>
      <c r="I271" t="inlineStr"/>
      <c r="J271" t="inlineStr">
        <is>
          <t>Personal 1:1 email from founder/team to published business email</t>
        </is>
      </c>
      <c r="K271" t="inlineStr">
        <is>
          <t>https://www.sanketpatil.in/</t>
        </is>
      </c>
      <c r="L271" t="inlineStr">
        <is>
          <t>W2 Expansion</t>
        </is>
      </c>
      <c r="M271" t="inlineStr"/>
      <c r="N271" t="inlineStr"/>
      <c r="O271" s="10" t="inlineStr"/>
      <c r="P271" s="10" t="inlineStr"/>
      <c r="Q271" s="10" t="inlineStr"/>
      <c r="R271" s="10" t="inlineStr"/>
      <c r="S271" t="inlineStr"/>
      <c r="T271" s="10" t="inlineStr"/>
      <c r="U271" t="inlineStr"/>
      <c r="V271" s="10" t="inlineStr"/>
      <c r="W271" s="10" t="inlineStr"/>
      <c r="X271" s="10" t="inlineStr"/>
      <c r="Y271" s="10" t="inlineStr"/>
      <c r="Z271" s="10" t="inlineStr"/>
      <c r="AA271" s="10" t="inlineStr"/>
      <c r="AB271" t="inlineStr"/>
      <c r="AC271" s="10" t="inlineStr"/>
      <c r="AD271" t="inlineStr"/>
      <c r="AE271" t="inlineStr"/>
      <c r="AF271" s="10" t="inlineStr"/>
      <c r="AG271" t="inlineStr"/>
      <c r="AH271">
        <f>IF(AND(B271="",C271=""),"",IF(AND(X271&lt;&gt;"",Y271&lt;&gt;"",Z271&lt;&gt;"",AA271&lt;&gt;"",AB271="Y"),"YES","no"))</f>
        <v/>
      </c>
      <c r="AI271" s="10">
        <f>IF(AH271="YES",MAX(X271,Y271,Z271,AA271),"")</f>
        <v/>
      </c>
      <c r="AJ271">
        <f>IF(AND(B271="",C271=""),"",IF(OR(S271="Not interested",S271="Opt-out / do not contact"),"X Declined / suppressed",IF(S271="Bounced / undeliverable","X Bounced — research",IF(AC271&lt;&gt;"","13 Transacting",IF(AH271="YES","12 ACTIVATED",IF(Z271&lt;&gt;"","11 Listing live",IF(Y271&lt;&gt;"","10 Profile complete",IF(X271&lt;&gt;"","9 Approved",IF(W271&lt;&gt;"","8 KYC submitted",IF(V271&lt;&gt;"","7 Registered",IF(T271&lt;&gt;"","5 Interested",IF(R271&lt;&gt;"","4 Responded",IF(O271&lt;&gt;"","2 Contacted","1 Not yet contacted")))))))))))))</f>
        <v/>
      </c>
      <c r="AK271" s="10">
        <f>IF(AF271&lt;&gt;"",AF271,IF(OR(O271="",R271&lt;&gt;"",LEFT(AJ271,1)="X"),"",IF(Q271&lt;&gt;"","",IF(P271&lt;&gt;"",P271+SETTINGS!$B$4,O271+SETTINGS!$B$3))))</f>
        <v/>
      </c>
      <c r="AL271">
        <f>IF(AJ271="","",IF(LEFT(AJ271,1)="X","None — do not contact",IF(AJ271="1 Not yet contacted","Verify route today, then send M1",IF(AND(R271="",Q271&lt;&gt;""),"Sequence complete — no contact before "&amp;TEXT(Q271+SETTINGS!$B$5,"yyyy-mm-dd"),IF(AND(R271="",P271&lt;&gt;""),"Send final note (M4)",IF(R271="","Send follow-up (M2)",IF(AJ271="12 ACTIVATED","7-day check-in; consent &amp; referral soft ask",IF(AJ271="13 Transacting","Repeat-activity support","Onboarding: move to next stage (see playbook §6)"))))))))</f>
        <v/>
      </c>
      <c r="AM271">
        <f>IF(ISNUMBER(AK271),IF(AK271&lt;=TODAY(),"DUE",""),"")</f>
        <v/>
      </c>
      <c r="AN271">
        <f>IF(COUNT(O271,P271,Q271,R271,T271,V271,W271,X271,Y271,Z271,AA271,AC271)=0,"",TODAY()-MAX(O271,P271,Q271,R271,T271,V271,W271,X271,Y271,Z271,AA271,AC271))</f>
        <v/>
      </c>
      <c r="AO271">
        <f>IF(AJ271="","",IF(AND(T271&lt;&gt;"",U271&lt;&gt;"Active (verified)"),"GST: escalate (no tax advice)",IF(AND(IFERROR(VALUE(LEFT(AJ271,2)),0)&gt;=5,AH271&lt;&gt;"YES",ISNUMBER(AN271),AN271&gt;SETTINGS!$B$14),"STUCK in onboarding","")))</f>
        <v/>
      </c>
    </row>
    <row r="272">
      <c r="A272" t="n">
        <v>271</v>
      </c>
      <c r="B272" t="inlineStr">
        <is>
          <t>UPK2-LM-032</t>
        </is>
      </c>
      <c r="C272" t="inlineStr">
        <is>
          <t>Mallik (Mallikarjun Katakol)</t>
        </is>
      </c>
      <c r="D272" t="inlineStr">
        <is>
          <t>Lens &amp; Motion</t>
        </is>
      </c>
      <c r="E272" t="inlineStr">
        <is>
          <t>LM-ARCH-INTERIOR</t>
        </is>
      </c>
      <c r="F272" t="inlineStr">
        <is>
          <t>Bengaluru</t>
        </is>
      </c>
      <c r="G272" t="inlineStr">
        <is>
          <t>C</t>
        </is>
      </c>
      <c r="H272" t="inlineStr">
        <is>
          <t>P0</t>
        </is>
      </c>
      <c r="I272" t="inlineStr"/>
      <c r="J272" t="inlineStr">
        <is>
          <t>Personal 1:1 email from founder/team to published business email</t>
        </is>
      </c>
      <c r="K272" t="inlineStr">
        <is>
          <t>https://mallik.in/about-contact/</t>
        </is>
      </c>
      <c r="L272" t="inlineStr">
        <is>
          <t>W2 Expansion</t>
        </is>
      </c>
      <c r="M272" t="inlineStr"/>
      <c r="N272" t="inlineStr"/>
      <c r="O272" s="10" t="inlineStr"/>
      <c r="P272" s="10" t="inlineStr"/>
      <c r="Q272" s="10" t="inlineStr"/>
      <c r="R272" s="10" t="inlineStr"/>
      <c r="S272" t="inlineStr"/>
      <c r="T272" s="10" t="inlineStr"/>
      <c r="U272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t="inlineStr"/>
      <c r="AC272" s="10" t="inlineStr"/>
      <c r="AD272" t="inlineStr"/>
      <c r="AE272" t="inlineStr"/>
      <c r="AF272" s="10" t="inlineStr"/>
      <c r="AG272" t="inlineStr"/>
      <c r="AH272">
        <f>IF(AND(B272="",C272=""),"",IF(AND(X272&lt;&gt;"",Y272&lt;&gt;"",Z272&lt;&gt;"",AA272&lt;&gt;"",AB272="Y"),"YES","no"))</f>
        <v/>
      </c>
      <c r="AI272" s="10">
        <f>IF(AH272="YES",MAX(X272,Y272,Z272,AA272),"")</f>
        <v/>
      </c>
      <c r="AJ272">
        <f>IF(AND(B272="",C272=""),"",IF(OR(S272="Not interested",S272="Opt-out / do not contact"),"X Declined / suppressed",IF(S272="Bounced / undeliverable","X Bounced — research",IF(AC272&lt;&gt;"","13 Transacting",IF(AH272="YES","12 ACTIVATED",IF(Z272&lt;&gt;"","11 Listing live",IF(Y272&lt;&gt;"","10 Profile complete",IF(X272&lt;&gt;"","9 Approved",IF(W272&lt;&gt;"","8 KYC submitted",IF(V272&lt;&gt;"","7 Registered",IF(T272&lt;&gt;"","5 Interested",IF(R272&lt;&gt;"","4 Responded",IF(O272&lt;&gt;"","2 Contacted","1 Not yet contacted")))))))))))))</f>
        <v/>
      </c>
      <c r="AK272" s="10">
        <f>IF(AF272&lt;&gt;"",AF272,IF(OR(O272="",R272&lt;&gt;"",LEFT(AJ272,1)="X"),"",IF(Q272&lt;&gt;"","",IF(P272&lt;&gt;"",P272+SETTINGS!$B$4,O272+SETTINGS!$B$3))))</f>
        <v/>
      </c>
      <c r="AL272">
        <f>IF(AJ272="","",IF(LEFT(AJ272,1)="X","None — do not contact",IF(AJ272="1 Not yet contacted","Verify route today, then send M1",IF(AND(R272="",Q272&lt;&gt;""),"Sequence complete — no contact before "&amp;TEXT(Q272+SETTINGS!$B$5,"yyyy-mm-dd"),IF(AND(R272="",P272&lt;&gt;""),"Send final note (M4)",IF(R272="","Send follow-up (M2)",IF(AJ272="12 ACTIVATED","7-day check-in; consent &amp; referral soft ask",IF(AJ272="13 Transacting","Repeat-activity support","Onboarding: move to next stage (see playbook §6)"))))))))</f>
        <v/>
      </c>
      <c r="AM272">
        <f>IF(ISNUMBER(AK272),IF(AK272&lt;=TODAY(),"DUE",""),"")</f>
        <v/>
      </c>
      <c r="AN272">
        <f>IF(COUNT(O272,P272,Q272,R272,T272,V272,W272,X272,Y272,Z272,AA272,AC272)=0,"",TODAY()-MAX(O272,P272,Q272,R272,T272,V272,W272,X272,Y272,Z272,AA272,AC272))</f>
        <v/>
      </c>
      <c r="AO272">
        <f>IF(AJ272="","",IF(AND(T272&lt;&gt;"",U272&lt;&gt;"Active (verified)"),"GST: escalate (no tax advice)",IF(AND(IFERROR(VALUE(LEFT(AJ272,2)),0)&gt;=5,AH272&lt;&gt;"YES",ISNUMBER(AN272),AN272&gt;SETTINGS!$B$14),"STUCK in onboarding","")))</f>
        <v/>
      </c>
    </row>
    <row r="273">
      <c r="A273" t="n">
        <v>272</v>
      </c>
      <c r="B273" t="inlineStr">
        <is>
          <t>UPK2-LM-303</t>
        </is>
      </c>
      <c r="C273" t="inlineStr">
        <is>
          <t>Shirish Sen</t>
        </is>
      </c>
      <c r="D273" t="inlineStr">
        <is>
          <t>Lens &amp; Motion</t>
        </is>
      </c>
      <c r="E273" t="inlineStr">
        <is>
          <t>LM-COMMERCIAL-FASHION</t>
        </is>
      </c>
      <c r="F273" t="inlineStr">
        <is>
          <t>Delhi NCR</t>
        </is>
      </c>
      <c r="G273" t="inlineStr">
        <is>
          <t>C</t>
        </is>
      </c>
      <c r="H273" t="inlineStr">
        <is>
          <t>P1</t>
        </is>
      </c>
      <c r="I273" t="inlineStr">
        <is>
          <t>under-discovered</t>
        </is>
      </c>
      <c r="J273" t="inlineStr">
        <is>
          <t>Personal 1:1 email from founder/team to published business email</t>
        </is>
      </c>
      <c r="K273" t="inlineStr">
        <is>
          <t>https://www.shirishsen.com/</t>
        </is>
      </c>
      <c r="L273" t="inlineStr">
        <is>
          <t>W2 Expansion</t>
        </is>
      </c>
      <c r="M273" t="inlineStr"/>
      <c r="N273" t="inlineStr"/>
      <c r="O273" s="10" t="inlineStr"/>
      <c r="P273" s="10" t="inlineStr"/>
      <c r="Q273" s="10" t="inlineStr"/>
      <c r="R273" s="10" t="inlineStr"/>
      <c r="S273" t="inlineStr"/>
      <c r="T273" s="10" t="inlineStr"/>
      <c r="U273" t="inlineStr"/>
      <c r="V273" s="10" t="inlineStr"/>
      <c r="W273" s="10" t="inlineStr"/>
      <c r="X273" s="10" t="inlineStr"/>
      <c r="Y273" s="10" t="inlineStr"/>
      <c r="Z273" s="10" t="inlineStr"/>
      <c r="AA273" s="10" t="inlineStr"/>
      <c r="AB273" t="inlineStr"/>
      <c r="AC273" s="10" t="inlineStr"/>
      <c r="AD273" t="inlineStr"/>
      <c r="AE273" t="inlineStr"/>
      <c r="AF273" s="10" t="inlineStr"/>
      <c r="AG273" t="inlineStr"/>
      <c r="AH273">
        <f>IF(AND(B273="",C273=""),"",IF(AND(X273&lt;&gt;"",Y273&lt;&gt;"",Z273&lt;&gt;"",AA273&lt;&gt;"",AB273="Y"),"YES","no"))</f>
        <v/>
      </c>
      <c r="AI273" s="10">
        <f>IF(AH273="YES",MAX(X273,Y273,Z273,AA273),"")</f>
        <v/>
      </c>
      <c r="AJ273">
        <f>IF(AND(B273="",C273=""),"",IF(OR(S273="Not interested",S273="Opt-out / do not contact"),"X Declined / suppressed",IF(S273="Bounced / undeliverable","X Bounced — research",IF(AC273&lt;&gt;"","13 Transacting",IF(AH273="YES","12 ACTIVATED",IF(Z273&lt;&gt;"","11 Listing live",IF(Y273&lt;&gt;"","10 Profile complete",IF(X273&lt;&gt;"","9 Approved",IF(W273&lt;&gt;"","8 KYC submitted",IF(V273&lt;&gt;"","7 Registered",IF(T273&lt;&gt;"","5 Interested",IF(R273&lt;&gt;"","4 Responded",IF(O273&lt;&gt;"","2 Contacted","1 Not yet contacted")))))))))))))</f>
        <v/>
      </c>
      <c r="AK273" s="10">
        <f>IF(AF273&lt;&gt;"",AF273,IF(OR(O273="",R273&lt;&gt;"",LEFT(AJ273,1)="X"),"",IF(Q273&lt;&gt;"","",IF(P273&lt;&gt;"",P273+SETTINGS!$B$4,O273+SETTINGS!$B$3))))</f>
        <v/>
      </c>
      <c r="AL273">
        <f>IF(AJ273="","",IF(LEFT(AJ273,1)="X","None — do not contact",IF(AJ273="1 Not yet contacted","Verify route today, then send M1",IF(AND(R273="",Q273&lt;&gt;""),"Sequence complete — no contact before "&amp;TEXT(Q273+SETTINGS!$B$5,"yyyy-mm-dd"),IF(AND(R273="",P273&lt;&gt;""),"Send final note (M4)",IF(R273="","Send follow-up (M2)",IF(AJ273="12 ACTIVATED","7-day check-in; consent &amp; referral soft ask",IF(AJ273="13 Transacting","Repeat-activity support","Onboarding: move to next stage (see playbook §6)"))))))))</f>
        <v/>
      </c>
      <c r="AM273">
        <f>IF(ISNUMBER(AK273),IF(AK273&lt;=TODAY(),"DUE",""),"")</f>
        <v/>
      </c>
      <c r="AN273">
        <f>IF(COUNT(O273,P273,Q273,R273,T273,V273,W273,X273,Y273,Z273,AA273,AC273)=0,"",TODAY()-MAX(O273,P273,Q273,R273,T273,V273,W273,X273,Y273,Z273,AA273,AC273))</f>
        <v/>
      </c>
      <c r="AO273">
        <f>IF(AJ273="","",IF(AND(T273&lt;&gt;"",U273&lt;&gt;"Active (verified)"),"GST: escalate (no tax advice)",IF(AND(IFERROR(VALUE(LEFT(AJ273,2)),0)&gt;=5,AH273&lt;&gt;"YES",ISNUMBER(AN273),AN273&gt;SETTINGS!$B$14),"STUCK in onboarding","")))</f>
        <v/>
      </c>
    </row>
    <row r="274">
      <c r="A274" t="n">
        <v>273</v>
      </c>
      <c r="B274" t="inlineStr">
        <is>
          <t>UPK2-LM-302</t>
        </is>
      </c>
      <c r="C274" t="inlineStr">
        <is>
          <t>Dioxide Photography</t>
        </is>
      </c>
      <c r="D274" t="inlineStr">
        <is>
          <t>Lens &amp; Motion</t>
        </is>
      </c>
      <c r="E274" t="inlineStr">
        <is>
          <t>LM-COMMERCIAL-FASHION</t>
        </is>
      </c>
      <c r="F274" t="inlineStr">
        <is>
          <t>Mumbai</t>
        </is>
      </c>
      <c r="G274" t="inlineStr">
        <is>
          <t>C</t>
        </is>
      </c>
      <c r="H274" t="inlineStr">
        <is>
          <t>P1</t>
        </is>
      </c>
      <c r="I274" t="inlineStr">
        <is>
          <t>under-discovered</t>
        </is>
      </c>
      <c r="J274" t="inlineStr">
        <is>
          <t>Personal 1:1 email from founder/team to published business email</t>
        </is>
      </c>
      <c r="K274" t="inlineStr">
        <is>
          <t>https://www.kedarmalegaonkar.com/</t>
        </is>
      </c>
      <c r="L274" t="inlineStr">
        <is>
          <t>W2 Expansion</t>
        </is>
      </c>
      <c r="M274" t="inlineStr"/>
      <c r="N274" t="inlineStr"/>
      <c r="O274" s="10" t="inlineStr"/>
      <c r="P274" s="10" t="inlineStr"/>
      <c r="Q274" s="10" t="inlineStr"/>
      <c r="R274" s="10" t="inlineStr"/>
      <c r="S274" t="inlineStr"/>
      <c r="T274" s="10" t="inlineStr"/>
      <c r="U274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t="inlineStr"/>
      <c r="AC274" s="10" t="inlineStr"/>
      <c r="AD274" t="inlineStr"/>
      <c r="AE274" t="inlineStr"/>
      <c r="AF274" s="10" t="inlineStr"/>
      <c r="AG274" t="inlineStr"/>
      <c r="AH274">
        <f>IF(AND(B274="",C274=""),"",IF(AND(X274&lt;&gt;"",Y274&lt;&gt;"",Z274&lt;&gt;"",AA274&lt;&gt;"",AB274="Y"),"YES","no"))</f>
        <v/>
      </c>
      <c r="AI274" s="10">
        <f>IF(AH274="YES",MAX(X274,Y274,Z274,AA274),"")</f>
        <v/>
      </c>
      <c r="AJ274">
        <f>IF(AND(B274="",C274=""),"",IF(OR(S274="Not interested",S274="Opt-out / do not contact"),"X Declined / suppressed",IF(S274="Bounced / undeliverable","X Bounced — research",IF(AC274&lt;&gt;"","13 Transacting",IF(AH274="YES","12 ACTIVATED",IF(Z274&lt;&gt;"","11 Listing live",IF(Y274&lt;&gt;"","10 Profile complete",IF(X274&lt;&gt;"","9 Approved",IF(W274&lt;&gt;"","8 KYC submitted",IF(V274&lt;&gt;"","7 Registered",IF(T274&lt;&gt;"","5 Interested",IF(R274&lt;&gt;"","4 Responded",IF(O274&lt;&gt;"","2 Contacted","1 Not yet contacted")))))))))))))</f>
        <v/>
      </c>
      <c r="AK274" s="10">
        <f>IF(AF274&lt;&gt;"",AF274,IF(OR(O274="",R274&lt;&gt;"",LEFT(AJ274,1)="X"),"",IF(Q274&lt;&gt;"","",IF(P274&lt;&gt;"",P274+SETTINGS!$B$4,O274+SETTINGS!$B$3))))</f>
        <v/>
      </c>
      <c r="AL274">
        <f>IF(AJ274="","",IF(LEFT(AJ274,1)="X","None — do not contact",IF(AJ274="1 Not yet contacted","Verify route today, then send M1",IF(AND(R274="",Q274&lt;&gt;""),"Sequence complete — no contact before "&amp;TEXT(Q274+SETTINGS!$B$5,"yyyy-mm-dd"),IF(AND(R274="",P274&lt;&gt;""),"Send final note (M4)",IF(R274="","Send follow-up (M2)",IF(AJ274="12 ACTIVATED","7-day check-in; consent &amp; referral soft ask",IF(AJ274="13 Transacting","Repeat-activity support","Onboarding: move to next stage (see playbook §6)"))))))))</f>
        <v/>
      </c>
      <c r="AM274">
        <f>IF(ISNUMBER(AK274),IF(AK274&lt;=TODAY(),"DUE",""),"")</f>
        <v/>
      </c>
      <c r="AN274">
        <f>IF(COUNT(O274,P274,Q274,R274,T274,V274,W274,X274,Y274,Z274,AA274,AC274)=0,"",TODAY()-MAX(O274,P274,Q274,R274,T274,V274,W274,X274,Y274,Z274,AA274,AC274))</f>
        <v/>
      </c>
      <c r="AO274">
        <f>IF(AJ274="","",IF(AND(T274&lt;&gt;"",U274&lt;&gt;"Active (verified)"),"GST: escalate (no tax advice)",IF(AND(IFERROR(VALUE(LEFT(AJ274,2)),0)&gt;=5,AH274&lt;&gt;"YES",ISNUMBER(AN274),AN274&gt;SETTINGS!$B$14),"STUCK in onboarding","")))</f>
        <v/>
      </c>
    </row>
    <row r="275">
      <c r="A275" t="n">
        <v>274</v>
      </c>
      <c r="B275" t="inlineStr">
        <is>
          <t>UPK2-LM-335</t>
        </is>
      </c>
      <c r="C275" t="inlineStr">
        <is>
          <t>Noughts &amp; Crosses</t>
        </is>
      </c>
      <c r="D275" t="inlineStr">
        <is>
          <t>Lens &amp; Motion</t>
        </is>
      </c>
      <c r="E275" t="inlineStr">
        <is>
          <t>LM-ARCH-INTERIOR</t>
        </is>
      </c>
      <c r="F275" t="inlineStr">
        <is>
          <t>Delhi NCR</t>
        </is>
      </c>
      <c r="G275" t="inlineStr">
        <is>
          <t>C</t>
        </is>
      </c>
      <c r="H275" t="inlineStr">
        <is>
          <t>P1</t>
        </is>
      </c>
      <c r="I275" t="inlineStr">
        <is>
          <t>under-discovered</t>
        </is>
      </c>
      <c r="J275" t="inlineStr">
        <is>
          <t>Personal 1:1 email from founder/team to published business email</t>
        </is>
      </c>
      <c r="K275" t="inlineStr">
        <is>
          <t>https://www.fanthome.in/</t>
        </is>
      </c>
      <c r="L275" t="inlineStr">
        <is>
          <t>W2 Expansion</t>
        </is>
      </c>
      <c r="M275" t="inlineStr"/>
      <c r="N275" t="inlineStr"/>
      <c r="O275" s="10" t="inlineStr"/>
      <c r="P275" s="10" t="inlineStr"/>
      <c r="Q275" s="10" t="inlineStr"/>
      <c r="R275" s="10" t="inlineStr"/>
      <c r="S275" t="inlineStr"/>
      <c r="T275" s="10" t="inlineStr"/>
      <c r="U275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t="inlineStr"/>
      <c r="AC275" s="10" t="inlineStr"/>
      <c r="AD275" t="inlineStr"/>
      <c r="AE275" t="inlineStr"/>
      <c r="AF275" s="10" t="inlineStr"/>
      <c r="AG275" t="inlineStr"/>
      <c r="AH275">
        <f>IF(AND(B275="",C275=""),"",IF(AND(X275&lt;&gt;"",Y275&lt;&gt;"",Z275&lt;&gt;"",AA275&lt;&gt;"",AB275="Y"),"YES","no"))</f>
        <v/>
      </c>
      <c r="AI275" s="10">
        <f>IF(AH275="YES",MAX(X275,Y275,Z275,AA275),"")</f>
        <v/>
      </c>
      <c r="AJ275">
        <f>IF(AND(B275="",C275=""),"",IF(OR(S275="Not interested",S275="Opt-out / do not contact"),"X Declined / suppressed",IF(S275="Bounced / undeliverable","X Bounced — research",IF(AC275&lt;&gt;"","13 Transacting",IF(AH275="YES","12 ACTIVATED",IF(Z275&lt;&gt;"","11 Listing live",IF(Y275&lt;&gt;"","10 Profile complete",IF(X275&lt;&gt;"","9 Approved",IF(W275&lt;&gt;"","8 KYC submitted",IF(V275&lt;&gt;"","7 Registered",IF(T275&lt;&gt;"","5 Interested",IF(R275&lt;&gt;"","4 Responded",IF(O275&lt;&gt;"","2 Contacted","1 Not yet contacted")))))))))))))</f>
        <v/>
      </c>
      <c r="AK275" s="10">
        <f>IF(AF275&lt;&gt;"",AF275,IF(OR(O275="",R275&lt;&gt;"",LEFT(AJ275,1)="X"),"",IF(Q275&lt;&gt;"","",IF(P275&lt;&gt;"",P275+SETTINGS!$B$4,O275+SETTINGS!$B$3))))</f>
        <v/>
      </c>
      <c r="AL275">
        <f>IF(AJ275="","",IF(LEFT(AJ275,1)="X","None — do not contact",IF(AJ275="1 Not yet contacted","Verify route today, then send M1",IF(AND(R275="",Q275&lt;&gt;""),"Sequence complete — no contact before "&amp;TEXT(Q275+SETTINGS!$B$5,"yyyy-mm-dd"),IF(AND(R275="",P275&lt;&gt;""),"Send final note (M4)",IF(R275="","Send follow-up (M2)",IF(AJ275="12 ACTIVATED","7-day check-in; consent &amp; referral soft ask",IF(AJ275="13 Transacting","Repeat-activity support","Onboarding: move to next stage (see playbook §6)"))))))))</f>
        <v/>
      </c>
      <c r="AM275">
        <f>IF(ISNUMBER(AK275),IF(AK275&lt;=TODAY(),"DUE",""),"")</f>
        <v/>
      </c>
      <c r="AN275">
        <f>IF(COUNT(O275,P275,Q275,R275,T275,V275,W275,X275,Y275,Z275,AA275,AC275)=0,"",TODAY()-MAX(O275,P275,Q275,R275,T275,V275,W275,X275,Y275,Z275,AA275,AC275))</f>
        <v/>
      </c>
      <c r="AO275">
        <f>IF(AJ275="","",IF(AND(T275&lt;&gt;"",U275&lt;&gt;"Active (verified)"),"GST: escalate (no tax advice)",IF(AND(IFERROR(VALUE(LEFT(AJ275,2)),0)&gt;=5,AH275&lt;&gt;"YES",ISNUMBER(AN275),AN275&gt;SETTINGS!$B$14),"STUCK in onboarding","")))</f>
        <v/>
      </c>
    </row>
    <row r="276">
      <c r="A276" t="n">
        <v>275</v>
      </c>
      <c r="B276" t="inlineStr">
        <is>
          <t>UPK2-LM-354</t>
        </is>
      </c>
      <c r="C276" t="inlineStr">
        <is>
          <t>The Light Cube Photography</t>
        </is>
      </c>
      <c r="D276" t="inlineStr">
        <is>
          <t>Lens &amp; Motion</t>
        </is>
      </c>
      <c r="E276" t="inlineStr">
        <is>
          <t>LM-ARCH-INTERIOR</t>
        </is>
      </c>
      <c r="F276" t="inlineStr">
        <is>
          <t>Mumbai</t>
        </is>
      </c>
      <c r="G276" t="inlineStr">
        <is>
          <t>A</t>
        </is>
      </c>
      <c r="H276" t="inlineStr">
        <is>
          <t>P0</t>
        </is>
      </c>
      <c r="I276" t="inlineStr">
        <is>
          <t>under-discovered</t>
        </is>
      </c>
      <c r="J276" t="inlineStr">
        <is>
          <t>Personal 1:1 email from founder/team to published business email</t>
        </is>
      </c>
      <c r="K276" t="inlineStr">
        <is>
          <t>https://www.thelightcubephotography.com/contact</t>
        </is>
      </c>
      <c r="L276" t="inlineStr">
        <is>
          <t>W2 Expansion</t>
        </is>
      </c>
      <c r="M276" t="inlineStr"/>
      <c r="N276" t="inlineStr"/>
      <c r="O276" s="10" t="inlineStr"/>
      <c r="P276" s="10" t="inlineStr"/>
      <c r="Q276" s="10" t="inlineStr"/>
      <c r="R276" s="10" t="inlineStr"/>
      <c r="S276" t="inlineStr"/>
      <c r="T276" s="10" t="inlineStr"/>
      <c r="U276" t="inlineStr"/>
      <c r="V276" s="10" t="inlineStr"/>
      <c r="W276" s="10" t="inlineStr"/>
      <c r="X276" s="10" t="inlineStr"/>
      <c r="Y276" s="10" t="inlineStr"/>
      <c r="Z276" s="10" t="inlineStr"/>
      <c r="AA276" s="10" t="inlineStr"/>
      <c r="AB276" t="inlineStr"/>
      <c r="AC276" s="10" t="inlineStr"/>
      <c r="AD276" t="inlineStr"/>
      <c r="AE276" t="inlineStr"/>
      <c r="AF276" s="10" t="inlineStr"/>
      <c r="AG276" t="inlineStr"/>
      <c r="AH276">
        <f>IF(AND(B276="",C276=""),"",IF(AND(X276&lt;&gt;"",Y276&lt;&gt;"",Z276&lt;&gt;"",AA276&lt;&gt;"",AB276="Y"),"YES","no"))</f>
        <v/>
      </c>
      <c r="AI276" s="10">
        <f>IF(AH276="YES",MAX(X276,Y276,Z276,AA276),"")</f>
        <v/>
      </c>
      <c r="AJ276">
        <f>IF(AND(B276="",C276=""),"",IF(OR(S276="Not interested",S276="Opt-out / do not contact"),"X Declined / suppressed",IF(S276="Bounced / undeliverable","X Bounced — research",IF(AC276&lt;&gt;"","13 Transacting",IF(AH276="YES","12 ACTIVATED",IF(Z276&lt;&gt;"","11 Listing live",IF(Y276&lt;&gt;"","10 Profile complete",IF(X276&lt;&gt;"","9 Approved",IF(W276&lt;&gt;"","8 KYC submitted",IF(V276&lt;&gt;"","7 Registered",IF(T276&lt;&gt;"","5 Interested",IF(R276&lt;&gt;"","4 Responded",IF(O276&lt;&gt;"","2 Contacted","1 Not yet contacted")))))))))))))</f>
        <v/>
      </c>
      <c r="AK276" s="10">
        <f>IF(AF276&lt;&gt;"",AF276,IF(OR(O276="",R276&lt;&gt;"",LEFT(AJ276,1)="X"),"",IF(Q276&lt;&gt;"","",IF(P276&lt;&gt;"",P276+SETTINGS!$B$4,O276+SETTINGS!$B$3))))</f>
        <v/>
      </c>
      <c r="AL276">
        <f>IF(AJ276="","",IF(LEFT(AJ276,1)="X","None — do not contact",IF(AJ276="1 Not yet contacted","Verify route today, then send M1",IF(AND(R276="",Q276&lt;&gt;""),"Sequence complete — no contact before "&amp;TEXT(Q276+SETTINGS!$B$5,"yyyy-mm-dd"),IF(AND(R276="",P276&lt;&gt;""),"Send final note (M4)",IF(R276="","Send follow-up (M2)",IF(AJ276="12 ACTIVATED","7-day check-in; consent &amp; referral soft ask",IF(AJ276="13 Transacting","Repeat-activity support","Onboarding: move to next stage (see playbook §6)"))))))))</f>
        <v/>
      </c>
      <c r="AM276">
        <f>IF(ISNUMBER(AK276),IF(AK276&lt;=TODAY(),"DUE",""),"")</f>
        <v/>
      </c>
      <c r="AN276">
        <f>IF(COUNT(O276,P276,Q276,R276,T276,V276,W276,X276,Y276,Z276,AA276,AC276)=0,"",TODAY()-MAX(O276,P276,Q276,R276,T276,V276,W276,X276,Y276,Z276,AA276,AC276))</f>
        <v/>
      </c>
      <c r="AO276">
        <f>IF(AJ276="","",IF(AND(T276&lt;&gt;"",U276&lt;&gt;"Active (verified)"),"GST: escalate (no tax advice)",IF(AND(IFERROR(VALUE(LEFT(AJ276,2)),0)&gt;=5,AH276&lt;&gt;"YES",ISNUMBER(AN276),AN276&gt;SETTINGS!$B$14),"STUCK in onboarding","")))</f>
        <v/>
      </c>
    </row>
    <row r="277">
      <c r="A277" t="n">
        <v>276</v>
      </c>
      <c r="B277" t="inlineStr">
        <is>
          <t>UPK2-LM-301</t>
        </is>
      </c>
      <c r="C277" t="inlineStr">
        <is>
          <t>Chirag Patnaik</t>
        </is>
      </c>
      <c r="D277" t="inlineStr">
        <is>
          <t>Lens &amp; Motion</t>
        </is>
      </c>
      <c r="E277" t="inlineStr">
        <is>
          <t>LM-COMMERCIAL-FASHION</t>
        </is>
      </c>
      <c r="F277" t="inlineStr">
        <is>
          <t>Delhi NCR</t>
        </is>
      </c>
      <c r="G277" t="inlineStr">
        <is>
          <t>B</t>
        </is>
      </c>
      <c r="H277" t="inlineStr">
        <is>
          <t>P1</t>
        </is>
      </c>
      <c r="I277" t="inlineStr">
        <is>
          <t>under-discovered</t>
        </is>
      </c>
      <c r="J277" t="inlineStr">
        <is>
          <t>Personal 1:1 email from founder/team to published business email</t>
        </is>
      </c>
      <c r="K277" t="inlineStr">
        <is>
          <t>https://chiragpatnaik.in/contact</t>
        </is>
      </c>
      <c r="L277" t="inlineStr">
        <is>
          <t>W2 Expansion</t>
        </is>
      </c>
      <c r="M277" t="inlineStr"/>
      <c r="N277" t="inlineStr"/>
      <c r="O277" s="10" t="inlineStr"/>
      <c r="P277" s="10" t="inlineStr"/>
      <c r="Q277" s="10" t="inlineStr"/>
      <c r="R277" s="10" t="inlineStr"/>
      <c r="S277" t="inlineStr"/>
      <c r="T277" s="10" t="inlineStr"/>
      <c r="U277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t="inlineStr"/>
      <c r="AC277" s="10" t="inlineStr"/>
      <c r="AD277" t="inlineStr"/>
      <c r="AE277" t="inlineStr"/>
      <c r="AF277" s="10" t="inlineStr"/>
      <c r="AG277" t="inlineStr"/>
      <c r="AH277">
        <f>IF(AND(B277="",C277=""),"",IF(AND(X277&lt;&gt;"",Y277&lt;&gt;"",Z277&lt;&gt;"",AA277&lt;&gt;"",AB277="Y"),"YES","no"))</f>
        <v/>
      </c>
      <c r="AI277" s="10">
        <f>IF(AH277="YES",MAX(X277,Y277,Z277,AA277),"")</f>
        <v/>
      </c>
      <c r="AJ277">
        <f>IF(AND(B277="",C277=""),"",IF(OR(S277="Not interested",S277="Opt-out / do not contact"),"X Declined / suppressed",IF(S277="Bounced / undeliverable","X Bounced — research",IF(AC277&lt;&gt;"","13 Transacting",IF(AH277="YES","12 ACTIVATED",IF(Z277&lt;&gt;"","11 Listing live",IF(Y277&lt;&gt;"","10 Profile complete",IF(X277&lt;&gt;"","9 Approved",IF(W277&lt;&gt;"","8 KYC submitted",IF(V277&lt;&gt;"","7 Registered",IF(T277&lt;&gt;"","5 Interested",IF(R277&lt;&gt;"","4 Responded",IF(O277&lt;&gt;"","2 Contacted","1 Not yet contacted")))))))))))))</f>
        <v/>
      </c>
      <c r="AK277" s="10">
        <f>IF(AF277&lt;&gt;"",AF277,IF(OR(O277="",R277&lt;&gt;"",LEFT(AJ277,1)="X"),"",IF(Q277&lt;&gt;"","",IF(P277&lt;&gt;"",P277+SETTINGS!$B$4,O277+SETTINGS!$B$3))))</f>
        <v/>
      </c>
      <c r="AL277">
        <f>IF(AJ277="","",IF(LEFT(AJ277,1)="X","None — do not contact",IF(AJ277="1 Not yet contacted","Verify route today, then send M1",IF(AND(R277="",Q277&lt;&gt;""),"Sequence complete — no contact before "&amp;TEXT(Q277+SETTINGS!$B$5,"yyyy-mm-dd"),IF(AND(R277="",P277&lt;&gt;""),"Send final note (M4)",IF(R277="","Send follow-up (M2)",IF(AJ277="12 ACTIVATED","7-day check-in; consent &amp; referral soft ask",IF(AJ277="13 Transacting","Repeat-activity support","Onboarding: move to next stage (see playbook §6)"))))))))</f>
        <v/>
      </c>
      <c r="AM277">
        <f>IF(ISNUMBER(AK277),IF(AK277&lt;=TODAY(),"DUE",""),"")</f>
        <v/>
      </c>
      <c r="AN277">
        <f>IF(COUNT(O277,P277,Q277,R277,T277,V277,W277,X277,Y277,Z277,AA277,AC277)=0,"",TODAY()-MAX(O277,P277,Q277,R277,T277,V277,W277,X277,Y277,Z277,AA277,AC277))</f>
        <v/>
      </c>
      <c r="AO277">
        <f>IF(AJ277="","",IF(AND(T277&lt;&gt;"",U277&lt;&gt;"Active (verified)"),"GST: escalate (no tax advice)",IF(AND(IFERROR(VALUE(LEFT(AJ277,2)),0)&gt;=5,AH277&lt;&gt;"YES",ISNUMBER(AN277),AN277&gt;SETTINGS!$B$14),"STUCK in onboarding","")))</f>
        <v/>
      </c>
    </row>
    <row r="278">
      <c r="A278" t="n">
        <v>277</v>
      </c>
      <c r="B278" t="inlineStr">
        <is>
          <t>UPK2-LM-031</t>
        </is>
      </c>
      <c r="C278" t="inlineStr">
        <is>
          <t>Digital Studio</t>
        </is>
      </c>
      <c r="D278" t="inlineStr">
        <is>
          <t>Lens &amp; Motion</t>
        </is>
      </c>
      <c r="E278" t="inlineStr">
        <is>
          <t>LM-COMMERCIAL-FASHION</t>
        </is>
      </c>
      <c r="F278" t="inlineStr">
        <is>
          <t>Mumbai</t>
        </is>
      </c>
      <c r="G278" t="inlineStr">
        <is>
          <t>B</t>
        </is>
      </c>
      <c r="H278" t="inlineStr">
        <is>
          <t>P0</t>
        </is>
      </c>
      <c r="I278" t="inlineStr"/>
      <c r="J278" t="inlineStr">
        <is>
          <t>Personal 1:1 email from founder/team to published business email</t>
        </is>
      </c>
      <c r="K278" t="inlineStr">
        <is>
          <t>https://www.digitalstudio.in/</t>
        </is>
      </c>
      <c r="L278" t="inlineStr">
        <is>
          <t>W2 Expansion</t>
        </is>
      </c>
      <c r="M278" t="inlineStr"/>
      <c r="N278" t="inlineStr"/>
      <c r="O278" s="10" t="inlineStr"/>
      <c r="P278" s="10" t="inlineStr"/>
      <c r="Q278" s="10" t="inlineStr"/>
      <c r="R278" s="10" t="inlineStr"/>
      <c r="S278" t="inlineStr"/>
      <c r="T278" s="10" t="inlineStr"/>
      <c r="U278" t="inlineStr"/>
      <c r="V278" s="10" t="inlineStr"/>
      <c r="W278" s="10" t="inlineStr"/>
      <c r="X278" s="10" t="inlineStr"/>
      <c r="Y278" s="10" t="inlineStr"/>
      <c r="Z278" s="10" t="inlineStr"/>
      <c r="AA278" s="10" t="inlineStr"/>
      <c r="AB278" t="inlineStr"/>
      <c r="AC278" s="10" t="inlineStr"/>
      <c r="AD278" t="inlineStr"/>
      <c r="AE278" t="inlineStr"/>
      <c r="AF278" s="10" t="inlineStr"/>
      <c r="AG278" t="inlineStr"/>
      <c r="AH278">
        <f>IF(AND(B278="",C278=""),"",IF(AND(X278&lt;&gt;"",Y278&lt;&gt;"",Z278&lt;&gt;"",AA278&lt;&gt;"",AB278="Y"),"YES","no"))</f>
        <v/>
      </c>
      <c r="AI278" s="10">
        <f>IF(AH278="YES",MAX(X278,Y278,Z278,AA278),"")</f>
        <v/>
      </c>
      <c r="AJ278">
        <f>IF(AND(B278="",C278=""),"",IF(OR(S278="Not interested",S278="Opt-out / do not contact"),"X Declined / suppressed",IF(S278="Bounced / undeliverable","X Bounced — research",IF(AC278&lt;&gt;"","13 Transacting",IF(AH278="YES","12 ACTIVATED",IF(Z278&lt;&gt;"","11 Listing live",IF(Y278&lt;&gt;"","10 Profile complete",IF(X278&lt;&gt;"","9 Approved",IF(W278&lt;&gt;"","8 KYC submitted",IF(V278&lt;&gt;"","7 Registered",IF(T278&lt;&gt;"","5 Interested",IF(R278&lt;&gt;"","4 Responded",IF(O278&lt;&gt;"","2 Contacted","1 Not yet contacted")))))))))))))</f>
        <v/>
      </c>
      <c r="AK278" s="10">
        <f>IF(AF278&lt;&gt;"",AF278,IF(OR(O278="",R278&lt;&gt;"",LEFT(AJ278,1)="X"),"",IF(Q278&lt;&gt;"","",IF(P278&lt;&gt;"",P278+SETTINGS!$B$4,O278+SETTINGS!$B$3))))</f>
        <v/>
      </c>
      <c r="AL278">
        <f>IF(AJ278="","",IF(LEFT(AJ278,1)="X","None — do not contact",IF(AJ278="1 Not yet contacted","Verify route today, then send M1",IF(AND(R278="",Q278&lt;&gt;""),"Sequence complete — no contact before "&amp;TEXT(Q278+SETTINGS!$B$5,"yyyy-mm-dd"),IF(AND(R278="",P278&lt;&gt;""),"Send final note (M4)",IF(R278="","Send follow-up (M2)",IF(AJ278="12 ACTIVATED","7-day check-in; consent &amp; referral soft ask",IF(AJ278="13 Transacting","Repeat-activity support","Onboarding: move to next stage (see playbook §6)"))))))))</f>
        <v/>
      </c>
      <c r="AM278">
        <f>IF(ISNUMBER(AK278),IF(AK278&lt;=TODAY(),"DUE",""),"")</f>
        <v/>
      </c>
      <c r="AN278">
        <f>IF(COUNT(O278,P278,Q278,R278,T278,V278,W278,X278,Y278,Z278,AA278,AC278)=0,"",TODAY()-MAX(O278,P278,Q278,R278,T278,V278,W278,X278,Y278,Z278,AA278,AC278))</f>
        <v/>
      </c>
      <c r="AO278">
        <f>IF(AJ278="","",IF(AND(T278&lt;&gt;"",U278&lt;&gt;"Active (verified)"),"GST: escalate (no tax advice)",IF(AND(IFERROR(VALUE(LEFT(AJ278,2)),0)&gt;=5,AH278&lt;&gt;"YES",ISNUMBER(AN278),AN278&gt;SETTINGS!$B$14),"STUCK in onboarding","")))</f>
        <v/>
      </c>
    </row>
    <row r="279">
      <c r="A279" t="n">
        <v>278</v>
      </c>
      <c r="B279" t="inlineStr">
        <is>
          <t>UPK2-LM-382</t>
        </is>
      </c>
      <c r="C279" t="inlineStr">
        <is>
          <t>Coddiwompler Studios</t>
        </is>
      </c>
      <c r="D279" t="inlineStr">
        <is>
          <t>Lens &amp; Motion</t>
        </is>
      </c>
      <c r="E279" t="inlineStr">
        <is>
          <t>LM-ARCH-INTERIOR</t>
        </is>
      </c>
      <c r="F279" t="inlineStr">
        <is>
          <t>Delhi NCR</t>
        </is>
      </c>
      <c r="G279" t="inlineStr">
        <is>
          <t>A</t>
        </is>
      </c>
      <c r="H279" t="inlineStr">
        <is>
          <t>P0</t>
        </is>
      </c>
      <c r="I279" t="inlineStr">
        <is>
          <t>under-discovered</t>
        </is>
      </c>
      <c r="J279" t="inlineStr">
        <is>
          <t>Personal 1:1 email from founder/team to published business email</t>
        </is>
      </c>
      <c r="K279" t="inlineStr">
        <is>
          <t>https://vibhoryadav.com/about</t>
        </is>
      </c>
      <c r="L279" t="inlineStr">
        <is>
          <t>W2 Expansion</t>
        </is>
      </c>
      <c r="M279" t="inlineStr"/>
      <c r="N279" t="inlineStr"/>
      <c r="O279" s="10" t="inlineStr"/>
      <c r="P279" s="10" t="inlineStr"/>
      <c r="Q279" s="10" t="inlineStr"/>
      <c r="R279" s="10" t="inlineStr"/>
      <c r="S279" t="inlineStr"/>
      <c r="T279" s="10" t="inlineStr"/>
      <c r="U279" t="inlineStr"/>
      <c r="V279" s="10" t="inlineStr"/>
      <c r="W279" s="10" t="inlineStr"/>
      <c r="X279" s="10" t="inlineStr"/>
      <c r="Y279" s="10" t="inlineStr"/>
      <c r="Z279" s="10" t="inlineStr"/>
      <c r="AA279" s="10" t="inlineStr"/>
      <c r="AB279" t="inlineStr"/>
      <c r="AC279" s="10" t="inlineStr"/>
      <c r="AD279" t="inlineStr"/>
      <c r="AE279" t="inlineStr"/>
      <c r="AF279" s="10" t="inlineStr"/>
      <c r="AG279" t="inlineStr"/>
      <c r="AH279">
        <f>IF(AND(B279="",C279=""),"",IF(AND(X279&lt;&gt;"",Y279&lt;&gt;"",Z279&lt;&gt;"",AA279&lt;&gt;"",AB279="Y"),"YES","no"))</f>
        <v/>
      </c>
      <c r="AI279" s="10">
        <f>IF(AH279="YES",MAX(X279,Y279,Z279,AA279),"")</f>
        <v/>
      </c>
      <c r="AJ279">
        <f>IF(AND(B279="",C279=""),"",IF(OR(S279="Not interested",S279="Opt-out / do not contact"),"X Declined / suppressed",IF(S279="Bounced / undeliverable","X Bounced — research",IF(AC279&lt;&gt;"","13 Transacting",IF(AH279="YES","12 ACTIVATED",IF(Z279&lt;&gt;"","11 Listing live",IF(Y279&lt;&gt;"","10 Profile complete",IF(X279&lt;&gt;"","9 Approved",IF(W279&lt;&gt;"","8 KYC submitted",IF(V279&lt;&gt;"","7 Registered",IF(T279&lt;&gt;"","5 Interested",IF(R279&lt;&gt;"","4 Responded",IF(O279&lt;&gt;"","2 Contacted","1 Not yet contacted")))))))))))))</f>
        <v/>
      </c>
      <c r="AK279" s="10">
        <f>IF(AF279&lt;&gt;"",AF279,IF(OR(O279="",R279&lt;&gt;"",LEFT(AJ279,1)="X"),"",IF(Q279&lt;&gt;"","",IF(P279&lt;&gt;"",P279+SETTINGS!$B$4,O279+SETTINGS!$B$3))))</f>
        <v/>
      </c>
      <c r="AL279">
        <f>IF(AJ279="","",IF(LEFT(AJ279,1)="X","None — do not contact",IF(AJ279="1 Not yet contacted","Verify route today, then send M1",IF(AND(R279="",Q279&lt;&gt;""),"Sequence complete — no contact before "&amp;TEXT(Q279+SETTINGS!$B$5,"yyyy-mm-dd"),IF(AND(R279="",P279&lt;&gt;""),"Send final note (M4)",IF(R279="","Send follow-up (M2)",IF(AJ279="12 ACTIVATED","7-day check-in; consent &amp; referral soft ask",IF(AJ279="13 Transacting","Repeat-activity support","Onboarding: move to next stage (see playbook §6)"))))))))</f>
        <v/>
      </c>
      <c r="AM279">
        <f>IF(ISNUMBER(AK279),IF(AK279&lt;=TODAY(),"DUE",""),"")</f>
        <v/>
      </c>
      <c r="AN279">
        <f>IF(COUNT(O279,P279,Q279,R279,T279,V279,W279,X279,Y279,Z279,AA279,AC279)=0,"",TODAY()-MAX(O279,P279,Q279,R279,T279,V279,W279,X279,Y279,Z279,AA279,AC279))</f>
        <v/>
      </c>
      <c r="AO279">
        <f>IF(AJ279="","",IF(AND(T279&lt;&gt;"",U279&lt;&gt;"Active (verified)"),"GST: escalate (no tax advice)",IF(AND(IFERROR(VALUE(LEFT(AJ279,2)),0)&gt;=5,AH279&lt;&gt;"YES",ISNUMBER(AN279),AN279&gt;SETTINGS!$B$14),"STUCK in onboarding","")))</f>
        <v/>
      </c>
    </row>
    <row r="280">
      <c r="A280" t="n">
        <v>279</v>
      </c>
      <c r="B280" t="inlineStr">
        <is>
          <t>UPK2-LM-338</t>
        </is>
      </c>
      <c r="C280" t="inlineStr">
        <is>
          <t>Mukesh Gajjar Photography</t>
        </is>
      </c>
      <c r="D280" t="inlineStr">
        <is>
          <t>Lens &amp; Motion</t>
        </is>
      </c>
      <c r="E280" t="inlineStr">
        <is>
          <t>LM-ARCH-INTERIOR</t>
        </is>
      </c>
      <c r="F280" t="inlineStr">
        <is>
          <t>Mumbai</t>
        </is>
      </c>
      <c r="G280" t="inlineStr">
        <is>
          <t>B</t>
        </is>
      </c>
      <c r="H280" t="inlineStr">
        <is>
          <t>P1</t>
        </is>
      </c>
      <c r="I280" t="inlineStr">
        <is>
          <t>under-discovered</t>
        </is>
      </c>
      <c r="J280" t="inlineStr">
        <is>
          <t>Personal 1:1 email from founder/team to published business email</t>
        </is>
      </c>
      <c r="K280" t="inlineStr">
        <is>
          <t>https://www.mukeshgajjar.in/bio-contact</t>
        </is>
      </c>
      <c r="L280" t="inlineStr">
        <is>
          <t>W2 Expansion</t>
        </is>
      </c>
      <c r="M280" t="inlineStr"/>
      <c r="N280" t="inlineStr"/>
      <c r="O280" s="10" t="inlineStr"/>
      <c r="P280" s="10" t="inlineStr"/>
      <c r="Q280" s="10" t="inlineStr"/>
      <c r="R280" s="10" t="inlineStr"/>
      <c r="S280" t="inlineStr"/>
      <c r="T280" s="10" t="inlineStr"/>
      <c r="U280" t="inlineStr"/>
      <c r="V280" s="10" t="inlineStr"/>
      <c r="W280" s="10" t="inlineStr"/>
      <c r="X280" s="10" t="inlineStr"/>
      <c r="Y280" s="10" t="inlineStr"/>
      <c r="Z280" s="10" t="inlineStr"/>
      <c r="AA280" s="10" t="inlineStr"/>
      <c r="AB280" t="inlineStr"/>
      <c r="AC280" s="10" t="inlineStr"/>
      <c r="AD280" t="inlineStr"/>
      <c r="AE280" t="inlineStr"/>
      <c r="AF280" s="10" t="inlineStr"/>
      <c r="AG280" t="inlineStr"/>
      <c r="AH280">
        <f>IF(AND(B280="",C280=""),"",IF(AND(X280&lt;&gt;"",Y280&lt;&gt;"",Z280&lt;&gt;"",AA280&lt;&gt;"",AB280="Y"),"YES","no"))</f>
        <v/>
      </c>
      <c r="AI280" s="10">
        <f>IF(AH280="YES",MAX(X280,Y280,Z280,AA280),"")</f>
        <v/>
      </c>
      <c r="AJ280">
        <f>IF(AND(B280="",C280=""),"",IF(OR(S280="Not interested",S280="Opt-out / do not contact"),"X Declined / suppressed",IF(S280="Bounced / undeliverable","X Bounced — research",IF(AC280&lt;&gt;"","13 Transacting",IF(AH280="YES","12 ACTIVATED",IF(Z280&lt;&gt;"","11 Listing live",IF(Y280&lt;&gt;"","10 Profile complete",IF(X280&lt;&gt;"","9 Approved",IF(W280&lt;&gt;"","8 KYC submitted",IF(V280&lt;&gt;"","7 Registered",IF(T280&lt;&gt;"","5 Interested",IF(R280&lt;&gt;"","4 Responded",IF(O280&lt;&gt;"","2 Contacted","1 Not yet contacted")))))))))))))</f>
        <v/>
      </c>
      <c r="AK280" s="10">
        <f>IF(AF280&lt;&gt;"",AF280,IF(OR(O280="",R280&lt;&gt;"",LEFT(AJ280,1)="X"),"",IF(Q280&lt;&gt;"","",IF(P280&lt;&gt;"",P280+SETTINGS!$B$4,O280+SETTINGS!$B$3))))</f>
        <v/>
      </c>
      <c r="AL280">
        <f>IF(AJ280="","",IF(LEFT(AJ280,1)="X","None — do not contact",IF(AJ280="1 Not yet contacted","Verify route today, then send M1",IF(AND(R280="",Q280&lt;&gt;""),"Sequence complete — no contact before "&amp;TEXT(Q280+SETTINGS!$B$5,"yyyy-mm-dd"),IF(AND(R280="",P280&lt;&gt;""),"Send final note (M4)",IF(R280="","Send follow-up (M2)",IF(AJ280="12 ACTIVATED","7-day check-in; consent &amp; referral soft ask",IF(AJ280="13 Transacting","Repeat-activity support","Onboarding: move to next stage (see playbook §6)"))))))))</f>
        <v/>
      </c>
      <c r="AM280">
        <f>IF(ISNUMBER(AK280),IF(AK280&lt;=TODAY(),"DUE",""),"")</f>
        <v/>
      </c>
      <c r="AN280">
        <f>IF(COUNT(O280,P280,Q280,R280,T280,V280,W280,X280,Y280,Z280,AA280,AC280)=0,"",TODAY()-MAX(O280,P280,Q280,R280,T280,V280,W280,X280,Y280,Z280,AA280,AC280))</f>
        <v/>
      </c>
      <c r="AO280">
        <f>IF(AJ280="","",IF(AND(T280&lt;&gt;"",U280&lt;&gt;"Active (verified)"),"GST: escalate (no tax advice)",IF(AND(IFERROR(VALUE(LEFT(AJ280,2)),0)&gt;=5,AH280&lt;&gt;"YES",ISNUMBER(AN280),AN280&gt;SETTINGS!$B$14),"STUCK in onboarding","")))</f>
        <v/>
      </c>
    </row>
    <row r="281">
      <c r="A281" t="n">
        <v>280</v>
      </c>
      <c r="B281" t="inlineStr">
        <is>
          <t>UPK2-LM-337</t>
        </is>
      </c>
      <c r="C281" t="inlineStr">
        <is>
          <t>The Matter Studio</t>
        </is>
      </c>
      <c r="D281" t="inlineStr">
        <is>
          <t>Lens &amp; Motion</t>
        </is>
      </c>
      <c r="E281" t="inlineStr">
        <is>
          <t>LM-ARCH-INTERIOR</t>
        </is>
      </c>
      <c r="F281" t="inlineStr">
        <is>
          <t>Mumbai</t>
        </is>
      </c>
      <c r="G281" t="inlineStr">
        <is>
          <t>B</t>
        </is>
      </c>
      <c r="H281" t="inlineStr">
        <is>
          <t>P0</t>
        </is>
      </c>
      <c r="I281" t="inlineStr">
        <is>
          <t>under-discovered</t>
        </is>
      </c>
      <c r="J281" t="inlineStr">
        <is>
          <t>Personal 1:1 email from founder/team to published business email</t>
        </is>
      </c>
      <c r="K281" t="inlineStr">
        <is>
          <t>https://thematterstudio.in/</t>
        </is>
      </c>
      <c r="L281" t="inlineStr">
        <is>
          <t>W2 Expansion</t>
        </is>
      </c>
      <c r="M281" t="inlineStr"/>
      <c r="N281" t="inlineStr"/>
      <c r="O281" s="10" t="inlineStr"/>
      <c r="P281" s="10" t="inlineStr"/>
      <c r="Q281" s="10" t="inlineStr"/>
      <c r="R281" s="10" t="inlineStr"/>
      <c r="S281" t="inlineStr"/>
      <c r="T281" s="10" t="inlineStr"/>
      <c r="U281" t="inlineStr"/>
      <c r="V281" s="10" t="inlineStr"/>
      <c r="W281" s="10" t="inlineStr"/>
      <c r="X281" s="10" t="inlineStr"/>
      <c r="Y281" s="10" t="inlineStr"/>
      <c r="Z281" s="10" t="inlineStr"/>
      <c r="AA281" s="10" t="inlineStr"/>
      <c r="AB281" t="inlineStr"/>
      <c r="AC281" s="10" t="inlineStr"/>
      <c r="AD281" t="inlineStr"/>
      <c r="AE281" t="inlineStr"/>
      <c r="AF281" s="10" t="inlineStr"/>
      <c r="AG281" t="inlineStr"/>
      <c r="AH281">
        <f>IF(AND(B281="",C281=""),"",IF(AND(X281&lt;&gt;"",Y281&lt;&gt;"",Z281&lt;&gt;"",AA281&lt;&gt;"",AB281="Y"),"YES","no"))</f>
        <v/>
      </c>
      <c r="AI281" s="10">
        <f>IF(AH281="YES",MAX(X281,Y281,Z281,AA281),"")</f>
        <v/>
      </c>
      <c r="AJ281">
        <f>IF(AND(B281="",C281=""),"",IF(OR(S281="Not interested",S281="Opt-out / do not contact"),"X Declined / suppressed",IF(S281="Bounced / undeliverable","X Bounced — research",IF(AC281&lt;&gt;"","13 Transacting",IF(AH281="YES","12 ACTIVATED",IF(Z281&lt;&gt;"","11 Listing live",IF(Y281&lt;&gt;"","10 Profile complete",IF(X281&lt;&gt;"","9 Approved",IF(W281&lt;&gt;"","8 KYC submitted",IF(V281&lt;&gt;"","7 Registered",IF(T281&lt;&gt;"","5 Interested",IF(R281&lt;&gt;"","4 Responded",IF(O281&lt;&gt;"","2 Contacted","1 Not yet contacted")))))))))))))</f>
        <v/>
      </c>
      <c r="AK281" s="10">
        <f>IF(AF281&lt;&gt;"",AF281,IF(OR(O281="",R281&lt;&gt;"",LEFT(AJ281,1)="X"),"",IF(Q281&lt;&gt;"","",IF(P281&lt;&gt;"",P281+SETTINGS!$B$4,O281+SETTINGS!$B$3))))</f>
        <v/>
      </c>
      <c r="AL281">
        <f>IF(AJ281="","",IF(LEFT(AJ281,1)="X","None — do not contact",IF(AJ281="1 Not yet contacted","Verify route today, then send M1",IF(AND(R281="",Q281&lt;&gt;""),"Sequence complete — no contact before "&amp;TEXT(Q281+SETTINGS!$B$5,"yyyy-mm-dd"),IF(AND(R281="",P281&lt;&gt;""),"Send final note (M4)",IF(R281="","Send follow-up (M2)",IF(AJ281="12 ACTIVATED","7-day check-in; consent &amp; referral soft ask",IF(AJ281="13 Transacting","Repeat-activity support","Onboarding: move to next stage (see playbook §6)"))))))))</f>
        <v/>
      </c>
      <c r="AM281">
        <f>IF(ISNUMBER(AK281),IF(AK281&lt;=TODAY(),"DUE",""),"")</f>
        <v/>
      </c>
      <c r="AN281">
        <f>IF(COUNT(O281,P281,Q281,R281,T281,V281,W281,X281,Y281,Z281,AA281,AC281)=0,"",TODAY()-MAX(O281,P281,Q281,R281,T281,V281,W281,X281,Y281,Z281,AA281,AC281))</f>
        <v/>
      </c>
      <c r="AO281">
        <f>IF(AJ281="","",IF(AND(T281&lt;&gt;"",U281&lt;&gt;"Active (verified)"),"GST: escalate (no tax advice)",IF(AND(IFERROR(VALUE(LEFT(AJ281,2)),0)&gt;=5,AH281&lt;&gt;"YES",ISNUMBER(AN281),AN281&gt;SETTINGS!$B$14),"STUCK in onboarding","")))</f>
        <v/>
      </c>
    </row>
    <row r="282">
      <c r="A282" t="n">
        <v>281</v>
      </c>
      <c r="B282" t="inlineStr">
        <is>
          <t>UPK2-LM-406</t>
        </is>
      </c>
      <c r="C282" t="inlineStr">
        <is>
          <t>1920 x 1080 Films</t>
        </is>
      </c>
      <c r="D282" t="inlineStr">
        <is>
          <t>Lens &amp; Motion</t>
        </is>
      </c>
      <c r="E282" t="inlineStr">
        <is>
          <t>LM-ARCH-INTERIOR</t>
        </is>
      </c>
      <c r="F282" t="inlineStr">
        <is>
          <t>Mumbai</t>
        </is>
      </c>
      <c r="G282" t="inlineStr">
        <is>
          <t>A</t>
        </is>
      </c>
      <c r="H282" t="inlineStr">
        <is>
          <t>P0</t>
        </is>
      </c>
      <c r="I282" t="inlineStr">
        <is>
          <t>under-discovered</t>
        </is>
      </c>
      <c r="J282" t="inlineStr">
        <is>
          <t>Personal 1:1 email from founder/team to published business email</t>
        </is>
      </c>
      <c r="K282" t="inlineStr">
        <is>
          <t>https://www.1920x1080films.in/</t>
        </is>
      </c>
      <c r="L282" t="inlineStr">
        <is>
          <t>W2 Expansion</t>
        </is>
      </c>
      <c r="M282" t="inlineStr"/>
      <c r="N282" t="inlineStr"/>
      <c r="O282" s="10" t="inlineStr"/>
      <c r="P282" s="10" t="inlineStr"/>
      <c r="Q282" s="10" t="inlineStr"/>
      <c r="R282" s="10" t="inlineStr"/>
      <c r="S282" t="inlineStr"/>
      <c r="T282" s="10" t="inlineStr"/>
      <c r="U282" t="inlineStr"/>
      <c r="V282" s="10" t="inlineStr"/>
      <c r="W282" s="10" t="inlineStr"/>
      <c r="X282" s="10" t="inlineStr"/>
      <c r="Y282" s="10" t="inlineStr"/>
      <c r="Z282" s="10" t="inlineStr"/>
      <c r="AA282" s="10" t="inlineStr"/>
      <c r="AB282" t="inlineStr"/>
      <c r="AC282" s="10" t="inlineStr"/>
      <c r="AD282" t="inlineStr"/>
      <c r="AE282" t="inlineStr"/>
      <c r="AF282" s="10" t="inlineStr"/>
      <c r="AG282" t="inlineStr"/>
      <c r="AH282">
        <f>IF(AND(B282="",C282=""),"",IF(AND(X282&lt;&gt;"",Y282&lt;&gt;"",Z282&lt;&gt;"",AA282&lt;&gt;"",AB282="Y"),"YES","no"))</f>
        <v/>
      </c>
      <c r="AI282" s="10">
        <f>IF(AH282="YES",MAX(X282,Y282,Z282,AA282),"")</f>
        <v/>
      </c>
      <c r="AJ282">
        <f>IF(AND(B282="",C282=""),"",IF(OR(S282="Not interested",S282="Opt-out / do not contact"),"X Declined / suppressed",IF(S282="Bounced / undeliverable","X Bounced — research",IF(AC282&lt;&gt;"","13 Transacting",IF(AH282="YES","12 ACTIVATED",IF(Z282&lt;&gt;"","11 Listing live",IF(Y282&lt;&gt;"","10 Profile complete",IF(X282&lt;&gt;"","9 Approved",IF(W282&lt;&gt;"","8 KYC submitted",IF(V282&lt;&gt;"","7 Registered",IF(T282&lt;&gt;"","5 Interested",IF(R282&lt;&gt;"","4 Responded",IF(O282&lt;&gt;"","2 Contacted","1 Not yet contacted")))))))))))))</f>
        <v/>
      </c>
      <c r="AK282" s="10">
        <f>IF(AF282&lt;&gt;"",AF282,IF(OR(O282="",R282&lt;&gt;"",LEFT(AJ282,1)="X"),"",IF(Q282&lt;&gt;"","",IF(P282&lt;&gt;"",P282+SETTINGS!$B$4,O282+SETTINGS!$B$3))))</f>
        <v/>
      </c>
      <c r="AL282">
        <f>IF(AJ282="","",IF(LEFT(AJ282,1)="X","None — do not contact",IF(AJ282="1 Not yet contacted","Verify route today, then send M1",IF(AND(R282="",Q282&lt;&gt;""),"Sequence complete — no contact before "&amp;TEXT(Q282+SETTINGS!$B$5,"yyyy-mm-dd"),IF(AND(R282="",P282&lt;&gt;""),"Send final note (M4)",IF(R282="","Send follow-up (M2)",IF(AJ282="12 ACTIVATED","7-day check-in; consent &amp; referral soft ask",IF(AJ282="13 Transacting","Repeat-activity support","Onboarding: move to next stage (see playbook §6)"))))))))</f>
        <v/>
      </c>
      <c r="AM282">
        <f>IF(ISNUMBER(AK282),IF(AK282&lt;=TODAY(),"DUE",""),"")</f>
        <v/>
      </c>
      <c r="AN282">
        <f>IF(COUNT(O282,P282,Q282,R282,T282,V282,W282,X282,Y282,Z282,AA282,AC282)=0,"",TODAY()-MAX(O282,P282,Q282,R282,T282,V282,W282,X282,Y282,Z282,AA282,AC282))</f>
        <v/>
      </c>
      <c r="AO282">
        <f>IF(AJ282="","",IF(AND(T282&lt;&gt;"",U282&lt;&gt;"Active (verified)"),"GST: escalate (no tax advice)",IF(AND(IFERROR(VALUE(LEFT(AJ282,2)),0)&gt;=5,AH282&lt;&gt;"YES",ISNUMBER(AN282),AN282&gt;SETTINGS!$B$14),"STUCK in onboarding","")))</f>
        <v/>
      </c>
    </row>
    <row r="283">
      <c r="A283" t="n">
        <v>282</v>
      </c>
      <c r="B283" t="inlineStr">
        <is>
          <t>UPK2-LM-393</t>
        </is>
      </c>
      <c r="C283" t="inlineStr">
        <is>
          <t>Create Studio</t>
        </is>
      </c>
      <c r="D283" t="inlineStr">
        <is>
          <t>Lens &amp; Motion</t>
        </is>
      </c>
      <c r="E283" t="inlineStr">
        <is>
          <t>LM-COMMERCIAL-FASHION</t>
        </is>
      </c>
      <c r="F283" t="inlineStr">
        <is>
          <t>Bengaluru</t>
        </is>
      </c>
      <c r="G283" t="inlineStr">
        <is>
          <t>B</t>
        </is>
      </c>
      <c r="H283" t="inlineStr">
        <is>
          <t>P1</t>
        </is>
      </c>
      <c r="I283" t="inlineStr">
        <is>
          <t>under-discovered</t>
        </is>
      </c>
      <c r="J283" t="inlineStr">
        <is>
          <t>Personal 1:1 email from founder/team to published business email</t>
        </is>
      </c>
      <c r="K283" t="inlineStr">
        <is>
          <t>https://createstudio.in/contact</t>
        </is>
      </c>
      <c r="L283" t="inlineStr">
        <is>
          <t>W2 Expansion</t>
        </is>
      </c>
      <c r="M283" t="inlineStr"/>
      <c r="N283" t="inlineStr"/>
      <c r="O283" s="10" t="inlineStr"/>
      <c r="P283" s="10" t="inlineStr"/>
      <c r="Q283" s="10" t="inlineStr"/>
      <c r="R283" s="10" t="inlineStr"/>
      <c r="S283" t="inlineStr"/>
      <c r="T283" s="10" t="inlineStr"/>
      <c r="U283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t="inlineStr"/>
      <c r="AC283" s="10" t="inlineStr"/>
      <c r="AD283" t="inlineStr"/>
      <c r="AE283" t="inlineStr"/>
      <c r="AF283" s="10" t="inlineStr"/>
      <c r="AG283" t="inlineStr"/>
      <c r="AH283">
        <f>IF(AND(B283="",C283=""),"",IF(AND(X283&lt;&gt;"",Y283&lt;&gt;"",Z283&lt;&gt;"",AA283&lt;&gt;"",AB283="Y"),"YES","no"))</f>
        <v/>
      </c>
      <c r="AI283" s="10">
        <f>IF(AH283="YES",MAX(X283,Y283,Z283,AA283),"")</f>
        <v/>
      </c>
      <c r="AJ283">
        <f>IF(AND(B283="",C283=""),"",IF(OR(S283="Not interested",S283="Opt-out / do not contact"),"X Declined / suppressed",IF(S283="Bounced / undeliverable","X Bounced — research",IF(AC283&lt;&gt;"","13 Transacting",IF(AH283="YES","12 ACTIVATED",IF(Z283&lt;&gt;"","11 Listing live",IF(Y283&lt;&gt;"","10 Profile complete",IF(X283&lt;&gt;"","9 Approved",IF(W283&lt;&gt;"","8 KYC submitted",IF(V283&lt;&gt;"","7 Registered",IF(T283&lt;&gt;"","5 Interested",IF(R283&lt;&gt;"","4 Responded",IF(O283&lt;&gt;"","2 Contacted","1 Not yet contacted")))))))))))))</f>
        <v/>
      </c>
      <c r="AK283" s="10">
        <f>IF(AF283&lt;&gt;"",AF283,IF(OR(O283="",R283&lt;&gt;"",LEFT(AJ283,1)="X"),"",IF(Q283&lt;&gt;"","",IF(P283&lt;&gt;"",P283+SETTINGS!$B$4,O283+SETTINGS!$B$3))))</f>
        <v/>
      </c>
      <c r="AL283">
        <f>IF(AJ283="","",IF(LEFT(AJ283,1)="X","None — do not contact",IF(AJ283="1 Not yet contacted","Verify route today, then send M1",IF(AND(R283="",Q283&lt;&gt;""),"Sequence complete — no contact before "&amp;TEXT(Q283+SETTINGS!$B$5,"yyyy-mm-dd"),IF(AND(R283="",P283&lt;&gt;""),"Send final note (M4)",IF(R283="","Send follow-up (M2)",IF(AJ283="12 ACTIVATED","7-day check-in; consent &amp; referral soft ask",IF(AJ283="13 Transacting","Repeat-activity support","Onboarding: move to next stage (see playbook §6)"))))))))</f>
        <v/>
      </c>
      <c r="AM283">
        <f>IF(ISNUMBER(AK283),IF(AK283&lt;=TODAY(),"DUE",""),"")</f>
        <v/>
      </c>
      <c r="AN283">
        <f>IF(COUNT(O283,P283,Q283,R283,T283,V283,W283,X283,Y283,Z283,AA283,AC283)=0,"",TODAY()-MAX(O283,P283,Q283,R283,T283,V283,W283,X283,Y283,Z283,AA283,AC283))</f>
        <v/>
      </c>
      <c r="AO283">
        <f>IF(AJ283="","",IF(AND(T283&lt;&gt;"",U283&lt;&gt;"Active (verified)"),"GST: escalate (no tax advice)",IF(AND(IFERROR(VALUE(LEFT(AJ283,2)),0)&gt;=5,AH283&lt;&gt;"YES",ISNUMBER(AN283),AN283&gt;SETTINGS!$B$14),"STUCK in onboarding","")))</f>
        <v/>
      </c>
    </row>
    <row r="284">
      <c r="A284" t="n">
        <v>283</v>
      </c>
      <c r="B284" t="inlineStr">
        <is>
          <t>UPK2-LM-369</t>
        </is>
      </c>
      <c r="C284" t="inlineStr">
        <is>
          <t>Orange &amp; Teal</t>
        </is>
      </c>
      <c r="D284" t="inlineStr">
        <is>
          <t>Lens &amp; Motion</t>
        </is>
      </c>
      <c r="E284" t="inlineStr">
        <is>
          <t>LM-COMMERCIAL-FASHION</t>
        </is>
      </c>
      <c r="F284" t="inlineStr">
        <is>
          <t>Bengaluru</t>
        </is>
      </c>
      <c r="G284" t="inlineStr">
        <is>
          <t>B</t>
        </is>
      </c>
      <c r="H284" t="inlineStr">
        <is>
          <t>P1</t>
        </is>
      </c>
      <c r="I284" t="inlineStr">
        <is>
          <t>under-discovered</t>
        </is>
      </c>
      <c r="J284" t="inlineStr">
        <is>
          <t>Personal 1:1 email from founder/team to published business email</t>
        </is>
      </c>
      <c r="K284" t="inlineStr">
        <is>
          <t>https://orangeandteal.in/</t>
        </is>
      </c>
      <c r="L284" t="inlineStr">
        <is>
          <t>W2 Expansion</t>
        </is>
      </c>
      <c r="M284" t="inlineStr"/>
      <c r="N284" t="inlineStr"/>
      <c r="O284" s="10" t="inlineStr"/>
      <c r="P284" s="10" t="inlineStr"/>
      <c r="Q284" s="10" t="inlineStr"/>
      <c r="R284" s="10" t="inlineStr"/>
      <c r="S284" t="inlineStr"/>
      <c r="T284" s="10" t="inlineStr"/>
      <c r="U284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t="inlineStr"/>
      <c r="AC284" s="10" t="inlineStr"/>
      <c r="AD284" t="inlineStr"/>
      <c r="AE284" t="inlineStr"/>
      <c r="AF284" s="10" t="inlineStr"/>
      <c r="AG284" t="inlineStr"/>
      <c r="AH284">
        <f>IF(AND(B284="",C284=""),"",IF(AND(X284&lt;&gt;"",Y284&lt;&gt;"",Z284&lt;&gt;"",AA284&lt;&gt;"",AB284="Y"),"YES","no"))</f>
        <v/>
      </c>
      <c r="AI284" s="10">
        <f>IF(AH284="YES",MAX(X284,Y284,Z284,AA284),"")</f>
        <v/>
      </c>
      <c r="AJ284">
        <f>IF(AND(B284="",C284=""),"",IF(OR(S284="Not interested",S284="Opt-out / do not contact"),"X Declined / suppressed",IF(S284="Bounced / undeliverable","X Bounced — research",IF(AC284&lt;&gt;"","13 Transacting",IF(AH284="YES","12 ACTIVATED",IF(Z284&lt;&gt;"","11 Listing live",IF(Y284&lt;&gt;"","10 Profile complete",IF(X284&lt;&gt;"","9 Approved",IF(W284&lt;&gt;"","8 KYC submitted",IF(V284&lt;&gt;"","7 Registered",IF(T284&lt;&gt;"","5 Interested",IF(R284&lt;&gt;"","4 Responded",IF(O284&lt;&gt;"","2 Contacted","1 Not yet contacted")))))))))))))</f>
        <v/>
      </c>
      <c r="AK284" s="10">
        <f>IF(AF284&lt;&gt;"",AF284,IF(OR(O284="",R284&lt;&gt;"",LEFT(AJ284,1)="X"),"",IF(Q284&lt;&gt;"","",IF(P284&lt;&gt;"",P284+SETTINGS!$B$4,O284+SETTINGS!$B$3))))</f>
        <v/>
      </c>
      <c r="AL284">
        <f>IF(AJ284="","",IF(LEFT(AJ284,1)="X","None — do not contact",IF(AJ284="1 Not yet contacted","Verify route today, then send M1",IF(AND(R284="",Q284&lt;&gt;""),"Sequence complete — no contact before "&amp;TEXT(Q284+SETTINGS!$B$5,"yyyy-mm-dd"),IF(AND(R284="",P284&lt;&gt;""),"Send final note (M4)",IF(R284="","Send follow-up (M2)",IF(AJ284="12 ACTIVATED","7-day check-in; consent &amp; referral soft ask",IF(AJ284="13 Transacting","Repeat-activity support","Onboarding: move to next stage (see playbook §6)"))))))))</f>
        <v/>
      </c>
      <c r="AM284">
        <f>IF(ISNUMBER(AK284),IF(AK284&lt;=TODAY(),"DUE",""),"")</f>
        <v/>
      </c>
      <c r="AN284">
        <f>IF(COUNT(O284,P284,Q284,R284,T284,V284,W284,X284,Y284,Z284,AA284,AC284)=0,"",TODAY()-MAX(O284,P284,Q284,R284,T284,V284,W284,X284,Y284,Z284,AA284,AC284))</f>
        <v/>
      </c>
      <c r="AO284">
        <f>IF(AJ284="","",IF(AND(T284&lt;&gt;"",U284&lt;&gt;"Active (verified)"),"GST: escalate (no tax advice)",IF(AND(IFERROR(VALUE(LEFT(AJ284,2)),0)&gt;=5,AH284&lt;&gt;"YES",ISNUMBER(AN284),AN284&gt;SETTINGS!$B$14),"STUCK in onboarding","")))</f>
        <v/>
      </c>
    </row>
    <row r="285">
      <c r="A285" t="n">
        <v>284</v>
      </c>
      <c r="B285" t="inlineStr">
        <is>
          <t>UPK2-LM-068</t>
        </is>
      </c>
      <c r="C285" t="inlineStr">
        <is>
          <t>Radiance Vision</t>
        </is>
      </c>
      <c r="D285" t="inlineStr">
        <is>
          <t>Lens &amp; Motion</t>
        </is>
      </c>
      <c r="E285" t="inlineStr">
        <is>
          <t>LM-COMMERCIAL-FASHION</t>
        </is>
      </c>
      <c r="F285" t="inlineStr">
        <is>
          <t>Mumbai</t>
        </is>
      </c>
      <c r="G285" t="inlineStr">
        <is>
          <t>B</t>
        </is>
      </c>
      <c r="H285" t="inlineStr">
        <is>
          <t>P0</t>
        </is>
      </c>
      <c r="I285" t="inlineStr"/>
      <c r="J285" t="inlineStr">
        <is>
          <t>1:1 message via own-website contact form</t>
        </is>
      </c>
      <c r="K285" t="inlineStr">
        <is>
          <t>https://radiancevision.in/</t>
        </is>
      </c>
      <c r="L285" t="inlineStr">
        <is>
          <t>W2 Expansion</t>
        </is>
      </c>
      <c r="M285" t="inlineStr"/>
      <c r="N285" t="inlineStr"/>
      <c r="O285" s="10" t="inlineStr"/>
      <c r="P285" s="10" t="inlineStr"/>
      <c r="Q285" s="10" t="inlineStr"/>
      <c r="R285" s="10" t="inlineStr"/>
      <c r="S285" t="inlineStr"/>
      <c r="T285" s="10" t="inlineStr"/>
      <c r="U285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t="inlineStr"/>
      <c r="AC285" s="10" t="inlineStr"/>
      <c r="AD285" t="inlineStr"/>
      <c r="AE285" t="inlineStr"/>
      <c r="AF285" s="10" t="inlineStr"/>
      <c r="AG285" t="inlineStr"/>
      <c r="AH285">
        <f>IF(AND(B285="",C285=""),"",IF(AND(X285&lt;&gt;"",Y285&lt;&gt;"",Z285&lt;&gt;"",AA285&lt;&gt;"",AB285="Y"),"YES","no"))</f>
        <v/>
      </c>
      <c r="AI285" s="10">
        <f>IF(AH285="YES",MAX(X285,Y285,Z285,AA285),"")</f>
        <v/>
      </c>
      <c r="AJ285">
        <f>IF(AND(B285="",C285=""),"",IF(OR(S285="Not interested",S285="Opt-out / do not contact"),"X Declined / suppressed",IF(S285="Bounced / undeliverable","X Bounced — research",IF(AC285&lt;&gt;"","13 Transacting",IF(AH285="YES","12 ACTIVATED",IF(Z285&lt;&gt;"","11 Listing live",IF(Y285&lt;&gt;"","10 Profile complete",IF(X285&lt;&gt;"","9 Approved",IF(W285&lt;&gt;"","8 KYC submitted",IF(V285&lt;&gt;"","7 Registered",IF(T285&lt;&gt;"","5 Interested",IF(R285&lt;&gt;"","4 Responded",IF(O285&lt;&gt;"","2 Contacted","1 Not yet contacted")))))))))))))</f>
        <v/>
      </c>
      <c r="AK285" s="10">
        <f>IF(AF285&lt;&gt;"",AF285,IF(OR(O285="",R285&lt;&gt;"",LEFT(AJ285,1)="X"),"",IF(Q285&lt;&gt;"","",IF(P285&lt;&gt;"",P285+SETTINGS!$B$4,O285+SETTINGS!$B$3))))</f>
        <v/>
      </c>
      <c r="AL285">
        <f>IF(AJ285="","",IF(LEFT(AJ285,1)="X","None — do not contact",IF(AJ285="1 Not yet contacted","Verify route today, then send M1",IF(AND(R285="",Q285&lt;&gt;""),"Sequence complete — no contact before "&amp;TEXT(Q285+SETTINGS!$B$5,"yyyy-mm-dd"),IF(AND(R285="",P285&lt;&gt;""),"Send final note (M4)",IF(R285="","Send follow-up (M2)",IF(AJ285="12 ACTIVATED","7-day check-in; consent &amp; referral soft ask",IF(AJ285="13 Transacting","Repeat-activity support","Onboarding: move to next stage (see playbook §6)"))))))))</f>
        <v/>
      </c>
      <c r="AM285">
        <f>IF(ISNUMBER(AK285),IF(AK285&lt;=TODAY(),"DUE",""),"")</f>
        <v/>
      </c>
      <c r="AN285">
        <f>IF(COUNT(O285,P285,Q285,R285,T285,V285,W285,X285,Y285,Z285,AA285,AC285)=0,"",TODAY()-MAX(O285,P285,Q285,R285,T285,V285,W285,X285,Y285,Z285,AA285,AC285))</f>
        <v/>
      </c>
      <c r="AO285">
        <f>IF(AJ285="","",IF(AND(T285&lt;&gt;"",U285&lt;&gt;"Active (verified)"),"GST: escalate (no tax advice)",IF(AND(IFERROR(VALUE(LEFT(AJ285,2)),0)&gt;=5,AH285&lt;&gt;"YES",ISNUMBER(AN285),AN285&gt;SETTINGS!$B$14),"STUCK in onboarding","")))</f>
        <v/>
      </c>
    </row>
    <row r="286">
      <c r="A286" t="n">
        <v>285</v>
      </c>
      <c r="B286" t="inlineStr">
        <is>
          <t>UPK2-LM-082</t>
        </is>
      </c>
      <c r="C286" t="inlineStr">
        <is>
          <t>Filmbaker</t>
        </is>
      </c>
      <c r="D286" t="inlineStr">
        <is>
          <t>Lens &amp; Motion</t>
        </is>
      </c>
      <c r="E286" t="inlineStr">
        <is>
          <t>LM-COMMERCIAL-FASHION</t>
        </is>
      </c>
      <c r="F286" t="inlineStr">
        <is>
          <t>Bengaluru</t>
        </is>
      </c>
      <c r="G286" t="inlineStr">
        <is>
          <t>B</t>
        </is>
      </c>
      <c r="H286" t="inlineStr">
        <is>
          <t>P0</t>
        </is>
      </c>
      <c r="I286" t="inlineStr"/>
      <c r="J286" t="inlineStr">
        <is>
          <t>1:1 message via own-website contact form</t>
        </is>
      </c>
      <c r="K286" t="inlineStr">
        <is>
          <t>https://www.filmbaker.com/get-in-touch</t>
        </is>
      </c>
      <c r="L286" t="inlineStr">
        <is>
          <t>W2 Expansion</t>
        </is>
      </c>
      <c r="M286" t="inlineStr"/>
      <c r="N286" t="inlineStr"/>
      <c r="O286" s="10" t="inlineStr"/>
      <c r="P286" s="10" t="inlineStr"/>
      <c r="Q286" s="10" t="inlineStr"/>
      <c r="R286" s="10" t="inlineStr"/>
      <c r="S286" t="inlineStr"/>
      <c r="T286" s="10" t="inlineStr"/>
      <c r="U286" t="inlineStr"/>
      <c r="V286" s="10" t="inlineStr"/>
      <c r="W286" s="10" t="inlineStr"/>
      <c r="X286" s="10" t="inlineStr"/>
      <c r="Y286" s="10" t="inlineStr"/>
      <c r="Z286" s="10" t="inlineStr"/>
      <c r="AA286" s="10" t="inlineStr"/>
      <c r="AB286" t="inlineStr"/>
      <c r="AC286" s="10" t="inlineStr"/>
      <c r="AD286" t="inlineStr"/>
      <c r="AE286" t="inlineStr"/>
      <c r="AF286" s="10" t="inlineStr"/>
      <c r="AG286" t="inlineStr"/>
      <c r="AH286">
        <f>IF(AND(B286="",C286=""),"",IF(AND(X286&lt;&gt;"",Y286&lt;&gt;"",Z286&lt;&gt;"",AA286&lt;&gt;"",AB286="Y"),"YES","no"))</f>
        <v/>
      </c>
      <c r="AI286" s="10">
        <f>IF(AH286="YES",MAX(X286,Y286,Z286,AA286),"")</f>
        <v/>
      </c>
      <c r="AJ286">
        <f>IF(AND(B286="",C286=""),"",IF(OR(S286="Not interested",S286="Opt-out / do not contact"),"X Declined / suppressed",IF(S286="Bounced / undeliverable","X Bounced — research",IF(AC286&lt;&gt;"","13 Transacting",IF(AH286="YES","12 ACTIVATED",IF(Z286&lt;&gt;"","11 Listing live",IF(Y286&lt;&gt;"","10 Profile complete",IF(X286&lt;&gt;"","9 Approved",IF(W286&lt;&gt;"","8 KYC submitted",IF(V286&lt;&gt;"","7 Registered",IF(T286&lt;&gt;"","5 Interested",IF(R286&lt;&gt;"","4 Responded",IF(O286&lt;&gt;"","2 Contacted","1 Not yet contacted")))))))))))))</f>
        <v/>
      </c>
      <c r="AK286" s="10">
        <f>IF(AF286&lt;&gt;"",AF286,IF(OR(O286="",R286&lt;&gt;"",LEFT(AJ286,1)="X"),"",IF(Q286&lt;&gt;"","",IF(P286&lt;&gt;"",P286+SETTINGS!$B$4,O286+SETTINGS!$B$3))))</f>
        <v/>
      </c>
      <c r="AL286">
        <f>IF(AJ286="","",IF(LEFT(AJ286,1)="X","None — do not contact",IF(AJ286="1 Not yet contacted","Verify route today, then send M1",IF(AND(R286="",Q286&lt;&gt;""),"Sequence complete — no contact before "&amp;TEXT(Q286+SETTINGS!$B$5,"yyyy-mm-dd"),IF(AND(R286="",P286&lt;&gt;""),"Send final note (M4)",IF(R286="","Send follow-up (M2)",IF(AJ286="12 ACTIVATED","7-day check-in; consent &amp; referral soft ask",IF(AJ286="13 Transacting","Repeat-activity support","Onboarding: move to next stage (see playbook §6)"))))))))</f>
        <v/>
      </c>
      <c r="AM286">
        <f>IF(ISNUMBER(AK286),IF(AK286&lt;=TODAY(),"DUE",""),"")</f>
        <v/>
      </c>
      <c r="AN286">
        <f>IF(COUNT(O286,P286,Q286,R286,T286,V286,W286,X286,Y286,Z286,AA286,AC286)=0,"",TODAY()-MAX(O286,P286,Q286,R286,T286,V286,W286,X286,Y286,Z286,AA286,AC286))</f>
        <v/>
      </c>
      <c r="AO286">
        <f>IF(AJ286="","",IF(AND(T286&lt;&gt;"",U286&lt;&gt;"Active (verified)"),"GST: escalate (no tax advice)",IF(AND(IFERROR(VALUE(LEFT(AJ286,2)),0)&gt;=5,AH286&lt;&gt;"YES",ISNUMBER(AN286),AN286&gt;SETTINGS!$B$14),"STUCK in onboarding","")))</f>
        <v/>
      </c>
    </row>
    <row r="287">
      <c r="A287" t="n">
        <v>286</v>
      </c>
      <c r="B287" t="inlineStr">
        <is>
          <t>UPK2-LM-370</t>
        </is>
      </c>
      <c r="C287" t="inlineStr">
        <is>
          <t>Cyrus Photography</t>
        </is>
      </c>
      <c r="D287" t="inlineStr">
        <is>
          <t>Lens &amp; Motion</t>
        </is>
      </c>
      <c r="E287" t="inlineStr">
        <is>
          <t>LM-COMMERCIAL-FASHION</t>
        </is>
      </c>
      <c r="F287" t="inlineStr">
        <is>
          <t>Mumbai</t>
        </is>
      </c>
      <c r="G287" t="inlineStr">
        <is>
          <t>B</t>
        </is>
      </c>
      <c r="H287" t="inlineStr">
        <is>
          <t>P1</t>
        </is>
      </c>
      <c r="I287" t="inlineStr">
        <is>
          <t>under-discovered</t>
        </is>
      </c>
      <c r="J287" t="inlineStr">
        <is>
          <t>Personal 1:1 email from founder/team to published business email</t>
        </is>
      </c>
      <c r="K287" t="inlineStr">
        <is>
          <t>https://cyrusdalalphotography.com/</t>
        </is>
      </c>
      <c r="L287" t="inlineStr">
        <is>
          <t>W2 Expansion</t>
        </is>
      </c>
      <c r="M287" t="inlineStr"/>
      <c r="N287" t="inlineStr"/>
      <c r="O287" s="10" t="inlineStr"/>
      <c r="P287" s="10" t="inlineStr"/>
      <c r="Q287" s="10" t="inlineStr"/>
      <c r="R287" s="10" t="inlineStr"/>
      <c r="S287" t="inlineStr"/>
      <c r="T287" s="10" t="inlineStr"/>
      <c r="U287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t="inlineStr"/>
      <c r="AC287" s="10" t="inlineStr"/>
      <c r="AD287" t="inlineStr"/>
      <c r="AE287" t="inlineStr"/>
      <c r="AF287" s="10" t="inlineStr"/>
      <c r="AG287" t="inlineStr"/>
      <c r="AH287">
        <f>IF(AND(B287="",C287=""),"",IF(AND(X287&lt;&gt;"",Y287&lt;&gt;"",Z287&lt;&gt;"",AA287&lt;&gt;"",AB287="Y"),"YES","no"))</f>
        <v/>
      </c>
      <c r="AI287" s="10">
        <f>IF(AH287="YES",MAX(X287,Y287,Z287,AA287),"")</f>
        <v/>
      </c>
      <c r="AJ287">
        <f>IF(AND(B287="",C287=""),"",IF(OR(S287="Not interested",S287="Opt-out / do not contact"),"X Declined / suppressed",IF(S287="Bounced / undeliverable","X Bounced — research",IF(AC287&lt;&gt;"","13 Transacting",IF(AH287="YES","12 ACTIVATED",IF(Z287&lt;&gt;"","11 Listing live",IF(Y287&lt;&gt;"","10 Profile complete",IF(X287&lt;&gt;"","9 Approved",IF(W287&lt;&gt;"","8 KYC submitted",IF(V287&lt;&gt;"","7 Registered",IF(T287&lt;&gt;"","5 Interested",IF(R287&lt;&gt;"","4 Responded",IF(O287&lt;&gt;"","2 Contacted","1 Not yet contacted")))))))))))))</f>
        <v/>
      </c>
      <c r="AK287" s="10">
        <f>IF(AF287&lt;&gt;"",AF287,IF(OR(O287="",R287&lt;&gt;"",LEFT(AJ287,1)="X"),"",IF(Q287&lt;&gt;"","",IF(P287&lt;&gt;"",P287+SETTINGS!$B$4,O287+SETTINGS!$B$3))))</f>
        <v/>
      </c>
      <c r="AL287">
        <f>IF(AJ287="","",IF(LEFT(AJ287,1)="X","None — do not contact",IF(AJ287="1 Not yet contacted","Verify route today, then send M1",IF(AND(R287="",Q287&lt;&gt;""),"Sequence complete — no contact before "&amp;TEXT(Q287+SETTINGS!$B$5,"yyyy-mm-dd"),IF(AND(R287="",P287&lt;&gt;""),"Send final note (M4)",IF(R287="","Send follow-up (M2)",IF(AJ287="12 ACTIVATED","7-day check-in; consent &amp; referral soft ask",IF(AJ287="13 Transacting","Repeat-activity support","Onboarding: move to next stage (see playbook §6)"))))))))</f>
        <v/>
      </c>
      <c r="AM287">
        <f>IF(ISNUMBER(AK287),IF(AK287&lt;=TODAY(),"DUE",""),"")</f>
        <v/>
      </c>
      <c r="AN287">
        <f>IF(COUNT(O287,P287,Q287,R287,T287,V287,W287,X287,Y287,Z287,AA287,AC287)=0,"",TODAY()-MAX(O287,P287,Q287,R287,T287,V287,W287,X287,Y287,Z287,AA287,AC287))</f>
        <v/>
      </c>
      <c r="AO287">
        <f>IF(AJ287="","",IF(AND(T287&lt;&gt;"",U287&lt;&gt;"Active (verified)"),"GST: escalate (no tax advice)",IF(AND(IFERROR(VALUE(LEFT(AJ287,2)),0)&gt;=5,AH287&lt;&gt;"YES",ISNUMBER(AN287),AN287&gt;SETTINGS!$B$14),"STUCK in onboarding","")))</f>
        <v/>
      </c>
    </row>
    <row r="288">
      <c r="A288" t="n">
        <v>287</v>
      </c>
      <c r="B288" t="inlineStr">
        <is>
          <t>UPK2-CM-049</t>
        </is>
      </c>
      <c r="C288" t="inlineStr">
        <is>
          <t>Amit Auumkaar</t>
        </is>
      </c>
      <c r="D288" t="inlineStr">
        <is>
          <t>Content &amp; Media</t>
        </is>
      </c>
      <c r="E288" t="inlineStr">
        <is>
          <t>CM-EMCEE-HOST</t>
        </is>
      </c>
      <c r="F288" t="inlineStr">
        <is>
          <t>Mumbai</t>
        </is>
      </c>
      <c r="G288" t="inlineStr">
        <is>
          <t>B</t>
        </is>
      </c>
      <c r="H288" t="inlineStr">
        <is>
          <t>P0</t>
        </is>
      </c>
      <c r="I288" t="inlineStr"/>
      <c r="J288" t="inlineStr">
        <is>
          <t>1:1 Instagram DM from Uepaki professional account</t>
        </is>
      </c>
      <c r="K288" t="inlineStr">
        <is>
          <t>https://amitauumkaar.com</t>
        </is>
      </c>
      <c r="L288" t="inlineStr">
        <is>
          <t>W2 Expansion</t>
        </is>
      </c>
      <c r="M288" t="inlineStr"/>
      <c r="N288" t="inlineStr"/>
      <c r="O288" s="10" t="inlineStr"/>
      <c r="P288" s="10" t="inlineStr"/>
      <c r="Q288" s="10" t="inlineStr"/>
      <c r="R288" s="10" t="inlineStr"/>
      <c r="S288" t="inlineStr"/>
      <c r="T288" s="10" t="inlineStr"/>
      <c r="U288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t="inlineStr"/>
      <c r="AC288" s="10" t="inlineStr"/>
      <c r="AD288" t="inlineStr"/>
      <c r="AE288" t="inlineStr"/>
      <c r="AF288" s="10" t="inlineStr"/>
      <c r="AG288" t="inlineStr"/>
      <c r="AH288">
        <f>IF(AND(B288="",C288=""),"",IF(AND(X288&lt;&gt;"",Y288&lt;&gt;"",Z288&lt;&gt;"",AA288&lt;&gt;"",AB288="Y"),"YES","no"))</f>
        <v/>
      </c>
      <c r="AI288" s="10">
        <f>IF(AH288="YES",MAX(X288,Y288,Z288,AA288),"")</f>
        <v/>
      </c>
      <c r="AJ288">
        <f>IF(AND(B288="",C288=""),"",IF(OR(S288="Not interested",S288="Opt-out / do not contact"),"X Declined / suppressed",IF(S288="Bounced / undeliverable","X Bounced — research",IF(AC288&lt;&gt;"","13 Transacting",IF(AH288="YES","12 ACTIVATED",IF(Z288&lt;&gt;"","11 Listing live",IF(Y288&lt;&gt;"","10 Profile complete",IF(X288&lt;&gt;"","9 Approved",IF(W288&lt;&gt;"","8 KYC submitted",IF(V288&lt;&gt;"","7 Registered",IF(T288&lt;&gt;"","5 Interested",IF(R288&lt;&gt;"","4 Responded",IF(O288&lt;&gt;"","2 Contacted","1 Not yet contacted")))))))))))))</f>
        <v/>
      </c>
      <c r="AK288" s="10">
        <f>IF(AF288&lt;&gt;"",AF288,IF(OR(O288="",R288&lt;&gt;"",LEFT(AJ288,1)="X"),"",IF(Q288&lt;&gt;"","",IF(P288&lt;&gt;"",P288+SETTINGS!$B$4,O288+SETTINGS!$B$3))))</f>
        <v/>
      </c>
      <c r="AL288">
        <f>IF(AJ288="","",IF(LEFT(AJ288,1)="X","None — do not contact",IF(AJ288="1 Not yet contacted","Verify route today, then send M1",IF(AND(R288="",Q288&lt;&gt;""),"Sequence complete — no contact before "&amp;TEXT(Q288+SETTINGS!$B$5,"yyyy-mm-dd"),IF(AND(R288="",P288&lt;&gt;""),"Send final note (M4)",IF(R288="","Send follow-up (M2)",IF(AJ288="12 ACTIVATED","7-day check-in; consent &amp; referral soft ask",IF(AJ288="13 Transacting","Repeat-activity support","Onboarding: move to next stage (see playbook §6)"))))))))</f>
        <v/>
      </c>
      <c r="AM288">
        <f>IF(ISNUMBER(AK288),IF(AK288&lt;=TODAY(),"DUE",""),"")</f>
        <v/>
      </c>
      <c r="AN288">
        <f>IF(COUNT(O288,P288,Q288,R288,T288,V288,W288,X288,Y288,Z288,AA288,AC288)=0,"",TODAY()-MAX(O288,P288,Q288,R288,T288,V288,W288,X288,Y288,Z288,AA288,AC288))</f>
        <v/>
      </c>
      <c r="AO288">
        <f>IF(AJ288="","",IF(AND(T288&lt;&gt;"",U288&lt;&gt;"Active (verified)"),"GST: escalate (no tax advice)",IF(AND(IFERROR(VALUE(LEFT(AJ288,2)),0)&gt;=5,AH288&lt;&gt;"YES",ISNUMBER(AN288),AN288&gt;SETTINGS!$B$14),"STUCK in onboarding","")))</f>
        <v/>
      </c>
    </row>
    <row r="289">
      <c r="A289" t="n">
        <v>288</v>
      </c>
      <c r="B289" t="inlineStr">
        <is>
          <t>UPK2-CM-054</t>
        </is>
      </c>
      <c r="C289" t="inlineStr">
        <is>
          <t>Vishal Malhotra</t>
        </is>
      </c>
      <c r="D289" t="inlineStr">
        <is>
          <t>Content &amp; Media</t>
        </is>
      </c>
      <c r="E289" t="inlineStr">
        <is>
          <t>CM-EMCEE-HOST</t>
        </is>
      </c>
      <c r="F289" t="inlineStr">
        <is>
          <t>Mumbai</t>
        </is>
      </c>
      <c r="G289" t="inlineStr">
        <is>
          <t>A</t>
        </is>
      </c>
      <c r="H289" t="inlineStr">
        <is>
          <t>P1</t>
        </is>
      </c>
      <c r="I289" t="inlineStr"/>
      <c r="J289" t="inlineStr">
        <is>
          <t>1:1 Instagram DM from Uepaki professional account</t>
        </is>
      </c>
      <c r="K289" t="inlineStr">
        <is>
          <t>https://www.instagram.com/anchorvishalmalhotra</t>
        </is>
      </c>
      <c r="L289" t="inlineStr">
        <is>
          <t>W2 Expansion</t>
        </is>
      </c>
      <c r="M289" t="inlineStr"/>
      <c r="N289" t="inlineStr"/>
      <c r="O289" s="10" t="inlineStr"/>
      <c r="P289" s="10" t="inlineStr"/>
      <c r="Q289" s="10" t="inlineStr"/>
      <c r="R289" s="10" t="inlineStr"/>
      <c r="S289" t="inlineStr"/>
      <c r="T289" s="10" t="inlineStr"/>
      <c r="U289" t="inlineStr"/>
      <c r="V289" s="10" t="inlineStr"/>
      <c r="W289" s="10" t="inlineStr"/>
      <c r="X289" s="10" t="inlineStr"/>
      <c r="Y289" s="10" t="inlineStr"/>
      <c r="Z289" s="10" t="inlineStr"/>
      <c r="AA289" s="10" t="inlineStr"/>
      <c r="AB289" t="inlineStr"/>
      <c r="AC289" s="10" t="inlineStr"/>
      <c r="AD289" t="inlineStr"/>
      <c r="AE289" t="inlineStr"/>
      <c r="AF289" s="10" t="inlineStr"/>
      <c r="AG289" t="inlineStr"/>
      <c r="AH289">
        <f>IF(AND(B289="",C289=""),"",IF(AND(X289&lt;&gt;"",Y289&lt;&gt;"",Z289&lt;&gt;"",AA289&lt;&gt;"",AB289="Y"),"YES","no"))</f>
        <v/>
      </c>
      <c r="AI289" s="10">
        <f>IF(AH289="YES",MAX(X289,Y289,Z289,AA289),"")</f>
        <v/>
      </c>
      <c r="AJ289">
        <f>IF(AND(B289="",C289=""),"",IF(OR(S289="Not interested",S289="Opt-out / do not contact"),"X Declined / suppressed",IF(S289="Bounced / undeliverable","X Bounced — research",IF(AC289&lt;&gt;"","13 Transacting",IF(AH289="YES","12 ACTIVATED",IF(Z289&lt;&gt;"","11 Listing live",IF(Y289&lt;&gt;"","10 Profile complete",IF(X289&lt;&gt;"","9 Approved",IF(W289&lt;&gt;"","8 KYC submitted",IF(V289&lt;&gt;"","7 Registered",IF(T289&lt;&gt;"","5 Interested",IF(R289&lt;&gt;"","4 Responded",IF(O289&lt;&gt;"","2 Contacted","1 Not yet contacted")))))))))))))</f>
        <v/>
      </c>
      <c r="AK289" s="10">
        <f>IF(AF289&lt;&gt;"",AF289,IF(OR(O289="",R289&lt;&gt;"",LEFT(AJ289,1)="X"),"",IF(Q289&lt;&gt;"","",IF(P289&lt;&gt;"",P289+SETTINGS!$B$4,O289+SETTINGS!$B$3))))</f>
        <v/>
      </c>
      <c r="AL289">
        <f>IF(AJ289="","",IF(LEFT(AJ289,1)="X","None — do not contact",IF(AJ289="1 Not yet contacted","Verify route today, then send M1",IF(AND(R289="",Q289&lt;&gt;""),"Sequence complete — no contact before "&amp;TEXT(Q289+SETTINGS!$B$5,"yyyy-mm-dd"),IF(AND(R289="",P289&lt;&gt;""),"Send final note (M4)",IF(R289="","Send follow-up (M2)",IF(AJ289="12 ACTIVATED","7-day check-in; consent &amp; referral soft ask",IF(AJ289="13 Transacting","Repeat-activity support","Onboarding: move to next stage (see playbook §6)"))))))))</f>
        <v/>
      </c>
      <c r="AM289">
        <f>IF(ISNUMBER(AK289),IF(AK289&lt;=TODAY(),"DUE",""),"")</f>
        <v/>
      </c>
      <c r="AN289">
        <f>IF(COUNT(O289,P289,Q289,R289,T289,V289,W289,X289,Y289,Z289,AA289,AC289)=0,"",TODAY()-MAX(O289,P289,Q289,R289,T289,V289,W289,X289,Y289,Z289,AA289,AC289))</f>
        <v/>
      </c>
      <c r="AO289">
        <f>IF(AJ289="","",IF(AND(T289&lt;&gt;"",U289&lt;&gt;"Active (verified)"),"GST: escalate (no tax advice)",IF(AND(IFERROR(VALUE(LEFT(AJ289,2)),0)&gt;=5,AH289&lt;&gt;"YES",ISNUMBER(AN289),AN289&gt;SETTINGS!$B$14),"STUCK in onboarding","")))</f>
        <v/>
      </c>
    </row>
    <row r="290">
      <c r="A290" t="n">
        <v>289</v>
      </c>
      <c r="B290" t="inlineStr">
        <is>
          <t>UPK2-CM-065</t>
        </is>
      </c>
      <c r="C290" t="inlineStr">
        <is>
          <t>Adithiyaa Rathod</t>
        </is>
      </c>
      <c r="D290" t="inlineStr">
        <is>
          <t>Content &amp; Media</t>
        </is>
      </c>
      <c r="E290" t="inlineStr">
        <is>
          <t>CM-EMCEE-HOST</t>
        </is>
      </c>
      <c r="F290" t="inlineStr">
        <is>
          <t>Mumbai</t>
        </is>
      </c>
      <c r="G290" t="inlineStr">
        <is>
          <t>A</t>
        </is>
      </c>
      <c r="H290" t="inlineStr">
        <is>
          <t>P1</t>
        </is>
      </c>
      <c r="I290" t="inlineStr"/>
      <c r="J290" t="inlineStr">
        <is>
          <t>1:1 Instagram DM from Uepaki professional account</t>
        </is>
      </c>
      <c r="K290" t="inlineStr">
        <is>
          <t>https://www.instagram.com/adithiyaa_rathod</t>
        </is>
      </c>
      <c r="L290" t="inlineStr">
        <is>
          <t>W2 Expansion</t>
        </is>
      </c>
      <c r="M290" t="inlineStr"/>
      <c r="N290" t="inlineStr"/>
      <c r="O290" s="10" t="inlineStr"/>
      <c r="P290" s="10" t="inlineStr"/>
      <c r="Q290" s="10" t="inlineStr"/>
      <c r="R290" s="10" t="inlineStr"/>
      <c r="S290" t="inlineStr"/>
      <c r="T290" s="10" t="inlineStr"/>
      <c r="U290" t="inlineStr"/>
      <c r="V290" s="10" t="inlineStr"/>
      <c r="W290" s="10" t="inlineStr"/>
      <c r="X290" s="10" t="inlineStr"/>
      <c r="Y290" s="10" t="inlineStr"/>
      <c r="Z290" s="10" t="inlineStr"/>
      <c r="AA290" s="10" t="inlineStr"/>
      <c r="AB290" t="inlineStr"/>
      <c r="AC290" s="10" t="inlineStr"/>
      <c r="AD290" t="inlineStr"/>
      <c r="AE290" t="inlineStr"/>
      <c r="AF290" s="10" t="inlineStr"/>
      <c r="AG290" t="inlineStr"/>
      <c r="AH290">
        <f>IF(AND(B290="",C290=""),"",IF(AND(X290&lt;&gt;"",Y290&lt;&gt;"",Z290&lt;&gt;"",AA290&lt;&gt;"",AB290="Y"),"YES","no"))</f>
        <v/>
      </c>
      <c r="AI290" s="10">
        <f>IF(AH290="YES",MAX(X290,Y290,Z290,AA290),"")</f>
        <v/>
      </c>
      <c r="AJ290">
        <f>IF(AND(B290="",C290=""),"",IF(OR(S290="Not interested",S290="Opt-out / do not contact"),"X Declined / suppressed",IF(S290="Bounced / undeliverable","X Bounced — research",IF(AC290&lt;&gt;"","13 Transacting",IF(AH290="YES","12 ACTIVATED",IF(Z290&lt;&gt;"","11 Listing live",IF(Y290&lt;&gt;"","10 Profile complete",IF(X290&lt;&gt;"","9 Approved",IF(W290&lt;&gt;"","8 KYC submitted",IF(V290&lt;&gt;"","7 Registered",IF(T290&lt;&gt;"","5 Interested",IF(R290&lt;&gt;"","4 Responded",IF(O290&lt;&gt;"","2 Contacted","1 Not yet contacted")))))))))))))</f>
        <v/>
      </c>
      <c r="AK290" s="10">
        <f>IF(AF290&lt;&gt;"",AF290,IF(OR(O290="",R290&lt;&gt;"",LEFT(AJ290,1)="X"),"",IF(Q290&lt;&gt;"","",IF(P290&lt;&gt;"",P290+SETTINGS!$B$4,O290+SETTINGS!$B$3))))</f>
        <v/>
      </c>
      <c r="AL290">
        <f>IF(AJ290="","",IF(LEFT(AJ290,1)="X","None — do not contact",IF(AJ290="1 Not yet contacted","Verify route today, then send M1",IF(AND(R290="",Q290&lt;&gt;""),"Sequence complete — no contact before "&amp;TEXT(Q290+SETTINGS!$B$5,"yyyy-mm-dd"),IF(AND(R290="",P290&lt;&gt;""),"Send final note (M4)",IF(R290="","Send follow-up (M2)",IF(AJ290="12 ACTIVATED","7-day check-in; consent &amp; referral soft ask",IF(AJ290="13 Transacting","Repeat-activity support","Onboarding: move to next stage (see playbook §6)"))))))))</f>
        <v/>
      </c>
      <c r="AM290">
        <f>IF(ISNUMBER(AK290),IF(AK290&lt;=TODAY(),"DUE",""),"")</f>
        <v/>
      </c>
      <c r="AN290">
        <f>IF(COUNT(O290,P290,Q290,R290,T290,V290,W290,X290,Y290,Z290,AA290,AC290)=0,"",TODAY()-MAX(O290,P290,Q290,R290,T290,V290,W290,X290,Y290,Z290,AA290,AC290))</f>
        <v/>
      </c>
      <c r="AO290">
        <f>IF(AJ290="","",IF(AND(T290&lt;&gt;"",U290&lt;&gt;"Active (verified)"),"GST: escalate (no tax advice)",IF(AND(IFERROR(VALUE(LEFT(AJ290,2)),0)&gt;=5,AH290&lt;&gt;"YES",ISNUMBER(AN290),AN290&gt;SETTINGS!$B$14),"STUCK in onboarding","")))</f>
        <v/>
      </c>
    </row>
    <row r="291">
      <c r="A291" t="n">
        <v>290</v>
      </c>
      <c r="B291" t="inlineStr">
        <is>
          <t>UPK2-CM-125</t>
        </is>
      </c>
      <c r="C291" t="inlineStr">
        <is>
          <t>Bhavaish R Bhatijaa</t>
        </is>
      </c>
      <c r="D291" t="inlineStr">
        <is>
          <t>Content &amp; Media</t>
        </is>
      </c>
      <c r="E291" t="inlineStr">
        <is>
          <t>CM-EMCEE-HOST</t>
        </is>
      </c>
      <c r="F291" t="inlineStr">
        <is>
          <t>Mumbai</t>
        </is>
      </c>
      <c r="G291" t="inlineStr">
        <is>
          <t>A</t>
        </is>
      </c>
      <c r="H291" t="inlineStr">
        <is>
          <t>P1</t>
        </is>
      </c>
      <c r="I291" t="inlineStr"/>
      <c r="J291" t="inlineStr">
        <is>
          <t>1:1 Instagram DM from Uepaki professional account</t>
        </is>
      </c>
      <c r="K291" t="inlineStr">
        <is>
          <t>https://www.instagram.com/anchorbolbbbol</t>
        </is>
      </c>
      <c r="L291" t="inlineStr">
        <is>
          <t>W2 Expansion</t>
        </is>
      </c>
      <c r="M291" t="inlineStr"/>
      <c r="N291" t="inlineStr"/>
      <c r="O291" s="10" t="inlineStr"/>
      <c r="P291" s="10" t="inlineStr"/>
      <c r="Q291" s="10" t="inlineStr"/>
      <c r="R291" s="10" t="inlineStr"/>
      <c r="S291" t="inlineStr"/>
      <c r="T291" s="10" t="inlineStr"/>
      <c r="U291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t="inlineStr"/>
      <c r="AC291" s="10" t="inlineStr"/>
      <c r="AD291" t="inlineStr"/>
      <c r="AE291" t="inlineStr"/>
      <c r="AF291" s="10" t="inlineStr"/>
      <c r="AG291" t="inlineStr"/>
      <c r="AH291">
        <f>IF(AND(B291="",C291=""),"",IF(AND(X291&lt;&gt;"",Y291&lt;&gt;"",Z291&lt;&gt;"",AA291&lt;&gt;"",AB291="Y"),"YES","no"))</f>
        <v/>
      </c>
      <c r="AI291" s="10">
        <f>IF(AH291="YES",MAX(X291,Y291,Z291,AA291),"")</f>
        <v/>
      </c>
      <c r="AJ291">
        <f>IF(AND(B291="",C291=""),"",IF(OR(S291="Not interested",S291="Opt-out / do not contact"),"X Declined / suppressed",IF(S291="Bounced / undeliverable","X Bounced — research",IF(AC291&lt;&gt;"","13 Transacting",IF(AH291="YES","12 ACTIVATED",IF(Z291&lt;&gt;"","11 Listing live",IF(Y291&lt;&gt;"","10 Profile complete",IF(X291&lt;&gt;"","9 Approved",IF(W291&lt;&gt;"","8 KYC submitted",IF(V291&lt;&gt;"","7 Registered",IF(T291&lt;&gt;"","5 Interested",IF(R291&lt;&gt;"","4 Responded",IF(O291&lt;&gt;"","2 Contacted","1 Not yet contacted")))))))))))))</f>
        <v/>
      </c>
      <c r="AK291" s="10">
        <f>IF(AF291&lt;&gt;"",AF291,IF(OR(O291="",R291&lt;&gt;"",LEFT(AJ291,1)="X"),"",IF(Q291&lt;&gt;"","",IF(P291&lt;&gt;"",P291+SETTINGS!$B$4,O291+SETTINGS!$B$3))))</f>
        <v/>
      </c>
      <c r="AL291">
        <f>IF(AJ291="","",IF(LEFT(AJ291,1)="X","None — do not contact",IF(AJ291="1 Not yet contacted","Verify route today, then send M1",IF(AND(R291="",Q291&lt;&gt;""),"Sequence complete — no contact before "&amp;TEXT(Q291+SETTINGS!$B$5,"yyyy-mm-dd"),IF(AND(R291="",P291&lt;&gt;""),"Send final note (M4)",IF(R291="","Send follow-up (M2)",IF(AJ291="12 ACTIVATED","7-day check-in; consent &amp; referral soft ask",IF(AJ291="13 Transacting","Repeat-activity support","Onboarding: move to next stage (see playbook §6)"))))))))</f>
        <v/>
      </c>
      <c r="AM291">
        <f>IF(ISNUMBER(AK291),IF(AK291&lt;=TODAY(),"DUE",""),"")</f>
        <v/>
      </c>
      <c r="AN291">
        <f>IF(COUNT(O291,P291,Q291,R291,T291,V291,W291,X291,Y291,Z291,AA291,AC291)=0,"",TODAY()-MAX(O291,P291,Q291,R291,T291,V291,W291,X291,Y291,Z291,AA291,AC291))</f>
        <v/>
      </c>
      <c r="AO291">
        <f>IF(AJ291="","",IF(AND(T291&lt;&gt;"",U291&lt;&gt;"Active (verified)"),"GST: escalate (no tax advice)",IF(AND(IFERROR(VALUE(LEFT(AJ291,2)),0)&gt;=5,AH291&lt;&gt;"YES",ISNUMBER(AN291),AN291&gt;SETTINGS!$B$14),"STUCK in onboarding","")))</f>
        <v/>
      </c>
    </row>
    <row r="292">
      <c r="A292" t="n">
        <v>291</v>
      </c>
      <c r="B292" t="inlineStr">
        <is>
          <t>UPK2-CM-064</t>
        </is>
      </c>
      <c r="C292" t="inlineStr">
        <is>
          <t>Yash Bhatia</t>
        </is>
      </c>
      <c r="D292" t="inlineStr">
        <is>
          <t>Content &amp; Media</t>
        </is>
      </c>
      <c r="E292" t="inlineStr">
        <is>
          <t>CM-EMCEE-HOST</t>
        </is>
      </c>
      <c r="F292" t="inlineStr">
        <is>
          <t>Mumbai</t>
        </is>
      </c>
      <c r="G292" t="inlineStr">
        <is>
          <t>A</t>
        </is>
      </c>
      <c r="H292" t="inlineStr">
        <is>
          <t>P1</t>
        </is>
      </c>
      <c r="I292" t="inlineStr"/>
      <c r="J292" t="inlineStr">
        <is>
          <t>1:1 Instagram DM from Uepaki professional account</t>
        </is>
      </c>
      <c r="K292" t="inlineStr">
        <is>
          <t>https://anchoryashbhatia.com</t>
        </is>
      </c>
      <c r="L292" t="inlineStr">
        <is>
          <t>W2 Expansion</t>
        </is>
      </c>
      <c r="M292" t="inlineStr"/>
      <c r="N292" t="inlineStr"/>
      <c r="O292" s="10" t="inlineStr"/>
      <c r="P292" s="10" t="inlineStr"/>
      <c r="Q292" s="10" t="inlineStr"/>
      <c r="R292" s="10" t="inlineStr"/>
      <c r="S292" t="inlineStr"/>
      <c r="T292" s="10" t="inlineStr"/>
      <c r="U292" t="inlineStr"/>
      <c r="V292" s="10" t="inlineStr"/>
      <c r="W292" s="10" t="inlineStr"/>
      <c r="X292" s="10" t="inlineStr"/>
      <c r="Y292" s="10" t="inlineStr"/>
      <c r="Z292" s="10" t="inlineStr"/>
      <c r="AA292" s="10" t="inlineStr"/>
      <c r="AB292" t="inlineStr"/>
      <c r="AC292" s="10" t="inlineStr"/>
      <c r="AD292" t="inlineStr"/>
      <c r="AE292" t="inlineStr"/>
      <c r="AF292" s="10" t="inlineStr"/>
      <c r="AG292" t="inlineStr"/>
      <c r="AH292">
        <f>IF(AND(B292="",C292=""),"",IF(AND(X292&lt;&gt;"",Y292&lt;&gt;"",Z292&lt;&gt;"",AA292&lt;&gt;"",AB292="Y"),"YES","no"))</f>
        <v/>
      </c>
      <c r="AI292" s="10">
        <f>IF(AH292="YES",MAX(X292,Y292,Z292,AA292),"")</f>
        <v/>
      </c>
      <c r="AJ292">
        <f>IF(AND(B292="",C292=""),"",IF(OR(S292="Not interested",S292="Opt-out / do not contact"),"X Declined / suppressed",IF(S292="Bounced / undeliverable","X Bounced — research",IF(AC292&lt;&gt;"","13 Transacting",IF(AH292="YES","12 ACTIVATED",IF(Z292&lt;&gt;"","11 Listing live",IF(Y292&lt;&gt;"","10 Profile complete",IF(X292&lt;&gt;"","9 Approved",IF(W292&lt;&gt;"","8 KYC submitted",IF(V292&lt;&gt;"","7 Registered",IF(T292&lt;&gt;"","5 Interested",IF(R292&lt;&gt;"","4 Responded",IF(O292&lt;&gt;"","2 Contacted","1 Not yet contacted")))))))))))))</f>
        <v/>
      </c>
      <c r="AK292" s="10">
        <f>IF(AF292&lt;&gt;"",AF292,IF(OR(O292="",R292&lt;&gt;"",LEFT(AJ292,1)="X"),"",IF(Q292&lt;&gt;"","",IF(P292&lt;&gt;"",P292+SETTINGS!$B$4,O292+SETTINGS!$B$3))))</f>
        <v/>
      </c>
      <c r="AL292">
        <f>IF(AJ292="","",IF(LEFT(AJ292,1)="X","None — do not contact",IF(AJ292="1 Not yet contacted","Verify route today, then send M1",IF(AND(R292="",Q292&lt;&gt;""),"Sequence complete — no contact before "&amp;TEXT(Q292+SETTINGS!$B$5,"yyyy-mm-dd"),IF(AND(R292="",P292&lt;&gt;""),"Send final note (M4)",IF(R292="","Send follow-up (M2)",IF(AJ292="12 ACTIVATED","7-day check-in; consent &amp; referral soft ask",IF(AJ292="13 Transacting","Repeat-activity support","Onboarding: move to next stage (see playbook §6)"))))))))</f>
        <v/>
      </c>
      <c r="AM292">
        <f>IF(ISNUMBER(AK292),IF(AK292&lt;=TODAY(),"DUE",""),"")</f>
        <v/>
      </c>
      <c r="AN292">
        <f>IF(COUNT(O292,P292,Q292,R292,T292,V292,W292,X292,Y292,Z292,AA292,AC292)=0,"",TODAY()-MAX(O292,P292,Q292,R292,T292,V292,W292,X292,Y292,Z292,AA292,AC292))</f>
        <v/>
      </c>
      <c r="AO292">
        <f>IF(AJ292="","",IF(AND(T292&lt;&gt;"",U292&lt;&gt;"Active (verified)"),"GST: escalate (no tax advice)",IF(AND(IFERROR(VALUE(LEFT(AJ292,2)),0)&gt;=5,AH292&lt;&gt;"YES",ISNUMBER(AN292),AN292&gt;SETTINGS!$B$14),"STUCK in onboarding","")))</f>
        <v/>
      </c>
    </row>
    <row r="293">
      <c r="A293" t="n">
        <v>292</v>
      </c>
      <c r="B293" t="inlineStr">
        <is>
          <t>UPK2-CM-092</t>
        </is>
      </c>
      <c r="C293" t="inlineStr">
        <is>
          <t>Abhilasha Agrawal</t>
        </is>
      </c>
      <c r="D293" t="inlineStr">
        <is>
          <t>Content &amp; Media</t>
        </is>
      </c>
      <c r="E293" t="inlineStr">
        <is>
          <t>CM-EMCEE-HOST</t>
        </is>
      </c>
      <c r="F293" t="inlineStr">
        <is>
          <t>Delhi NCR</t>
        </is>
      </c>
      <c r="G293" t="inlineStr">
        <is>
          <t>A</t>
        </is>
      </c>
      <c r="H293" t="inlineStr">
        <is>
          <t>P1</t>
        </is>
      </c>
      <c r="I293" t="inlineStr"/>
      <c r="J293" t="inlineStr">
        <is>
          <t>1:1 Instagram DM from Uepaki professional account</t>
        </is>
      </c>
      <c r="K293" t="inlineStr">
        <is>
          <t>https://www.instagram.com/agrawal.abhilasha</t>
        </is>
      </c>
      <c r="L293" t="inlineStr">
        <is>
          <t>W2 Expansion</t>
        </is>
      </c>
      <c r="M293" t="inlineStr"/>
      <c r="N293" t="inlineStr"/>
      <c r="O293" s="10" t="inlineStr"/>
      <c r="P293" s="10" t="inlineStr"/>
      <c r="Q293" s="10" t="inlineStr"/>
      <c r="R293" s="10" t="inlineStr"/>
      <c r="S293" t="inlineStr"/>
      <c r="T293" s="10" t="inlineStr"/>
      <c r="U293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t="inlineStr"/>
      <c r="AC293" s="10" t="inlineStr"/>
      <c r="AD293" t="inlineStr"/>
      <c r="AE293" t="inlineStr"/>
      <c r="AF293" s="10" t="inlineStr"/>
      <c r="AG293" t="inlineStr"/>
      <c r="AH293">
        <f>IF(AND(B293="",C293=""),"",IF(AND(X293&lt;&gt;"",Y293&lt;&gt;"",Z293&lt;&gt;"",AA293&lt;&gt;"",AB293="Y"),"YES","no"))</f>
        <v/>
      </c>
      <c r="AI293" s="10">
        <f>IF(AH293="YES",MAX(X293,Y293,Z293,AA293),"")</f>
        <v/>
      </c>
      <c r="AJ293">
        <f>IF(AND(B293="",C293=""),"",IF(OR(S293="Not interested",S293="Opt-out / do not contact"),"X Declined / suppressed",IF(S293="Bounced / undeliverable","X Bounced — research",IF(AC293&lt;&gt;"","13 Transacting",IF(AH293="YES","12 ACTIVATED",IF(Z293&lt;&gt;"","11 Listing live",IF(Y293&lt;&gt;"","10 Profile complete",IF(X293&lt;&gt;"","9 Approved",IF(W293&lt;&gt;"","8 KYC submitted",IF(V293&lt;&gt;"","7 Registered",IF(T293&lt;&gt;"","5 Interested",IF(R293&lt;&gt;"","4 Responded",IF(O293&lt;&gt;"","2 Contacted","1 Not yet contacted")))))))))))))</f>
        <v/>
      </c>
      <c r="AK293" s="10">
        <f>IF(AF293&lt;&gt;"",AF293,IF(OR(O293="",R293&lt;&gt;"",LEFT(AJ293,1)="X"),"",IF(Q293&lt;&gt;"","",IF(P293&lt;&gt;"",P293+SETTINGS!$B$4,O293+SETTINGS!$B$3))))</f>
        <v/>
      </c>
      <c r="AL293">
        <f>IF(AJ293="","",IF(LEFT(AJ293,1)="X","None — do not contact",IF(AJ293="1 Not yet contacted","Verify route today, then send M1",IF(AND(R293="",Q293&lt;&gt;""),"Sequence complete — no contact before "&amp;TEXT(Q293+SETTINGS!$B$5,"yyyy-mm-dd"),IF(AND(R293="",P293&lt;&gt;""),"Send final note (M4)",IF(R293="","Send follow-up (M2)",IF(AJ293="12 ACTIVATED","7-day check-in; consent &amp; referral soft ask",IF(AJ293="13 Transacting","Repeat-activity support","Onboarding: move to next stage (see playbook §6)"))))))))</f>
        <v/>
      </c>
      <c r="AM293">
        <f>IF(ISNUMBER(AK293),IF(AK293&lt;=TODAY(),"DUE",""),"")</f>
        <v/>
      </c>
      <c r="AN293">
        <f>IF(COUNT(O293,P293,Q293,R293,T293,V293,W293,X293,Y293,Z293,AA293,AC293)=0,"",TODAY()-MAX(O293,P293,Q293,R293,T293,V293,W293,X293,Y293,Z293,AA293,AC293))</f>
        <v/>
      </c>
      <c r="AO293">
        <f>IF(AJ293="","",IF(AND(T293&lt;&gt;"",U293&lt;&gt;"Active (verified)"),"GST: escalate (no tax advice)",IF(AND(IFERROR(VALUE(LEFT(AJ293,2)),0)&gt;=5,AH293&lt;&gt;"YES",ISNUMBER(AN293),AN293&gt;SETTINGS!$B$14),"STUCK in onboarding","")))</f>
        <v/>
      </c>
    </row>
    <row r="294">
      <c r="A294" t="n">
        <v>293</v>
      </c>
      <c r="B294" t="inlineStr">
        <is>
          <t>UPK2-CM-093</t>
        </is>
      </c>
      <c r="C294" t="inlineStr">
        <is>
          <t>AlmostAayush</t>
        </is>
      </c>
      <c r="D294" t="inlineStr">
        <is>
          <t>Content &amp; Media</t>
        </is>
      </c>
      <c r="E294" t="inlineStr">
        <is>
          <t>CM-EMCEE-HOST</t>
        </is>
      </c>
      <c r="F294" t="inlineStr">
        <is>
          <t>Delhi NCR</t>
        </is>
      </c>
      <c r="G294" t="inlineStr">
        <is>
          <t>A</t>
        </is>
      </c>
      <c r="H294" t="inlineStr">
        <is>
          <t>P1</t>
        </is>
      </c>
      <c r="I294" t="inlineStr"/>
      <c r="J294" t="inlineStr">
        <is>
          <t>1:1 Instagram DM from Uepaki professional account</t>
        </is>
      </c>
      <c r="K294" t="inlineStr">
        <is>
          <t>https://www.instagram.com/almostaayush</t>
        </is>
      </c>
      <c r="L294" t="inlineStr">
        <is>
          <t>W2 Expansion</t>
        </is>
      </c>
      <c r="M294" t="inlineStr"/>
      <c r="N294" t="inlineStr"/>
      <c r="O294" s="10" t="inlineStr"/>
      <c r="P294" s="10" t="inlineStr"/>
      <c r="Q294" s="10" t="inlineStr"/>
      <c r="R294" s="10" t="inlineStr"/>
      <c r="S294" t="inlineStr"/>
      <c r="T294" s="10" t="inlineStr"/>
      <c r="U294" t="inlineStr"/>
      <c r="V294" s="10" t="inlineStr"/>
      <c r="W294" s="10" t="inlineStr"/>
      <c r="X294" s="10" t="inlineStr"/>
      <c r="Y294" s="10" t="inlineStr"/>
      <c r="Z294" s="10" t="inlineStr"/>
      <c r="AA294" s="10" t="inlineStr"/>
      <c r="AB294" t="inlineStr"/>
      <c r="AC294" s="10" t="inlineStr"/>
      <c r="AD294" t="inlineStr"/>
      <c r="AE294" t="inlineStr"/>
      <c r="AF294" s="10" t="inlineStr"/>
      <c r="AG294" t="inlineStr"/>
      <c r="AH294">
        <f>IF(AND(B294="",C294=""),"",IF(AND(X294&lt;&gt;"",Y294&lt;&gt;"",Z294&lt;&gt;"",AA294&lt;&gt;"",AB294="Y"),"YES","no"))</f>
        <v/>
      </c>
      <c r="AI294" s="10">
        <f>IF(AH294="YES",MAX(X294,Y294,Z294,AA294),"")</f>
        <v/>
      </c>
      <c r="AJ294">
        <f>IF(AND(B294="",C294=""),"",IF(OR(S294="Not interested",S294="Opt-out / do not contact"),"X Declined / suppressed",IF(S294="Bounced / undeliverable","X Bounced — research",IF(AC294&lt;&gt;"","13 Transacting",IF(AH294="YES","12 ACTIVATED",IF(Z294&lt;&gt;"","11 Listing live",IF(Y294&lt;&gt;"","10 Profile complete",IF(X294&lt;&gt;"","9 Approved",IF(W294&lt;&gt;"","8 KYC submitted",IF(V294&lt;&gt;"","7 Registered",IF(T294&lt;&gt;"","5 Interested",IF(R294&lt;&gt;"","4 Responded",IF(O294&lt;&gt;"","2 Contacted","1 Not yet contacted")))))))))))))</f>
        <v/>
      </c>
      <c r="AK294" s="10">
        <f>IF(AF294&lt;&gt;"",AF294,IF(OR(O294="",R294&lt;&gt;"",LEFT(AJ294,1)="X"),"",IF(Q294&lt;&gt;"","",IF(P294&lt;&gt;"",P294+SETTINGS!$B$4,O294+SETTINGS!$B$3))))</f>
        <v/>
      </c>
      <c r="AL294">
        <f>IF(AJ294="","",IF(LEFT(AJ294,1)="X","None — do not contact",IF(AJ294="1 Not yet contacted","Verify route today, then send M1",IF(AND(R294="",Q294&lt;&gt;""),"Sequence complete — no contact before "&amp;TEXT(Q294+SETTINGS!$B$5,"yyyy-mm-dd"),IF(AND(R294="",P294&lt;&gt;""),"Send final note (M4)",IF(R294="","Send follow-up (M2)",IF(AJ294="12 ACTIVATED","7-day check-in; consent &amp; referral soft ask",IF(AJ294="13 Transacting","Repeat-activity support","Onboarding: move to next stage (see playbook §6)"))))))))</f>
        <v/>
      </c>
      <c r="AM294">
        <f>IF(ISNUMBER(AK294),IF(AK294&lt;=TODAY(),"DUE",""),"")</f>
        <v/>
      </c>
      <c r="AN294">
        <f>IF(COUNT(O294,P294,Q294,R294,T294,V294,W294,X294,Y294,Z294,AA294,AC294)=0,"",TODAY()-MAX(O294,P294,Q294,R294,T294,V294,W294,X294,Y294,Z294,AA294,AC294))</f>
        <v/>
      </c>
      <c r="AO294">
        <f>IF(AJ294="","",IF(AND(T294&lt;&gt;"",U294&lt;&gt;"Active (verified)"),"GST: escalate (no tax advice)",IF(AND(IFERROR(VALUE(LEFT(AJ294,2)),0)&gt;=5,AH294&lt;&gt;"YES",ISNUMBER(AN294),AN294&gt;SETTINGS!$B$14),"STUCK in onboarding","")))</f>
        <v/>
      </c>
    </row>
    <row r="295">
      <c r="A295" t="n">
        <v>294</v>
      </c>
      <c r="B295" t="inlineStr">
        <is>
          <t>UPK2-CM-091</t>
        </is>
      </c>
      <c r="C295" t="inlineStr">
        <is>
          <t>Deepali Vijay</t>
        </is>
      </c>
      <c r="D295" t="inlineStr">
        <is>
          <t>Content &amp; Media</t>
        </is>
      </c>
      <c r="E295" t="inlineStr">
        <is>
          <t>CM-EMCEE-HOST</t>
        </is>
      </c>
      <c r="F295" t="inlineStr">
        <is>
          <t>Jaipur</t>
        </is>
      </c>
      <c r="G295" t="inlineStr">
        <is>
          <t>A</t>
        </is>
      </c>
      <c r="H295" t="inlineStr">
        <is>
          <t>P1</t>
        </is>
      </c>
      <c r="I295" t="inlineStr"/>
      <c r="J295" t="inlineStr">
        <is>
          <t>1:1 Instagram DM from Uepaki professional account</t>
        </is>
      </c>
      <c r="K295" t="inlineStr">
        <is>
          <t>https://www.instagram.com/deepalivijaye</t>
        </is>
      </c>
      <c r="L295" t="inlineStr">
        <is>
          <t>W2 Expansion</t>
        </is>
      </c>
      <c r="M295" t="inlineStr"/>
      <c r="N295" t="inlineStr"/>
      <c r="O295" s="10" t="inlineStr"/>
      <c r="P295" s="10" t="inlineStr"/>
      <c r="Q295" s="10" t="inlineStr"/>
      <c r="R295" s="10" t="inlineStr"/>
      <c r="S295" t="inlineStr"/>
      <c r="T295" s="10" t="inlineStr"/>
      <c r="U295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t="inlineStr"/>
      <c r="AC295" s="10" t="inlineStr"/>
      <c r="AD295" t="inlineStr"/>
      <c r="AE295" t="inlineStr"/>
      <c r="AF295" s="10" t="inlineStr"/>
      <c r="AG295" t="inlineStr"/>
      <c r="AH295">
        <f>IF(AND(B295="",C295=""),"",IF(AND(X295&lt;&gt;"",Y295&lt;&gt;"",Z295&lt;&gt;"",AA295&lt;&gt;"",AB295="Y"),"YES","no"))</f>
        <v/>
      </c>
      <c r="AI295" s="10">
        <f>IF(AH295="YES",MAX(X295,Y295,Z295,AA295),"")</f>
        <v/>
      </c>
      <c r="AJ295">
        <f>IF(AND(B295="",C295=""),"",IF(OR(S295="Not interested",S295="Opt-out / do not contact"),"X Declined / suppressed",IF(S295="Bounced / undeliverable","X Bounced — research",IF(AC295&lt;&gt;"","13 Transacting",IF(AH295="YES","12 ACTIVATED",IF(Z295&lt;&gt;"","11 Listing live",IF(Y295&lt;&gt;"","10 Profile complete",IF(X295&lt;&gt;"","9 Approved",IF(W295&lt;&gt;"","8 KYC submitted",IF(V295&lt;&gt;"","7 Registered",IF(T295&lt;&gt;"","5 Interested",IF(R295&lt;&gt;"","4 Responded",IF(O295&lt;&gt;"","2 Contacted","1 Not yet contacted")))))))))))))</f>
        <v/>
      </c>
      <c r="AK295" s="10">
        <f>IF(AF295&lt;&gt;"",AF295,IF(OR(O295="",R295&lt;&gt;"",LEFT(AJ295,1)="X"),"",IF(Q295&lt;&gt;"","",IF(P295&lt;&gt;"",P295+SETTINGS!$B$4,O295+SETTINGS!$B$3))))</f>
        <v/>
      </c>
      <c r="AL295">
        <f>IF(AJ295="","",IF(LEFT(AJ295,1)="X","None — do not contact",IF(AJ295="1 Not yet contacted","Verify route today, then send M1",IF(AND(R295="",Q295&lt;&gt;""),"Sequence complete — no contact before "&amp;TEXT(Q295+SETTINGS!$B$5,"yyyy-mm-dd"),IF(AND(R295="",P295&lt;&gt;""),"Send final note (M4)",IF(R295="","Send follow-up (M2)",IF(AJ295="12 ACTIVATED","7-day check-in; consent &amp; referral soft ask",IF(AJ295="13 Transacting","Repeat-activity support","Onboarding: move to next stage (see playbook §6)"))))))))</f>
        <v/>
      </c>
      <c r="AM295">
        <f>IF(ISNUMBER(AK295),IF(AK295&lt;=TODAY(),"DUE",""),"")</f>
        <v/>
      </c>
      <c r="AN295">
        <f>IF(COUNT(O295,P295,Q295,R295,T295,V295,W295,X295,Y295,Z295,AA295,AC295)=0,"",TODAY()-MAX(O295,P295,Q295,R295,T295,V295,W295,X295,Y295,Z295,AA295,AC295))</f>
        <v/>
      </c>
      <c r="AO295">
        <f>IF(AJ295="","",IF(AND(T295&lt;&gt;"",U295&lt;&gt;"Active (verified)"),"GST: escalate (no tax advice)",IF(AND(IFERROR(VALUE(LEFT(AJ295,2)),0)&gt;=5,AH295&lt;&gt;"YES",ISNUMBER(AN295),AN295&gt;SETTINGS!$B$14),"STUCK in onboarding","")))</f>
        <v/>
      </c>
    </row>
    <row r="296">
      <c r="A296" t="n">
        <v>295</v>
      </c>
      <c r="B296" t="inlineStr">
        <is>
          <t>UPK2-CM-164</t>
        </is>
      </c>
      <c r="C296" t="inlineStr">
        <is>
          <t>Tarun Khem</t>
        </is>
      </c>
      <c r="D296" t="inlineStr">
        <is>
          <t>Content &amp; Media</t>
        </is>
      </c>
      <c r="E296" t="inlineStr">
        <is>
          <t>CM-EMCEE-HOST</t>
        </is>
      </c>
      <c r="F296" t="inlineStr">
        <is>
          <t>Mumbai</t>
        </is>
      </c>
      <c r="G296" t="inlineStr">
        <is>
          <t>A</t>
        </is>
      </c>
      <c r="H296" t="inlineStr">
        <is>
          <t>P1</t>
        </is>
      </c>
      <c r="I296" t="inlineStr"/>
      <c r="J296" t="inlineStr">
        <is>
          <t>1:1 Instagram DM from Uepaki professional account</t>
        </is>
      </c>
      <c r="K296" t="inlineStr">
        <is>
          <t>https://www.instagram.com/tarunkhem</t>
        </is>
      </c>
      <c r="L296" t="inlineStr">
        <is>
          <t>W2 Expansion</t>
        </is>
      </c>
      <c r="M296" t="inlineStr"/>
      <c r="N296" t="inlineStr"/>
      <c r="O296" s="10" t="inlineStr"/>
      <c r="P296" s="10" t="inlineStr"/>
      <c r="Q296" s="10" t="inlineStr"/>
      <c r="R296" s="10" t="inlineStr"/>
      <c r="S296" t="inlineStr"/>
      <c r="T296" s="10" t="inlineStr"/>
      <c r="U296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t="inlineStr"/>
      <c r="AC296" s="10" t="inlineStr"/>
      <c r="AD296" t="inlineStr"/>
      <c r="AE296" t="inlineStr"/>
      <c r="AF296" s="10" t="inlineStr"/>
      <c r="AG296" t="inlineStr"/>
      <c r="AH296">
        <f>IF(AND(B296="",C296=""),"",IF(AND(X296&lt;&gt;"",Y296&lt;&gt;"",Z296&lt;&gt;"",AA296&lt;&gt;"",AB296="Y"),"YES","no"))</f>
        <v/>
      </c>
      <c r="AI296" s="10">
        <f>IF(AH296="YES",MAX(X296,Y296,Z296,AA296),"")</f>
        <v/>
      </c>
      <c r="AJ296">
        <f>IF(AND(B296="",C296=""),"",IF(OR(S296="Not interested",S296="Opt-out / do not contact"),"X Declined / suppressed",IF(S296="Bounced / undeliverable","X Bounced — research",IF(AC296&lt;&gt;"","13 Transacting",IF(AH296="YES","12 ACTIVATED",IF(Z296&lt;&gt;"","11 Listing live",IF(Y296&lt;&gt;"","10 Profile complete",IF(X296&lt;&gt;"","9 Approved",IF(W296&lt;&gt;"","8 KYC submitted",IF(V296&lt;&gt;"","7 Registered",IF(T296&lt;&gt;"","5 Interested",IF(R296&lt;&gt;"","4 Responded",IF(O296&lt;&gt;"","2 Contacted","1 Not yet contacted")))))))))))))</f>
        <v/>
      </c>
      <c r="AK296" s="10">
        <f>IF(AF296&lt;&gt;"",AF296,IF(OR(O296="",R296&lt;&gt;"",LEFT(AJ296,1)="X"),"",IF(Q296&lt;&gt;"","",IF(P296&lt;&gt;"",P296+SETTINGS!$B$4,O296+SETTINGS!$B$3))))</f>
        <v/>
      </c>
      <c r="AL296">
        <f>IF(AJ296="","",IF(LEFT(AJ296,1)="X","None — do not contact",IF(AJ296="1 Not yet contacted","Verify route today, then send M1",IF(AND(R296="",Q296&lt;&gt;""),"Sequence complete — no contact before "&amp;TEXT(Q296+SETTINGS!$B$5,"yyyy-mm-dd"),IF(AND(R296="",P296&lt;&gt;""),"Send final note (M4)",IF(R296="","Send follow-up (M2)",IF(AJ296="12 ACTIVATED","7-day check-in; consent &amp; referral soft ask",IF(AJ296="13 Transacting","Repeat-activity support","Onboarding: move to next stage (see playbook §6)"))))))))</f>
        <v/>
      </c>
      <c r="AM296">
        <f>IF(ISNUMBER(AK296),IF(AK296&lt;=TODAY(),"DUE",""),"")</f>
        <v/>
      </c>
      <c r="AN296">
        <f>IF(COUNT(O296,P296,Q296,R296,T296,V296,W296,X296,Y296,Z296,AA296,AC296)=0,"",TODAY()-MAX(O296,P296,Q296,R296,T296,V296,W296,X296,Y296,Z296,AA296,AC296))</f>
        <v/>
      </c>
      <c r="AO296">
        <f>IF(AJ296="","",IF(AND(T296&lt;&gt;"",U296&lt;&gt;"Active (verified)"),"GST: escalate (no tax advice)",IF(AND(IFERROR(VALUE(LEFT(AJ296,2)),0)&gt;=5,AH296&lt;&gt;"YES",ISNUMBER(AN296),AN296&gt;SETTINGS!$B$14),"STUCK in onboarding","")))</f>
        <v/>
      </c>
    </row>
    <row r="297">
      <c r="A297" t="n">
        <v>296</v>
      </c>
      <c r="B297" t="inlineStr">
        <is>
          <t>UPK2-CM-079</t>
        </is>
      </c>
      <c r="C297" t="inlineStr">
        <is>
          <t>Jay Karmani (Anchor JK)</t>
        </is>
      </c>
      <c r="D297" t="inlineStr">
        <is>
          <t>Content &amp; Media</t>
        </is>
      </c>
      <c r="E297" t="inlineStr">
        <is>
          <t>CM-EMCEE-HOST</t>
        </is>
      </c>
      <c r="F297" t="inlineStr">
        <is>
          <t>Mumbai</t>
        </is>
      </c>
      <c r="G297" t="inlineStr">
        <is>
          <t>A</t>
        </is>
      </c>
      <c r="H297" t="inlineStr">
        <is>
          <t>P1</t>
        </is>
      </c>
      <c r="I297" t="inlineStr"/>
      <c r="J297" t="inlineStr">
        <is>
          <t>1:1 Instagram DM from Uepaki professional account</t>
        </is>
      </c>
      <c r="K297" t="inlineStr">
        <is>
          <t>https://anchorjay.com</t>
        </is>
      </c>
      <c r="L297" t="inlineStr">
        <is>
          <t>W2 Expansion</t>
        </is>
      </c>
      <c r="M297" t="inlineStr"/>
      <c r="N297" t="inlineStr"/>
      <c r="O297" s="10" t="inlineStr"/>
      <c r="P297" s="10" t="inlineStr"/>
      <c r="Q297" s="10" t="inlineStr"/>
      <c r="R297" s="10" t="inlineStr"/>
      <c r="S297" t="inlineStr"/>
      <c r="T297" s="10" t="inlineStr"/>
      <c r="U297" t="inlineStr"/>
      <c r="V297" s="10" t="inlineStr"/>
      <c r="W297" s="10" t="inlineStr"/>
      <c r="X297" s="10" t="inlineStr"/>
      <c r="Y297" s="10" t="inlineStr"/>
      <c r="Z297" s="10" t="inlineStr"/>
      <c r="AA297" s="10" t="inlineStr"/>
      <c r="AB297" t="inlineStr"/>
      <c r="AC297" s="10" t="inlineStr"/>
      <c r="AD297" t="inlineStr"/>
      <c r="AE297" t="inlineStr"/>
      <c r="AF297" s="10" t="inlineStr"/>
      <c r="AG297" t="inlineStr"/>
      <c r="AH297">
        <f>IF(AND(B297="",C297=""),"",IF(AND(X297&lt;&gt;"",Y297&lt;&gt;"",Z297&lt;&gt;"",AA297&lt;&gt;"",AB297="Y"),"YES","no"))</f>
        <v/>
      </c>
      <c r="AI297" s="10">
        <f>IF(AH297="YES",MAX(X297,Y297,Z297,AA297),"")</f>
        <v/>
      </c>
      <c r="AJ297">
        <f>IF(AND(B297="",C297=""),"",IF(OR(S297="Not interested",S297="Opt-out / do not contact"),"X Declined / suppressed",IF(S297="Bounced / undeliverable","X Bounced — research",IF(AC297&lt;&gt;"","13 Transacting",IF(AH297="YES","12 ACTIVATED",IF(Z297&lt;&gt;"","11 Listing live",IF(Y297&lt;&gt;"","10 Profile complete",IF(X297&lt;&gt;"","9 Approved",IF(W297&lt;&gt;"","8 KYC submitted",IF(V297&lt;&gt;"","7 Registered",IF(T297&lt;&gt;"","5 Interested",IF(R297&lt;&gt;"","4 Responded",IF(O297&lt;&gt;"","2 Contacted","1 Not yet contacted")))))))))))))</f>
        <v/>
      </c>
      <c r="AK297" s="10">
        <f>IF(AF297&lt;&gt;"",AF297,IF(OR(O297="",R297&lt;&gt;"",LEFT(AJ297,1)="X"),"",IF(Q297&lt;&gt;"","",IF(P297&lt;&gt;"",P297+SETTINGS!$B$4,O297+SETTINGS!$B$3))))</f>
        <v/>
      </c>
      <c r="AL297">
        <f>IF(AJ297="","",IF(LEFT(AJ297,1)="X","None — do not contact",IF(AJ297="1 Not yet contacted","Verify route today, then send M1",IF(AND(R297="",Q297&lt;&gt;""),"Sequence complete — no contact before "&amp;TEXT(Q297+SETTINGS!$B$5,"yyyy-mm-dd"),IF(AND(R297="",P297&lt;&gt;""),"Send final note (M4)",IF(R297="","Send follow-up (M2)",IF(AJ297="12 ACTIVATED","7-day check-in; consent &amp; referral soft ask",IF(AJ297="13 Transacting","Repeat-activity support","Onboarding: move to next stage (see playbook §6)"))))))))</f>
        <v/>
      </c>
      <c r="AM297">
        <f>IF(ISNUMBER(AK297),IF(AK297&lt;=TODAY(),"DUE",""),"")</f>
        <v/>
      </c>
      <c r="AN297">
        <f>IF(COUNT(O297,P297,Q297,R297,T297,V297,W297,X297,Y297,Z297,AA297,AC297)=0,"",TODAY()-MAX(O297,P297,Q297,R297,T297,V297,W297,X297,Y297,Z297,AA297,AC297))</f>
        <v/>
      </c>
      <c r="AO297">
        <f>IF(AJ297="","",IF(AND(T297&lt;&gt;"",U297&lt;&gt;"Active (verified)"),"GST: escalate (no tax advice)",IF(AND(IFERROR(VALUE(LEFT(AJ297,2)),0)&gt;=5,AH297&lt;&gt;"YES",ISNUMBER(AN297),AN297&gt;SETTINGS!$B$14),"STUCK in onboarding","")))</f>
        <v/>
      </c>
    </row>
    <row r="298">
      <c r="A298" t="n">
        <v>297</v>
      </c>
      <c r="B298" t="inlineStr">
        <is>
          <t>UPK2-CM-110</t>
        </is>
      </c>
      <c r="C298" t="inlineStr">
        <is>
          <t>Bhavya Chauhan</t>
        </is>
      </c>
      <c r="D298" t="inlineStr">
        <is>
          <t>Content &amp; Media</t>
        </is>
      </c>
      <c r="E298" t="inlineStr">
        <is>
          <t>CM-EMCEE-HOST</t>
        </is>
      </c>
      <c r="F298" t="inlineStr">
        <is>
          <t>Mumbai</t>
        </is>
      </c>
      <c r="G298" t="inlineStr">
        <is>
          <t>A</t>
        </is>
      </c>
      <c r="H298" t="inlineStr">
        <is>
          <t>P1</t>
        </is>
      </c>
      <c r="I298" t="inlineStr"/>
      <c r="J298" t="inlineStr">
        <is>
          <t>1:1 Instagram DM from Uepaki professional account</t>
        </is>
      </c>
      <c r="K298" t="inlineStr">
        <is>
          <t>https://www.instagram.com/bhavyachauhan.24</t>
        </is>
      </c>
      <c r="L298" t="inlineStr">
        <is>
          <t>W2 Expansion</t>
        </is>
      </c>
      <c r="M298" t="inlineStr"/>
      <c r="N298" t="inlineStr"/>
      <c r="O298" s="10" t="inlineStr"/>
      <c r="P298" s="10" t="inlineStr"/>
      <c r="Q298" s="10" t="inlineStr"/>
      <c r="R298" s="10" t="inlineStr"/>
      <c r="S298" t="inlineStr"/>
      <c r="T298" s="10" t="inlineStr"/>
      <c r="U298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t="inlineStr"/>
      <c r="AC298" s="10" t="inlineStr"/>
      <c r="AD298" t="inlineStr"/>
      <c r="AE298" t="inlineStr"/>
      <c r="AF298" s="10" t="inlineStr"/>
      <c r="AG298" t="inlineStr"/>
      <c r="AH298">
        <f>IF(AND(B298="",C298=""),"",IF(AND(X298&lt;&gt;"",Y298&lt;&gt;"",Z298&lt;&gt;"",AA298&lt;&gt;"",AB298="Y"),"YES","no"))</f>
        <v/>
      </c>
      <c r="AI298" s="10">
        <f>IF(AH298="YES",MAX(X298,Y298,Z298,AA298),"")</f>
        <v/>
      </c>
      <c r="AJ298">
        <f>IF(AND(B298="",C298=""),"",IF(OR(S298="Not interested",S298="Opt-out / do not contact"),"X Declined / suppressed",IF(S298="Bounced / undeliverable","X Bounced — research",IF(AC298&lt;&gt;"","13 Transacting",IF(AH298="YES","12 ACTIVATED",IF(Z298&lt;&gt;"","11 Listing live",IF(Y298&lt;&gt;"","10 Profile complete",IF(X298&lt;&gt;"","9 Approved",IF(W298&lt;&gt;"","8 KYC submitted",IF(V298&lt;&gt;"","7 Registered",IF(T298&lt;&gt;"","5 Interested",IF(R298&lt;&gt;"","4 Responded",IF(O298&lt;&gt;"","2 Contacted","1 Not yet contacted")))))))))))))</f>
        <v/>
      </c>
      <c r="AK298" s="10">
        <f>IF(AF298&lt;&gt;"",AF298,IF(OR(O298="",R298&lt;&gt;"",LEFT(AJ298,1)="X"),"",IF(Q298&lt;&gt;"","",IF(P298&lt;&gt;"",P298+SETTINGS!$B$4,O298+SETTINGS!$B$3))))</f>
        <v/>
      </c>
      <c r="AL298">
        <f>IF(AJ298="","",IF(LEFT(AJ298,1)="X","None — do not contact",IF(AJ298="1 Not yet contacted","Verify route today, then send M1",IF(AND(R298="",Q298&lt;&gt;""),"Sequence complete — no contact before "&amp;TEXT(Q298+SETTINGS!$B$5,"yyyy-mm-dd"),IF(AND(R298="",P298&lt;&gt;""),"Send final note (M4)",IF(R298="","Send follow-up (M2)",IF(AJ298="12 ACTIVATED","7-day check-in; consent &amp; referral soft ask",IF(AJ298="13 Transacting","Repeat-activity support","Onboarding: move to next stage (see playbook §6)"))))))))</f>
        <v/>
      </c>
      <c r="AM298">
        <f>IF(ISNUMBER(AK298),IF(AK298&lt;=TODAY(),"DUE",""),"")</f>
        <v/>
      </c>
      <c r="AN298">
        <f>IF(COUNT(O298,P298,Q298,R298,T298,V298,W298,X298,Y298,Z298,AA298,AC298)=0,"",TODAY()-MAX(O298,P298,Q298,R298,T298,V298,W298,X298,Y298,Z298,AA298,AC298))</f>
        <v/>
      </c>
      <c r="AO298">
        <f>IF(AJ298="","",IF(AND(T298&lt;&gt;"",U298&lt;&gt;"Active (verified)"),"GST: escalate (no tax advice)",IF(AND(IFERROR(VALUE(LEFT(AJ298,2)),0)&gt;=5,AH298&lt;&gt;"YES",ISNUMBER(AN298),AN298&gt;SETTINGS!$B$14),"STUCK in onboarding","")))</f>
        <v/>
      </c>
    </row>
    <row r="299">
      <c r="A299" t="n">
        <v>298</v>
      </c>
      <c r="B299" t="inlineStr">
        <is>
          <t>UPK2-CM-121</t>
        </is>
      </c>
      <c r="C299" t="inlineStr">
        <is>
          <t>Ajay Karmani</t>
        </is>
      </c>
      <c r="D299" t="inlineStr">
        <is>
          <t>Content &amp; Media</t>
        </is>
      </c>
      <c r="E299" t="inlineStr">
        <is>
          <t>CM-EMCEE-HOST</t>
        </is>
      </c>
      <c r="F299" t="inlineStr">
        <is>
          <t>Mumbai</t>
        </is>
      </c>
      <c r="G299" t="inlineStr">
        <is>
          <t>A</t>
        </is>
      </c>
      <c r="H299" t="inlineStr">
        <is>
          <t>P1</t>
        </is>
      </c>
      <c r="I299" t="inlineStr"/>
      <c r="J299" t="inlineStr">
        <is>
          <t>1:1 Instagram DM from Uepaki professional account</t>
        </is>
      </c>
      <c r="K299" t="inlineStr">
        <is>
          <t>https://www.instagram.com/anchor_ajaykarmani</t>
        </is>
      </c>
      <c r="L299" t="inlineStr">
        <is>
          <t>W2 Expansion</t>
        </is>
      </c>
      <c r="M299" t="inlineStr"/>
      <c r="N299" t="inlineStr"/>
      <c r="O299" s="10" t="inlineStr"/>
      <c r="P299" s="10" t="inlineStr"/>
      <c r="Q299" s="10" t="inlineStr"/>
      <c r="R299" s="10" t="inlineStr"/>
      <c r="S299" t="inlineStr"/>
      <c r="T299" s="10" t="inlineStr"/>
      <c r="U299" t="inlineStr"/>
      <c r="V299" s="10" t="inlineStr"/>
      <c r="W299" s="10" t="inlineStr"/>
      <c r="X299" s="10" t="inlineStr"/>
      <c r="Y299" s="10" t="inlineStr"/>
      <c r="Z299" s="10" t="inlineStr"/>
      <c r="AA299" s="10" t="inlineStr"/>
      <c r="AB299" t="inlineStr"/>
      <c r="AC299" s="10" t="inlineStr"/>
      <c r="AD299" t="inlineStr"/>
      <c r="AE299" t="inlineStr"/>
      <c r="AF299" s="10" t="inlineStr"/>
      <c r="AG299" t="inlineStr"/>
      <c r="AH299">
        <f>IF(AND(B299="",C299=""),"",IF(AND(X299&lt;&gt;"",Y299&lt;&gt;"",Z299&lt;&gt;"",AA299&lt;&gt;"",AB299="Y"),"YES","no"))</f>
        <v/>
      </c>
      <c r="AI299" s="10">
        <f>IF(AH299="YES",MAX(X299,Y299,Z299,AA299),"")</f>
        <v/>
      </c>
      <c r="AJ299">
        <f>IF(AND(B299="",C299=""),"",IF(OR(S299="Not interested",S299="Opt-out / do not contact"),"X Declined / suppressed",IF(S299="Bounced / undeliverable","X Bounced — research",IF(AC299&lt;&gt;"","13 Transacting",IF(AH299="YES","12 ACTIVATED",IF(Z299&lt;&gt;"","11 Listing live",IF(Y299&lt;&gt;"","10 Profile complete",IF(X299&lt;&gt;"","9 Approved",IF(W299&lt;&gt;"","8 KYC submitted",IF(V299&lt;&gt;"","7 Registered",IF(T299&lt;&gt;"","5 Interested",IF(R299&lt;&gt;"","4 Responded",IF(O299&lt;&gt;"","2 Contacted","1 Not yet contacted")))))))))))))</f>
        <v/>
      </c>
      <c r="AK299" s="10">
        <f>IF(AF299&lt;&gt;"",AF299,IF(OR(O299="",R299&lt;&gt;"",LEFT(AJ299,1)="X"),"",IF(Q299&lt;&gt;"","",IF(P299&lt;&gt;"",P299+SETTINGS!$B$4,O299+SETTINGS!$B$3))))</f>
        <v/>
      </c>
      <c r="AL299">
        <f>IF(AJ299="","",IF(LEFT(AJ299,1)="X","None — do not contact",IF(AJ299="1 Not yet contacted","Verify route today, then send M1",IF(AND(R299="",Q299&lt;&gt;""),"Sequence complete — no contact before "&amp;TEXT(Q299+SETTINGS!$B$5,"yyyy-mm-dd"),IF(AND(R299="",P299&lt;&gt;""),"Send final note (M4)",IF(R299="","Send follow-up (M2)",IF(AJ299="12 ACTIVATED","7-day check-in; consent &amp; referral soft ask",IF(AJ299="13 Transacting","Repeat-activity support","Onboarding: move to next stage (see playbook §6)"))))))))</f>
        <v/>
      </c>
      <c r="AM299">
        <f>IF(ISNUMBER(AK299),IF(AK299&lt;=TODAY(),"DUE",""),"")</f>
        <v/>
      </c>
      <c r="AN299">
        <f>IF(COUNT(O299,P299,Q299,R299,T299,V299,W299,X299,Y299,Z299,AA299,AC299)=0,"",TODAY()-MAX(O299,P299,Q299,R299,T299,V299,W299,X299,Y299,Z299,AA299,AC299))</f>
        <v/>
      </c>
      <c r="AO299">
        <f>IF(AJ299="","",IF(AND(T299&lt;&gt;"",U299&lt;&gt;"Active (verified)"),"GST: escalate (no tax advice)",IF(AND(IFERROR(VALUE(LEFT(AJ299,2)),0)&gt;=5,AH299&lt;&gt;"YES",ISNUMBER(AN299),AN299&gt;SETTINGS!$B$14),"STUCK in onboarding","")))</f>
        <v/>
      </c>
    </row>
    <row r="300">
      <c r="A300" t="n">
        <v>299</v>
      </c>
      <c r="B300" t="inlineStr">
        <is>
          <t>UPK2-CM-119</t>
        </is>
      </c>
      <c r="C300" t="inlineStr">
        <is>
          <t>Mr. Bakshi</t>
        </is>
      </c>
      <c r="D300" t="inlineStr">
        <is>
          <t>Content &amp; Media</t>
        </is>
      </c>
      <c r="E300" t="inlineStr">
        <is>
          <t>CM-EMCEE-HOST</t>
        </is>
      </c>
      <c r="F300" t="inlineStr">
        <is>
          <t>Mumbai</t>
        </is>
      </c>
      <c r="G300" t="inlineStr">
        <is>
          <t>A</t>
        </is>
      </c>
      <c r="H300" t="inlineStr">
        <is>
          <t>P1</t>
        </is>
      </c>
      <c r="I300" t="inlineStr"/>
      <c r="J300" t="inlineStr">
        <is>
          <t>1:1 Instagram DM from Uepaki professional account</t>
        </is>
      </c>
      <c r="K300" t="inlineStr">
        <is>
          <t>https://www.instagram.com/anchormrbakshi</t>
        </is>
      </c>
      <c r="L300" t="inlineStr">
        <is>
          <t>W2 Expansion</t>
        </is>
      </c>
      <c r="M300" t="inlineStr"/>
      <c r="N300" t="inlineStr"/>
      <c r="O300" s="10" t="inlineStr"/>
      <c r="P300" s="10" t="inlineStr"/>
      <c r="Q300" s="10" t="inlineStr"/>
      <c r="R300" s="10" t="inlineStr"/>
      <c r="S300" t="inlineStr"/>
      <c r="T300" s="10" t="inlineStr"/>
      <c r="U30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t="inlineStr"/>
      <c r="AC300" s="10" t="inlineStr"/>
      <c r="AD300" t="inlineStr"/>
      <c r="AE300" t="inlineStr"/>
      <c r="AF300" s="10" t="inlineStr"/>
      <c r="AG300" t="inlineStr"/>
      <c r="AH300">
        <f>IF(AND(B300="",C300=""),"",IF(AND(X300&lt;&gt;"",Y300&lt;&gt;"",Z300&lt;&gt;"",AA300&lt;&gt;"",AB300="Y"),"YES","no"))</f>
        <v/>
      </c>
      <c r="AI300" s="10">
        <f>IF(AH300="YES",MAX(X300,Y300,Z300,AA300),"")</f>
        <v/>
      </c>
      <c r="AJ300">
        <f>IF(AND(B300="",C300=""),"",IF(OR(S300="Not interested",S300="Opt-out / do not contact"),"X Declined / suppressed",IF(S300="Bounced / undeliverable","X Bounced — research",IF(AC300&lt;&gt;"","13 Transacting",IF(AH300="YES","12 ACTIVATED",IF(Z300&lt;&gt;"","11 Listing live",IF(Y300&lt;&gt;"","10 Profile complete",IF(X300&lt;&gt;"","9 Approved",IF(W300&lt;&gt;"","8 KYC submitted",IF(V300&lt;&gt;"","7 Registered",IF(T300&lt;&gt;"","5 Interested",IF(R300&lt;&gt;"","4 Responded",IF(O300&lt;&gt;"","2 Contacted","1 Not yet contacted")))))))))))))</f>
        <v/>
      </c>
      <c r="AK300" s="10">
        <f>IF(AF300&lt;&gt;"",AF300,IF(OR(O300="",R300&lt;&gt;"",LEFT(AJ300,1)="X"),"",IF(Q300&lt;&gt;"","",IF(P300&lt;&gt;"",P300+SETTINGS!$B$4,O300+SETTINGS!$B$3))))</f>
        <v/>
      </c>
      <c r="AL300">
        <f>IF(AJ300="","",IF(LEFT(AJ300,1)="X","None — do not contact",IF(AJ300="1 Not yet contacted","Verify route today, then send M1",IF(AND(R300="",Q300&lt;&gt;""),"Sequence complete — no contact before "&amp;TEXT(Q300+SETTINGS!$B$5,"yyyy-mm-dd"),IF(AND(R300="",P300&lt;&gt;""),"Send final note (M4)",IF(R300="","Send follow-up (M2)",IF(AJ300="12 ACTIVATED","7-day check-in; consent &amp; referral soft ask",IF(AJ300="13 Transacting","Repeat-activity support","Onboarding: move to next stage (see playbook §6)"))))))))</f>
        <v/>
      </c>
      <c r="AM300">
        <f>IF(ISNUMBER(AK300),IF(AK300&lt;=TODAY(),"DUE",""),"")</f>
        <v/>
      </c>
      <c r="AN300">
        <f>IF(COUNT(O300,P300,Q300,R300,T300,V300,W300,X300,Y300,Z300,AA300,AC300)=0,"",TODAY()-MAX(O300,P300,Q300,R300,T300,V300,W300,X300,Y300,Z300,AA300,AC300))</f>
        <v/>
      </c>
      <c r="AO300">
        <f>IF(AJ300="","",IF(AND(T300&lt;&gt;"",U300&lt;&gt;"Active (verified)"),"GST: escalate (no tax advice)",IF(AND(IFERROR(VALUE(LEFT(AJ300,2)),0)&gt;=5,AH300&lt;&gt;"YES",ISNUMBER(AN300),AN300&gt;SETTINGS!$B$14),"STUCK in onboarding","")))</f>
        <v/>
      </c>
    </row>
    <row r="301">
      <c r="A301" t="n">
        <v>300</v>
      </c>
      <c r="B301" t="inlineStr">
        <is>
          <t>UPK2-CM-116</t>
        </is>
      </c>
      <c r="C301" t="inlineStr">
        <is>
          <t>Aman Maheshwari</t>
        </is>
      </c>
      <c r="D301" t="inlineStr">
        <is>
          <t>Content &amp; Media</t>
        </is>
      </c>
      <c r="E301" t="inlineStr">
        <is>
          <t>CM-EMCEE-HOST</t>
        </is>
      </c>
      <c r="F301" t="inlineStr">
        <is>
          <t>Jaipur</t>
        </is>
      </c>
      <c r="G301" t="inlineStr">
        <is>
          <t>A</t>
        </is>
      </c>
      <c r="H301" t="inlineStr">
        <is>
          <t>P1</t>
        </is>
      </c>
      <c r="I301" t="inlineStr"/>
      <c r="J301" t="inlineStr">
        <is>
          <t>1:1 Instagram DM from Uepaki professional account</t>
        </is>
      </c>
      <c r="K301" t="inlineStr">
        <is>
          <t>https://www.instagram.com/aman_maheshwari06</t>
        </is>
      </c>
      <c r="L301" t="inlineStr">
        <is>
          <t>W2 Expansion</t>
        </is>
      </c>
      <c r="M301" t="inlineStr"/>
      <c r="N301" t="inlineStr"/>
      <c r="O301" s="10" t="inlineStr"/>
      <c r="P301" s="10" t="inlineStr"/>
      <c r="Q301" s="10" t="inlineStr"/>
      <c r="R301" s="10" t="inlineStr"/>
      <c r="S301" t="inlineStr"/>
      <c r="T301" s="10" t="inlineStr"/>
      <c r="U301" t="inlineStr"/>
      <c r="V301" s="10" t="inlineStr"/>
      <c r="W301" s="10" t="inlineStr"/>
      <c r="X301" s="10" t="inlineStr"/>
      <c r="Y301" s="10" t="inlineStr"/>
      <c r="Z301" s="10" t="inlineStr"/>
      <c r="AA301" s="10" t="inlineStr"/>
      <c r="AB301" t="inlineStr"/>
      <c r="AC301" s="10" t="inlineStr"/>
      <c r="AD301" t="inlineStr"/>
      <c r="AE301" t="inlineStr"/>
      <c r="AF301" s="10" t="inlineStr"/>
      <c r="AG301" t="inlineStr"/>
      <c r="AH301">
        <f>IF(AND(B301="",C301=""),"",IF(AND(X301&lt;&gt;"",Y301&lt;&gt;"",Z301&lt;&gt;"",AA301&lt;&gt;"",AB301="Y"),"YES","no"))</f>
        <v/>
      </c>
      <c r="AI301" s="10">
        <f>IF(AH301="YES",MAX(X301,Y301,Z301,AA301),"")</f>
        <v/>
      </c>
      <c r="AJ301">
        <f>IF(AND(B301="",C301=""),"",IF(OR(S301="Not interested",S301="Opt-out / do not contact"),"X Declined / suppressed",IF(S301="Bounced / undeliverable","X Bounced — research",IF(AC301&lt;&gt;"","13 Transacting",IF(AH301="YES","12 ACTIVATED",IF(Z301&lt;&gt;"","11 Listing live",IF(Y301&lt;&gt;"","10 Profile complete",IF(X301&lt;&gt;"","9 Approved",IF(W301&lt;&gt;"","8 KYC submitted",IF(V301&lt;&gt;"","7 Registered",IF(T301&lt;&gt;"","5 Interested",IF(R301&lt;&gt;"","4 Responded",IF(O301&lt;&gt;"","2 Contacted","1 Not yet contacted")))))))))))))</f>
        <v/>
      </c>
      <c r="AK301" s="10">
        <f>IF(AF301&lt;&gt;"",AF301,IF(OR(O301="",R301&lt;&gt;"",LEFT(AJ301,1)="X"),"",IF(Q301&lt;&gt;"","",IF(P301&lt;&gt;"",P301+SETTINGS!$B$4,O301+SETTINGS!$B$3))))</f>
        <v/>
      </c>
      <c r="AL301">
        <f>IF(AJ301="","",IF(LEFT(AJ301,1)="X","None — do not contact",IF(AJ301="1 Not yet contacted","Verify route today, then send M1",IF(AND(R301="",Q301&lt;&gt;""),"Sequence complete — no contact before "&amp;TEXT(Q301+SETTINGS!$B$5,"yyyy-mm-dd"),IF(AND(R301="",P301&lt;&gt;""),"Send final note (M4)",IF(R301="","Send follow-up (M2)",IF(AJ301="12 ACTIVATED","7-day check-in; consent &amp; referral soft ask",IF(AJ301="13 Transacting","Repeat-activity support","Onboarding: move to next stage (see playbook §6)"))))))))</f>
        <v/>
      </c>
      <c r="AM301">
        <f>IF(ISNUMBER(AK301),IF(AK301&lt;=TODAY(),"DUE",""),"")</f>
        <v/>
      </c>
      <c r="AN301">
        <f>IF(COUNT(O301,P301,Q301,R301,T301,V301,W301,X301,Y301,Z301,AA301,AC301)=0,"",TODAY()-MAX(O301,P301,Q301,R301,T301,V301,W301,X301,Y301,Z301,AA301,AC301))</f>
        <v/>
      </c>
      <c r="AO301">
        <f>IF(AJ301="","",IF(AND(T301&lt;&gt;"",U301&lt;&gt;"Active (verified)"),"GST: escalate (no tax advice)",IF(AND(IFERROR(VALUE(LEFT(AJ301,2)),0)&gt;=5,AH301&lt;&gt;"YES",ISNUMBER(AN301),AN301&gt;SETTINGS!$B$14),"STUCK in onboarding","")))</f>
        <v/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s="10" t="inlineStr"/>
      <c r="P302" s="10" t="inlineStr"/>
      <c r="Q302" s="10" t="inlineStr"/>
      <c r="R302" s="10" t="inlineStr"/>
      <c r="S302" t="inlineStr"/>
      <c r="T302" s="10" t="inlineStr"/>
      <c r="U302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t="inlineStr"/>
      <c r="AC302" s="10" t="inlineStr"/>
      <c r="AD302" t="inlineStr"/>
      <c r="AE302" t="inlineStr"/>
      <c r="AF302" s="10" t="inlineStr"/>
      <c r="AG302" t="inlineStr"/>
      <c r="AH302">
        <f>IF(AND(B302="",C302=""),"",IF(AND(X302&lt;&gt;"",Y302&lt;&gt;"",Z302&lt;&gt;"",AA302&lt;&gt;"",AB302="Y"),"YES","no"))</f>
        <v/>
      </c>
      <c r="AI302" s="10">
        <f>IF(AH302="YES",MAX(X302,Y302,Z302,AA302),"")</f>
        <v/>
      </c>
      <c r="AJ302">
        <f>IF(AND(B302="",C302=""),"",IF(OR(S302="Not interested",S302="Opt-out / do not contact"),"X Declined / suppressed",IF(S302="Bounced / undeliverable","X Bounced — research",IF(AC302&lt;&gt;"","13 Transacting",IF(AH302="YES","12 ACTIVATED",IF(Z302&lt;&gt;"","11 Listing live",IF(Y302&lt;&gt;"","10 Profile complete",IF(X302&lt;&gt;"","9 Approved",IF(W302&lt;&gt;"","8 KYC submitted",IF(V302&lt;&gt;"","7 Registered",IF(T302&lt;&gt;"","5 Interested",IF(R302&lt;&gt;"","4 Responded",IF(O302&lt;&gt;"","2 Contacted","1 Not yet contacted")))))))))))))</f>
        <v/>
      </c>
      <c r="AK302" s="10">
        <f>IF(AF302&lt;&gt;"",AF302,IF(OR(O302="",R302&lt;&gt;"",LEFT(AJ302,1)="X"),"",IF(Q302&lt;&gt;"","",IF(P302&lt;&gt;"",P302+SETTINGS!$B$4,O302+SETTINGS!$B$3))))</f>
        <v/>
      </c>
      <c r="AL302">
        <f>IF(AJ302="","",IF(LEFT(AJ302,1)="X","None — do not contact",IF(AJ302="1 Not yet contacted","Verify route today, then send M1",IF(AND(R302="",Q302&lt;&gt;""),"Sequence complete — no contact before "&amp;TEXT(Q302+SETTINGS!$B$5,"yyyy-mm-dd"),IF(AND(R302="",P302&lt;&gt;""),"Send final note (M4)",IF(R302="","Send follow-up (M2)",IF(AJ302="12 ACTIVATED","7-day check-in; consent &amp; referral soft ask",IF(AJ302="13 Transacting","Repeat-activity support","Onboarding: move to next stage (see playbook §6)"))))))))</f>
        <v/>
      </c>
      <c r="AM302">
        <f>IF(ISNUMBER(AK302),IF(AK302&lt;=TODAY(),"DUE",""),"")</f>
        <v/>
      </c>
      <c r="AN302">
        <f>IF(COUNT(O302,P302,Q302,R302,T302,V302,W302,X302,Y302,Z302,AA302,AC302)=0,"",TODAY()-MAX(O302,P302,Q302,R302,T302,V302,W302,X302,Y302,Z302,AA302,AC302))</f>
        <v/>
      </c>
      <c r="AO302">
        <f>IF(AJ302="","",IF(AND(T302&lt;&gt;"",U302&lt;&gt;"Active (verified)"),"GST: escalate (no tax advice)",IF(AND(IFERROR(VALUE(LEFT(AJ302,2)),0)&gt;=5,AH302&lt;&gt;"YES",ISNUMBER(AN302),AN302&gt;SETTINGS!$B$14),"STUCK in onboarding","")))</f>
        <v/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s="10" t="inlineStr"/>
      <c r="P303" s="10" t="inlineStr"/>
      <c r="Q303" s="10" t="inlineStr"/>
      <c r="R303" s="10" t="inlineStr"/>
      <c r="S303" t="inlineStr"/>
      <c r="T303" s="10" t="inlineStr"/>
      <c r="U303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t="inlineStr"/>
      <c r="AC303" s="10" t="inlineStr"/>
      <c r="AD303" t="inlineStr"/>
      <c r="AE303" t="inlineStr"/>
      <c r="AF303" s="10" t="inlineStr"/>
      <c r="AG303" t="inlineStr"/>
      <c r="AH303">
        <f>IF(AND(B303="",C303=""),"",IF(AND(X303&lt;&gt;"",Y303&lt;&gt;"",Z303&lt;&gt;"",AA303&lt;&gt;"",AB303="Y"),"YES","no"))</f>
        <v/>
      </c>
      <c r="AI303" s="10">
        <f>IF(AH303="YES",MAX(X303,Y303,Z303,AA303),"")</f>
        <v/>
      </c>
      <c r="AJ303">
        <f>IF(AND(B303="",C303=""),"",IF(OR(S303="Not interested",S303="Opt-out / do not contact"),"X Declined / suppressed",IF(S303="Bounced / undeliverable","X Bounced — research",IF(AC303&lt;&gt;"","13 Transacting",IF(AH303="YES","12 ACTIVATED",IF(Z303&lt;&gt;"","11 Listing live",IF(Y303&lt;&gt;"","10 Profile complete",IF(X303&lt;&gt;"","9 Approved",IF(W303&lt;&gt;"","8 KYC submitted",IF(V303&lt;&gt;"","7 Registered",IF(T303&lt;&gt;"","5 Interested",IF(R303&lt;&gt;"","4 Responded",IF(O303&lt;&gt;"","2 Contacted","1 Not yet contacted")))))))))))))</f>
        <v/>
      </c>
      <c r="AK303" s="10">
        <f>IF(AF303&lt;&gt;"",AF303,IF(OR(O303="",R303&lt;&gt;"",LEFT(AJ303,1)="X"),"",IF(Q303&lt;&gt;"","",IF(P303&lt;&gt;"",P303+SETTINGS!$B$4,O303+SETTINGS!$B$3))))</f>
        <v/>
      </c>
      <c r="AL303">
        <f>IF(AJ303="","",IF(LEFT(AJ303,1)="X","None — do not contact",IF(AJ303="1 Not yet contacted","Verify route today, then send M1",IF(AND(R303="",Q303&lt;&gt;""),"Sequence complete — no contact before "&amp;TEXT(Q303+SETTINGS!$B$5,"yyyy-mm-dd"),IF(AND(R303="",P303&lt;&gt;""),"Send final note (M4)",IF(R303="","Send follow-up (M2)",IF(AJ303="12 ACTIVATED","7-day check-in; consent &amp; referral soft ask",IF(AJ303="13 Transacting","Repeat-activity support","Onboarding: move to next stage (see playbook §6)"))))))))</f>
        <v/>
      </c>
      <c r="AM303">
        <f>IF(ISNUMBER(AK303),IF(AK303&lt;=TODAY(),"DUE",""),"")</f>
        <v/>
      </c>
      <c r="AN303">
        <f>IF(COUNT(O303,P303,Q303,R303,T303,V303,W303,X303,Y303,Z303,AA303,AC303)=0,"",TODAY()-MAX(O303,P303,Q303,R303,T303,V303,W303,X303,Y303,Z303,AA303,AC303))</f>
        <v/>
      </c>
      <c r="AO303">
        <f>IF(AJ303="","",IF(AND(T303&lt;&gt;"",U303&lt;&gt;"Active (verified)"),"GST: escalate (no tax advice)",IF(AND(IFERROR(VALUE(LEFT(AJ303,2)),0)&gt;=5,AH303&lt;&gt;"YES",ISNUMBER(AN303),AN303&gt;SETTINGS!$B$14),"STUCK in onboarding","")))</f>
        <v/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s="10" t="inlineStr"/>
      <c r="P304" s="10" t="inlineStr"/>
      <c r="Q304" s="10" t="inlineStr"/>
      <c r="R304" s="10" t="inlineStr"/>
      <c r="S304" t="inlineStr"/>
      <c r="T304" s="10" t="inlineStr"/>
      <c r="U304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t="inlineStr"/>
      <c r="AC304" s="10" t="inlineStr"/>
      <c r="AD304" t="inlineStr"/>
      <c r="AE304" t="inlineStr"/>
      <c r="AF304" s="10" t="inlineStr"/>
      <c r="AG304" t="inlineStr"/>
      <c r="AH304">
        <f>IF(AND(B304="",C304=""),"",IF(AND(X304&lt;&gt;"",Y304&lt;&gt;"",Z304&lt;&gt;"",AA304&lt;&gt;"",AB304="Y"),"YES","no"))</f>
        <v/>
      </c>
      <c r="AI304" s="10">
        <f>IF(AH304="YES",MAX(X304,Y304,Z304,AA304),"")</f>
        <v/>
      </c>
      <c r="AJ304">
        <f>IF(AND(B304="",C304=""),"",IF(OR(S304="Not interested",S304="Opt-out / do not contact"),"X Declined / suppressed",IF(S304="Bounced / undeliverable","X Bounced — research",IF(AC304&lt;&gt;"","13 Transacting",IF(AH304="YES","12 ACTIVATED",IF(Z304&lt;&gt;"","11 Listing live",IF(Y304&lt;&gt;"","10 Profile complete",IF(X304&lt;&gt;"","9 Approved",IF(W304&lt;&gt;"","8 KYC submitted",IF(V304&lt;&gt;"","7 Registered",IF(T304&lt;&gt;"","5 Interested",IF(R304&lt;&gt;"","4 Responded",IF(O304&lt;&gt;"","2 Contacted","1 Not yet contacted")))))))))))))</f>
        <v/>
      </c>
      <c r="AK304" s="10">
        <f>IF(AF304&lt;&gt;"",AF304,IF(OR(O304="",R304&lt;&gt;"",LEFT(AJ304,1)="X"),"",IF(Q304&lt;&gt;"","",IF(P304&lt;&gt;"",P304+SETTINGS!$B$4,O304+SETTINGS!$B$3))))</f>
        <v/>
      </c>
      <c r="AL304">
        <f>IF(AJ304="","",IF(LEFT(AJ304,1)="X","None — do not contact",IF(AJ304="1 Not yet contacted","Verify route today, then send M1",IF(AND(R304="",Q304&lt;&gt;""),"Sequence complete — no contact before "&amp;TEXT(Q304+SETTINGS!$B$5,"yyyy-mm-dd"),IF(AND(R304="",P304&lt;&gt;""),"Send final note (M4)",IF(R304="","Send follow-up (M2)",IF(AJ304="12 ACTIVATED","7-day check-in; consent &amp; referral soft ask",IF(AJ304="13 Transacting","Repeat-activity support","Onboarding: move to next stage (see playbook §6)"))))))))</f>
        <v/>
      </c>
      <c r="AM304">
        <f>IF(ISNUMBER(AK304),IF(AK304&lt;=TODAY(),"DUE",""),"")</f>
        <v/>
      </c>
      <c r="AN304">
        <f>IF(COUNT(O304,P304,Q304,R304,T304,V304,W304,X304,Y304,Z304,AA304,AC304)=0,"",TODAY()-MAX(O304,P304,Q304,R304,T304,V304,W304,X304,Y304,Z304,AA304,AC304))</f>
        <v/>
      </c>
      <c r="AO304">
        <f>IF(AJ304="","",IF(AND(T304&lt;&gt;"",U304&lt;&gt;"Active (verified)"),"GST: escalate (no tax advice)",IF(AND(IFERROR(VALUE(LEFT(AJ304,2)),0)&gt;=5,AH304&lt;&gt;"YES",ISNUMBER(AN304),AN304&gt;SETTINGS!$B$14),"STUCK in onboarding","")))</f>
        <v/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s="10" t="inlineStr"/>
      <c r="P305" s="10" t="inlineStr"/>
      <c r="Q305" s="10" t="inlineStr"/>
      <c r="R305" s="10" t="inlineStr"/>
      <c r="S305" t="inlineStr"/>
      <c r="T305" s="10" t="inlineStr"/>
      <c r="U305" t="inlineStr"/>
      <c r="V305" s="10" t="inlineStr"/>
      <c r="W305" s="10" t="inlineStr"/>
      <c r="X305" s="10" t="inlineStr"/>
      <c r="Y305" s="10" t="inlineStr"/>
      <c r="Z305" s="10" t="inlineStr"/>
      <c r="AA305" s="10" t="inlineStr"/>
      <c r="AB305" t="inlineStr"/>
      <c r="AC305" s="10" t="inlineStr"/>
      <c r="AD305" t="inlineStr"/>
      <c r="AE305" t="inlineStr"/>
      <c r="AF305" s="10" t="inlineStr"/>
      <c r="AG305" t="inlineStr"/>
      <c r="AH305">
        <f>IF(AND(B305="",C305=""),"",IF(AND(X305&lt;&gt;"",Y305&lt;&gt;"",Z305&lt;&gt;"",AA305&lt;&gt;"",AB305="Y"),"YES","no"))</f>
        <v/>
      </c>
      <c r="AI305" s="10">
        <f>IF(AH305="YES",MAX(X305,Y305,Z305,AA305),"")</f>
        <v/>
      </c>
      <c r="AJ305">
        <f>IF(AND(B305="",C305=""),"",IF(OR(S305="Not interested",S305="Opt-out / do not contact"),"X Declined / suppressed",IF(S305="Bounced / undeliverable","X Bounced — research",IF(AC305&lt;&gt;"","13 Transacting",IF(AH305="YES","12 ACTIVATED",IF(Z305&lt;&gt;"","11 Listing live",IF(Y305&lt;&gt;"","10 Profile complete",IF(X305&lt;&gt;"","9 Approved",IF(W305&lt;&gt;"","8 KYC submitted",IF(V305&lt;&gt;"","7 Registered",IF(T305&lt;&gt;"","5 Interested",IF(R305&lt;&gt;"","4 Responded",IF(O305&lt;&gt;"","2 Contacted","1 Not yet contacted")))))))))))))</f>
        <v/>
      </c>
      <c r="AK305" s="10">
        <f>IF(AF305&lt;&gt;"",AF305,IF(OR(O305="",R305&lt;&gt;"",LEFT(AJ305,1)="X"),"",IF(Q305&lt;&gt;"","",IF(P305&lt;&gt;"",P305+SETTINGS!$B$4,O305+SETTINGS!$B$3))))</f>
        <v/>
      </c>
      <c r="AL305">
        <f>IF(AJ305="","",IF(LEFT(AJ305,1)="X","None — do not contact",IF(AJ305="1 Not yet contacted","Verify route today, then send M1",IF(AND(R305="",Q305&lt;&gt;""),"Sequence complete — no contact before "&amp;TEXT(Q305+SETTINGS!$B$5,"yyyy-mm-dd"),IF(AND(R305="",P305&lt;&gt;""),"Send final note (M4)",IF(R305="","Send follow-up (M2)",IF(AJ305="12 ACTIVATED","7-day check-in; consent &amp; referral soft ask",IF(AJ305="13 Transacting","Repeat-activity support","Onboarding: move to next stage (see playbook §6)"))))))))</f>
        <v/>
      </c>
      <c r="AM305">
        <f>IF(ISNUMBER(AK305),IF(AK305&lt;=TODAY(),"DUE",""),"")</f>
        <v/>
      </c>
      <c r="AN305">
        <f>IF(COUNT(O305,P305,Q305,R305,T305,V305,W305,X305,Y305,Z305,AA305,AC305)=0,"",TODAY()-MAX(O305,P305,Q305,R305,T305,V305,W305,X305,Y305,Z305,AA305,AC305))</f>
        <v/>
      </c>
      <c r="AO305">
        <f>IF(AJ305="","",IF(AND(T305&lt;&gt;"",U305&lt;&gt;"Active (verified)"),"GST: escalate (no tax advice)",IF(AND(IFERROR(VALUE(LEFT(AJ305,2)),0)&gt;=5,AH305&lt;&gt;"YES",ISNUMBER(AN305),AN305&gt;SETTINGS!$B$14),"STUCK in onboarding","")))</f>
        <v/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s="10" t="inlineStr"/>
      <c r="P306" s="10" t="inlineStr"/>
      <c r="Q306" s="10" t="inlineStr"/>
      <c r="R306" s="10" t="inlineStr"/>
      <c r="S306" t="inlineStr"/>
      <c r="T306" s="10" t="inlineStr"/>
      <c r="U306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t="inlineStr"/>
      <c r="AC306" s="10" t="inlineStr"/>
      <c r="AD306" t="inlineStr"/>
      <c r="AE306" t="inlineStr"/>
      <c r="AF306" s="10" t="inlineStr"/>
      <c r="AG306" t="inlineStr"/>
      <c r="AH306">
        <f>IF(AND(B306="",C306=""),"",IF(AND(X306&lt;&gt;"",Y306&lt;&gt;"",Z306&lt;&gt;"",AA306&lt;&gt;"",AB306="Y"),"YES","no"))</f>
        <v/>
      </c>
      <c r="AI306" s="10">
        <f>IF(AH306="YES",MAX(X306,Y306,Z306,AA306),"")</f>
        <v/>
      </c>
      <c r="AJ306">
        <f>IF(AND(B306="",C306=""),"",IF(OR(S306="Not interested",S306="Opt-out / do not contact"),"X Declined / suppressed",IF(S306="Bounced / undeliverable","X Bounced — research",IF(AC306&lt;&gt;"","13 Transacting",IF(AH306="YES","12 ACTIVATED",IF(Z306&lt;&gt;"","11 Listing live",IF(Y306&lt;&gt;"","10 Profile complete",IF(X306&lt;&gt;"","9 Approved",IF(W306&lt;&gt;"","8 KYC submitted",IF(V306&lt;&gt;"","7 Registered",IF(T306&lt;&gt;"","5 Interested",IF(R306&lt;&gt;"","4 Responded",IF(O306&lt;&gt;"","2 Contacted","1 Not yet contacted")))))))))))))</f>
        <v/>
      </c>
      <c r="AK306" s="10">
        <f>IF(AF306&lt;&gt;"",AF306,IF(OR(O306="",R306&lt;&gt;"",LEFT(AJ306,1)="X"),"",IF(Q306&lt;&gt;"","",IF(P306&lt;&gt;"",P306+SETTINGS!$B$4,O306+SETTINGS!$B$3))))</f>
        <v/>
      </c>
      <c r="AL306">
        <f>IF(AJ306="","",IF(LEFT(AJ306,1)="X","None — do not contact",IF(AJ306="1 Not yet contacted","Verify route today, then send M1",IF(AND(R306="",Q306&lt;&gt;""),"Sequence complete — no contact before "&amp;TEXT(Q306+SETTINGS!$B$5,"yyyy-mm-dd"),IF(AND(R306="",P306&lt;&gt;""),"Send final note (M4)",IF(R306="","Send follow-up (M2)",IF(AJ306="12 ACTIVATED","7-day check-in; consent &amp; referral soft ask",IF(AJ306="13 Transacting","Repeat-activity support","Onboarding: move to next stage (see playbook §6)"))))))))</f>
        <v/>
      </c>
      <c r="AM306">
        <f>IF(ISNUMBER(AK306),IF(AK306&lt;=TODAY(),"DUE",""),"")</f>
        <v/>
      </c>
      <c r="AN306">
        <f>IF(COUNT(O306,P306,Q306,R306,T306,V306,W306,X306,Y306,Z306,AA306,AC306)=0,"",TODAY()-MAX(O306,P306,Q306,R306,T306,V306,W306,X306,Y306,Z306,AA306,AC306))</f>
        <v/>
      </c>
      <c r="AO306">
        <f>IF(AJ306="","",IF(AND(T306&lt;&gt;"",U306&lt;&gt;"Active (verified)"),"GST: escalate (no tax advice)",IF(AND(IFERROR(VALUE(LEFT(AJ306,2)),0)&gt;=5,AH306&lt;&gt;"YES",ISNUMBER(AN306),AN306&gt;SETTINGS!$B$14),"STUCK in onboarding","")))</f>
        <v/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s="10" t="inlineStr"/>
      <c r="P307" s="10" t="inlineStr"/>
      <c r="Q307" s="10" t="inlineStr"/>
      <c r="R307" s="10" t="inlineStr"/>
      <c r="S307" t="inlineStr"/>
      <c r="T307" s="10" t="inlineStr"/>
      <c r="U307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t="inlineStr"/>
      <c r="AC307" s="10" t="inlineStr"/>
      <c r="AD307" t="inlineStr"/>
      <c r="AE307" t="inlineStr"/>
      <c r="AF307" s="10" t="inlineStr"/>
      <c r="AG307" t="inlineStr"/>
      <c r="AH307">
        <f>IF(AND(B307="",C307=""),"",IF(AND(X307&lt;&gt;"",Y307&lt;&gt;"",Z307&lt;&gt;"",AA307&lt;&gt;"",AB307="Y"),"YES","no"))</f>
        <v/>
      </c>
      <c r="AI307" s="10">
        <f>IF(AH307="YES",MAX(X307,Y307,Z307,AA307),"")</f>
        <v/>
      </c>
      <c r="AJ307">
        <f>IF(AND(B307="",C307=""),"",IF(OR(S307="Not interested",S307="Opt-out / do not contact"),"X Declined / suppressed",IF(S307="Bounced / undeliverable","X Bounced — research",IF(AC307&lt;&gt;"","13 Transacting",IF(AH307="YES","12 ACTIVATED",IF(Z307&lt;&gt;"","11 Listing live",IF(Y307&lt;&gt;"","10 Profile complete",IF(X307&lt;&gt;"","9 Approved",IF(W307&lt;&gt;"","8 KYC submitted",IF(V307&lt;&gt;"","7 Registered",IF(T307&lt;&gt;"","5 Interested",IF(R307&lt;&gt;"","4 Responded",IF(O307&lt;&gt;"","2 Contacted","1 Not yet contacted")))))))))))))</f>
        <v/>
      </c>
      <c r="AK307" s="10">
        <f>IF(AF307&lt;&gt;"",AF307,IF(OR(O307="",R307&lt;&gt;"",LEFT(AJ307,1)="X"),"",IF(Q307&lt;&gt;"","",IF(P307&lt;&gt;"",P307+SETTINGS!$B$4,O307+SETTINGS!$B$3))))</f>
        <v/>
      </c>
      <c r="AL307">
        <f>IF(AJ307="","",IF(LEFT(AJ307,1)="X","None — do not contact",IF(AJ307="1 Not yet contacted","Verify route today, then send M1",IF(AND(R307="",Q307&lt;&gt;""),"Sequence complete — no contact before "&amp;TEXT(Q307+SETTINGS!$B$5,"yyyy-mm-dd"),IF(AND(R307="",P307&lt;&gt;""),"Send final note (M4)",IF(R307="","Send follow-up (M2)",IF(AJ307="12 ACTIVATED","7-day check-in; consent &amp; referral soft ask",IF(AJ307="13 Transacting","Repeat-activity support","Onboarding: move to next stage (see playbook §6)"))))))))</f>
        <v/>
      </c>
      <c r="AM307">
        <f>IF(ISNUMBER(AK307),IF(AK307&lt;=TODAY(),"DUE",""),"")</f>
        <v/>
      </c>
      <c r="AN307">
        <f>IF(COUNT(O307,P307,Q307,R307,T307,V307,W307,X307,Y307,Z307,AA307,AC307)=0,"",TODAY()-MAX(O307,P307,Q307,R307,T307,V307,W307,X307,Y307,Z307,AA307,AC307))</f>
        <v/>
      </c>
      <c r="AO307">
        <f>IF(AJ307="","",IF(AND(T307&lt;&gt;"",U307&lt;&gt;"Active (verified)"),"GST: escalate (no tax advice)",IF(AND(IFERROR(VALUE(LEFT(AJ307,2)),0)&gt;=5,AH307&lt;&gt;"YES",ISNUMBER(AN307),AN307&gt;SETTINGS!$B$14),"STUCK in onboarding","")))</f>
        <v/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s="10" t="inlineStr"/>
      <c r="P308" s="10" t="inlineStr"/>
      <c r="Q308" s="10" t="inlineStr"/>
      <c r="R308" s="10" t="inlineStr"/>
      <c r="S308" t="inlineStr"/>
      <c r="T308" s="10" t="inlineStr"/>
      <c r="U308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t="inlineStr"/>
      <c r="AC308" s="10" t="inlineStr"/>
      <c r="AD308" t="inlineStr"/>
      <c r="AE308" t="inlineStr"/>
      <c r="AF308" s="10" t="inlineStr"/>
      <c r="AG308" t="inlineStr"/>
      <c r="AH308">
        <f>IF(AND(B308="",C308=""),"",IF(AND(X308&lt;&gt;"",Y308&lt;&gt;"",Z308&lt;&gt;"",AA308&lt;&gt;"",AB308="Y"),"YES","no"))</f>
        <v/>
      </c>
      <c r="AI308" s="10">
        <f>IF(AH308="YES",MAX(X308,Y308,Z308,AA308),"")</f>
        <v/>
      </c>
      <c r="AJ308">
        <f>IF(AND(B308="",C308=""),"",IF(OR(S308="Not interested",S308="Opt-out / do not contact"),"X Declined / suppressed",IF(S308="Bounced / undeliverable","X Bounced — research",IF(AC308&lt;&gt;"","13 Transacting",IF(AH308="YES","12 ACTIVATED",IF(Z308&lt;&gt;"","11 Listing live",IF(Y308&lt;&gt;"","10 Profile complete",IF(X308&lt;&gt;"","9 Approved",IF(W308&lt;&gt;"","8 KYC submitted",IF(V308&lt;&gt;"","7 Registered",IF(T308&lt;&gt;"","5 Interested",IF(R308&lt;&gt;"","4 Responded",IF(O308&lt;&gt;"","2 Contacted","1 Not yet contacted")))))))))))))</f>
        <v/>
      </c>
      <c r="AK308" s="10">
        <f>IF(AF308&lt;&gt;"",AF308,IF(OR(O308="",R308&lt;&gt;"",LEFT(AJ308,1)="X"),"",IF(Q308&lt;&gt;"","",IF(P308&lt;&gt;"",P308+SETTINGS!$B$4,O308+SETTINGS!$B$3))))</f>
        <v/>
      </c>
      <c r="AL308">
        <f>IF(AJ308="","",IF(LEFT(AJ308,1)="X","None — do not contact",IF(AJ308="1 Not yet contacted","Verify route today, then send M1",IF(AND(R308="",Q308&lt;&gt;""),"Sequence complete — no contact before "&amp;TEXT(Q308+SETTINGS!$B$5,"yyyy-mm-dd"),IF(AND(R308="",P308&lt;&gt;""),"Send final note (M4)",IF(R308="","Send follow-up (M2)",IF(AJ308="12 ACTIVATED","7-day check-in; consent &amp; referral soft ask",IF(AJ308="13 Transacting","Repeat-activity support","Onboarding: move to next stage (see playbook §6)"))))))))</f>
        <v/>
      </c>
      <c r="AM308">
        <f>IF(ISNUMBER(AK308),IF(AK308&lt;=TODAY(),"DUE",""),"")</f>
        <v/>
      </c>
      <c r="AN308">
        <f>IF(COUNT(O308,P308,Q308,R308,T308,V308,W308,X308,Y308,Z308,AA308,AC308)=0,"",TODAY()-MAX(O308,P308,Q308,R308,T308,V308,W308,X308,Y308,Z308,AA308,AC308))</f>
        <v/>
      </c>
      <c r="AO308">
        <f>IF(AJ308="","",IF(AND(T308&lt;&gt;"",U308&lt;&gt;"Active (verified)"),"GST: escalate (no tax advice)",IF(AND(IFERROR(VALUE(LEFT(AJ308,2)),0)&gt;=5,AH308&lt;&gt;"YES",ISNUMBER(AN308),AN308&gt;SETTINGS!$B$14),"STUCK in onboarding","")))</f>
        <v/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s="10" t="inlineStr"/>
      <c r="P309" s="10" t="inlineStr"/>
      <c r="Q309" s="10" t="inlineStr"/>
      <c r="R309" s="10" t="inlineStr"/>
      <c r="S309" t="inlineStr"/>
      <c r="T309" s="10" t="inlineStr"/>
      <c r="U309" t="inlineStr"/>
      <c r="V309" s="10" t="inlineStr"/>
      <c r="W309" s="10" t="inlineStr"/>
      <c r="X309" s="10" t="inlineStr"/>
      <c r="Y309" s="10" t="inlineStr"/>
      <c r="Z309" s="10" t="inlineStr"/>
      <c r="AA309" s="10" t="inlineStr"/>
      <c r="AB309" t="inlineStr"/>
      <c r="AC309" s="10" t="inlineStr"/>
      <c r="AD309" t="inlineStr"/>
      <c r="AE309" t="inlineStr"/>
      <c r="AF309" s="10" t="inlineStr"/>
      <c r="AG309" t="inlineStr"/>
      <c r="AH309">
        <f>IF(AND(B309="",C309=""),"",IF(AND(X309&lt;&gt;"",Y309&lt;&gt;"",Z309&lt;&gt;"",AA309&lt;&gt;"",AB309="Y"),"YES","no"))</f>
        <v/>
      </c>
      <c r="AI309" s="10">
        <f>IF(AH309="YES",MAX(X309,Y309,Z309,AA309),"")</f>
        <v/>
      </c>
      <c r="AJ309">
        <f>IF(AND(B309="",C309=""),"",IF(OR(S309="Not interested",S309="Opt-out / do not contact"),"X Declined / suppressed",IF(S309="Bounced / undeliverable","X Bounced — research",IF(AC309&lt;&gt;"","13 Transacting",IF(AH309="YES","12 ACTIVATED",IF(Z309&lt;&gt;"","11 Listing live",IF(Y309&lt;&gt;"","10 Profile complete",IF(X309&lt;&gt;"","9 Approved",IF(W309&lt;&gt;"","8 KYC submitted",IF(V309&lt;&gt;"","7 Registered",IF(T309&lt;&gt;"","5 Interested",IF(R309&lt;&gt;"","4 Responded",IF(O309&lt;&gt;"","2 Contacted","1 Not yet contacted")))))))))))))</f>
        <v/>
      </c>
      <c r="AK309" s="10">
        <f>IF(AF309&lt;&gt;"",AF309,IF(OR(O309="",R309&lt;&gt;"",LEFT(AJ309,1)="X"),"",IF(Q309&lt;&gt;"","",IF(P309&lt;&gt;"",P309+SETTINGS!$B$4,O309+SETTINGS!$B$3))))</f>
        <v/>
      </c>
      <c r="AL309">
        <f>IF(AJ309="","",IF(LEFT(AJ309,1)="X","None — do not contact",IF(AJ309="1 Not yet contacted","Verify route today, then send M1",IF(AND(R309="",Q309&lt;&gt;""),"Sequence complete — no contact before "&amp;TEXT(Q309+SETTINGS!$B$5,"yyyy-mm-dd"),IF(AND(R309="",P309&lt;&gt;""),"Send final note (M4)",IF(R309="","Send follow-up (M2)",IF(AJ309="12 ACTIVATED","7-day check-in; consent &amp; referral soft ask",IF(AJ309="13 Transacting","Repeat-activity support","Onboarding: move to next stage (see playbook §6)"))))))))</f>
        <v/>
      </c>
      <c r="AM309">
        <f>IF(ISNUMBER(AK309),IF(AK309&lt;=TODAY(),"DUE",""),"")</f>
        <v/>
      </c>
      <c r="AN309">
        <f>IF(COUNT(O309,P309,Q309,R309,T309,V309,W309,X309,Y309,Z309,AA309,AC309)=0,"",TODAY()-MAX(O309,P309,Q309,R309,T309,V309,W309,X309,Y309,Z309,AA309,AC309))</f>
        <v/>
      </c>
      <c r="AO309">
        <f>IF(AJ309="","",IF(AND(T309&lt;&gt;"",U309&lt;&gt;"Active (verified)"),"GST: escalate (no tax advice)",IF(AND(IFERROR(VALUE(LEFT(AJ309,2)),0)&gt;=5,AH309&lt;&gt;"YES",ISNUMBER(AN309),AN309&gt;SETTINGS!$B$14),"STUCK in onboarding","")))</f>
        <v/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s="10" t="inlineStr"/>
      <c r="P310" s="10" t="inlineStr"/>
      <c r="Q310" s="10" t="inlineStr"/>
      <c r="R310" s="10" t="inlineStr"/>
      <c r="S310" t="inlineStr"/>
      <c r="T310" s="10" t="inlineStr"/>
      <c r="U310" t="inlineStr"/>
      <c r="V310" s="10" t="inlineStr"/>
      <c r="W310" s="10" t="inlineStr"/>
      <c r="X310" s="10" t="inlineStr"/>
      <c r="Y310" s="10" t="inlineStr"/>
      <c r="Z310" s="10" t="inlineStr"/>
      <c r="AA310" s="10" t="inlineStr"/>
      <c r="AB310" t="inlineStr"/>
      <c r="AC310" s="10" t="inlineStr"/>
      <c r="AD310" t="inlineStr"/>
      <c r="AE310" t="inlineStr"/>
      <c r="AF310" s="10" t="inlineStr"/>
      <c r="AG310" t="inlineStr"/>
      <c r="AH310">
        <f>IF(AND(B310="",C310=""),"",IF(AND(X310&lt;&gt;"",Y310&lt;&gt;"",Z310&lt;&gt;"",AA310&lt;&gt;"",AB310="Y"),"YES","no"))</f>
        <v/>
      </c>
      <c r="AI310" s="10">
        <f>IF(AH310="YES",MAX(X310,Y310,Z310,AA310),"")</f>
        <v/>
      </c>
      <c r="AJ310">
        <f>IF(AND(B310="",C310=""),"",IF(OR(S310="Not interested",S310="Opt-out / do not contact"),"X Declined / suppressed",IF(S310="Bounced / undeliverable","X Bounced — research",IF(AC310&lt;&gt;"","13 Transacting",IF(AH310="YES","12 ACTIVATED",IF(Z310&lt;&gt;"","11 Listing live",IF(Y310&lt;&gt;"","10 Profile complete",IF(X310&lt;&gt;"","9 Approved",IF(W310&lt;&gt;"","8 KYC submitted",IF(V310&lt;&gt;"","7 Registered",IF(T310&lt;&gt;"","5 Interested",IF(R310&lt;&gt;"","4 Responded",IF(O310&lt;&gt;"","2 Contacted","1 Not yet contacted")))))))))))))</f>
        <v/>
      </c>
      <c r="AK310" s="10">
        <f>IF(AF310&lt;&gt;"",AF310,IF(OR(O310="",R310&lt;&gt;"",LEFT(AJ310,1)="X"),"",IF(Q310&lt;&gt;"","",IF(P310&lt;&gt;"",P310+SETTINGS!$B$4,O310+SETTINGS!$B$3))))</f>
        <v/>
      </c>
      <c r="AL310">
        <f>IF(AJ310="","",IF(LEFT(AJ310,1)="X","None — do not contact",IF(AJ310="1 Not yet contacted","Verify route today, then send M1",IF(AND(R310="",Q310&lt;&gt;""),"Sequence complete — no contact before "&amp;TEXT(Q310+SETTINGS!$B$5,"yyyy-mm-dd"),IF(AND(R310="",P310&lt;&gt;""),"Send final note (M4)",IF(R310="","Send follow-up (M2)",IF(AJ310="12 ACTIVATED","7-day check-in; consent &amp; referral soft ask",IF(AJ310="13 Transacting","Repeat-activity support","Onboarding: move to next stage (see playbook §6)"))))))))</f>
        <v/>
      </c>
      <c r="AM310">
        <f>IF(ISNUMBER(AK310),IF(AK310&lt;=TODAY(),"DUE",""),"")</f>
        <v/>
      </c>
      <c r="AN310">
        <f>IF(COUNT(O310,P310,Q310,R310,T310,V310,W310,X310,Y310,Z310,AA310,AC310)=0,"",TODAY()-MAX(O310,P310,Q310,R310,T310,V310,W310,X310,Y310,Z310,AA310,AC310))</f>
        <v/>
      </c>
      <c r="AO310">
        <f>IF(AJ310="","",IF(AND(T310&lt;&gt;"",U310&lt;&gt;"Active (verified)"),"GST: escalate (no tax advice)",IF(AND(IFERROR(VALUE(LEFT(AJ310,2)),0)&gt;=5,AH310&lt;&gt;"YES",ISNUMBER(AN310),AN310&gt;SETTINGS!$B$14),"STUCK in onboarding","")))</f>
        <v/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s="10" t="inlineStr"/>
      <c r="P311" s="10" t="inlineStr"/>
      <c r="Q311" s="10" t="inlineStr"/>
      <c r="R311" s="10" t="inlineStr"/>
      <c r="S311" t="inlineStr"/>
      <c r="T311" s="10" t="inlineStr"/>
      <c r="U311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t="inlineStr"/>
      <c r="AC311" s="10" t="inlineStr"/>
      <c r="AD311" t="inlineStr"/>
      <c r="AE311" t="inlineStr"/>
      <c r="AF311" s="10" t="inlineStr"/>
      <c r="AG311" t="inlineStr"/>
      <c r="AH311">
        <f>IF(AND(B311="",C311=""),"",IF(AND(X311&lt;&gt;"",Y311&lt;&gt;"",Z311&lt;&gt;"",AA311&lt;&gt;"",AB311="Y"),"YES","no"))</f>
        <v/>
      </c>
      <c r="AI311" s="10">
        <f>IF(AH311="YES",MAX(X311,Y311,Z311,AA311),"")</f>
        <v/>
      </c>
      <c r="AJ311">
        <f>IF(AND(B311="",C311=""),"",IF(OR(S311="Not interested",S311="Opt-out / do not contact"),"X Declined / suppressed",IF(S311="Bounced / undeliverable","X Bounced — research",IF(AC311&lt;&gt;"","13 Transacting",IF(AH311="YES","12 ACTIVATED",IF(Z311&lt;&gt;"","11 Listing live",IF(Y311&lt;&gt;"","10 Profile complete",IF(X311&lt;&gt;"","9 Approved",IF(W311&lt;&gt;"","8 KYC submitted",IF(V311&lt;&gt;"","7 Registered",IF(T311&lt;&gt;"","5 Interested",IF(R311&lt;&gt;"","4 Responded",IF(O311&lt;&gt;"","2 Contacted","1 Not yet contacted")))))))))))))</f>
        <v/>
      </c>
      <c r="AK311" s="10">
        <f>IF(AF311&lt;&gt;"",AF311,IF(OR(O311="",R311&lt;&gt;"",LEFT(AJ311,1)="X"),"",IF(Q311&lt;&gt;"","",IF(P311&lt;&gt;"",P311+SETTINGS!$B$4,O311+SETTINGS!$B$3))))</f>
        <v/>
      </c>
      <c r="AL311">
        <f>IF(AJ311="","",IF(LEFT(AJ311,1)="X","None — do not contact",IF(AJ311="1 Not yet contacted","Verify route today, then send M1",IF(AND(R311="",Q311&lt;&gt;""),"Sequence complete — no contact before "&amp;TEXT(Q311+SETTINGS!$B$5,"yyyy-mm-dd"),IF(AND(R311="",P311&lt;&gt;""),"Send final note (M4)",IF(R311="","Send follow-up (M2)",IF(AJ311="12 ACTIVATED","7-day check-in; consent &amp; referral soft ask",IF(AJ311="13 Transacting","Repeat-activity support","Onboarding: move to next stage (see playbook §6)"))))))))</f>
        <v/>
      </c>
      <c r="AM311">
        <f>IF(ISNUMBER(AK311),IF(AK311&lt;=TODAY(),"DUE",""),"")</f>
        <v/>
      </c>
      <c r="AN311">
        <f>IF(COUNT(O311,P311,Q311,R311,T311,V311,W311,X311,Y311,Z311,AA311,AC311)=0,"",TODAY()-MAX(O311,P311,Q311,R311,T311,V311,W311,X311,Y311,Z311,AA311,AC311))</f>
        <v/>
      </c>
      <c r="AO311">
        <f>IF(AJ311="","",IF(AND(T311&lt;&gt;"",U311&lt;&gt;"Active (verified)"),"GST: escalate (no tax advice)",IF(AND(IFERROR(VALUE(LEFT(AJ311,2)),0)&gt;=5,AH311&lt;&gt;"YES",ISNUMBER(AN311),AN311&gt;SETTINGS!$B$14),"STUCK in onboarding","")))</f>
        <v/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s="10" t="inlineStr"/>
      <c r="P312" s="10" t="inlineStr"/>
      <c r="Q312" s="10" t="inlineStr"/>
      <c r="R312" s="10" t="inlineStr"/>
      <c r="S312" t="inlineStr"/>
      <c r="T312" s="10" t="inlineStr"/>
      <c r="U312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t="inlineStr"/>
      <c r="AC312" s="10" t="inlineStr"/>
      <c r="AD312" t="inlineStr"/>
      <c r="AE312" t="inlineStr"/>
      <c r="AF312" s="10" t="inlineStr"/>
      <c r="AG312" t="inlineStr"/>
      <c r="AH312">
        <f>IF(AND(B312="",C312=""),"",IF(AND(X312&lt;&gt;"",Y312&lt;&gt;"",Z312&lt;&gt;"",AA312&lt;&gt;"",AB312="Y"),"YES","no"))</f>
        <v/>
      </c>
      <c r="AI312" s="10">
        <f>IF(AH312="YES",MAX(X312,Y312,Z312,AA312),"")</f>
        <v/>
      </c>
      <c r="AJ312">
        <f>IF(AND(B312="",C312=""),"",IF(OR(S312="Not interested",S312="Opt-out / do not contact"),"X Declined / suppressed",IF(S312="Bounced / undeliverable","X Bounced — research",IF(AC312&lt;&gt;"","13 Transacting",IF(AH312="YES","12 ACTIVATED",IF(Z312&lt;&gt;"","11 Listing live",IF(Y312&lt;&gt;"","10 Profile complete",IF(X312&lt;&gt;"","9 Approved",IF(W312&lt;&gt;"","8 KYC submitted",IF(V312&lt;&gt;"","7 Registered",IF(T312&lt;&gt;"","5 Interested",IF(R312&lt;&gt;"","4 Responded",IF(O312&lt;&gt;"","2 Contacted","1 Not yet contacted")))))))))))))</f>
        <v/>
      </c>
      <c r="AK312" s="10">
        <f>IF(AF312&lt;&gt;"",AF312,IF(OR(O312="",R312&lt;&gt;"",LEFT(AJ312,1)="X"),"",IF(Q312&lt;&gt;"","",IF(P312&lt;&gt;"",P312+SETTINGS!$B$4,O312+SETTINGS!$B$3))))</f>
        <v/>
      </c>
      <c r="AL312">
        <f>IF(AJ312="","",IF(LEFT(AJ312,1)="X","None — do not contact",IF(AJ312="1 Not yet contacted","Verify route today, then send M1",IF(AND(R312="",Q312&lt;&gt;""),"Sequence complete — no contact before "&amp;TEXT(Q312+SETTINGS!$B$5,"yyyy-mm-dd"),IF(AND(R312="",P312&lt;&gt;""),"Send final note (M4)",IF(R312="","Send follow-up (M2)",IF(AJ312="12 ACTIVATED","7-day check-in; consent &amp; referral soft ask",IF(AJ312="13 Transacting","Repeat-activity support","Onboarding: move to next stage (see playbook §6)"))))))))</f>
        <v/>
      </c>
      <c r="AM312">
        <f>IF(ISNUMBER(AK312),IF(AK312&lt;=TODAY(),"DUE",""),"")</f>
        <v/>
      </c>
      <c r="AN312">
        <f>IF(COUNT(O312,P312,Q312,R312,T312,V312,W312,X312,Y312,Z312,AA312,AC312)=0,"",TODAY()-MAX(O312,P312,Q312,R312,T312,V312,W312,X312,Y312,Z312,AA312,AC312))</f>
        <v/>
      </c>
      <c r="AO312">
        <f>IF(AJ312="","",IF(AND(T312&lt;&gt;"",U312&lt;&gt;"Active (verified)"),"GST: escalate (no tax advice)",IF(AND(IFERROR(VALUE(LEFT(AJ312,2)),0)&gt;=5,AH312&lt;&gt;"YES",ISNUMBER(AN312),AN312&gt;SETTINGS!$B$14),"STUCK in onboarding","")))</f>
        <v/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s="10" t="inlineStr"/>
      <c r="P313" s="10" t="inlineStr"/>
      <c r="Q313" s="10" t="inlineStr"/>
      <c r="R313" s="10" t="inlineStr"/>
      <c r="S313" t="inlineStr"/>
      <c r="T313" s="10" t="inlineStr"/>
      <c r="U313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t="inlineStr"/>
      <c r="AC313" s="10" t="inlineStr"/>
      <c r="AD313" t="inlineStr"/>
      <c r="AE313" t="inlineStr"/>
      <c r="AF313" s="10" t="inlineStr"/>
      <c r="AG313" t="inlineStr"/>
      <c r="AH313">
        <f>IF(AND(B313="",C313=""),"",IF(AND(X313&lt;&gt;"",Y313&lt;&gt;"",Z313&lt;&gt;"",AA313&lt;&gt;"",AB313="Y"),"YES","no"))</f>
        <v/>
      </c>
      <c r="AI313" s="10">
        <f>IF(AH313="YES",MAX(X313,Y313,Z313,AA313),"")</f>
        <v/>
      </c>
      <c r="AJ313">
        <f>IF(AND(B313="",C313=""),"",IF(OR(S313="Not interested",S313="Opt-out / do not contact"),"X Declined / suppressed",IF(S313="Bounced / undeliverable","X Bounced — research",IF(AC313&lt;&gt;"","13 Transacting",IF(AH313="YES","12 ACTIVATED",IF(Z313&lt;&gt;"","11 Listing live",IF(Y313&lt;&gt;"","10 Profile complete",IF(X313&lt;&gt;"","9 Approved",IF(W313&lt;&gt;"","8 KYC submitted",IF(V313&lt;&gt;"","7 Registered",IF(T313&lt;&gt;"","5 Interested",IF(R313&lt;&gt;"","4 Responded",IF(O313&lt;&gt;"","2 Contacted","1 Not yet contacted")))))))))))))</f>
        <v/>
      </c>
      <c r="AK313" s="10">
        <f>IF(AF313&lt;&gt;"",AF313,IF(OR(O313="",R313&lt;&gt;"",LEFT(AJ313,1)="X"),"",IF(Q313&lt;&gt;"","",IF(P313&lt;&gt;"",P313+SETTINGS!$B$4,O313+SETTINGS!$B$3))))</f>
        <v/>
      </c>
      <c r="AL313">
        <f>IF(AJ313="","",IF(LEFT(AJ313,1)="X","None — do not contact",IF(AJ313="1 Not yet contacted","Verify route today, then send M1",IF(AND(R313="",Q313&lt;&gt;""),"Sequence complete — no contact before "&amp;TEXT(Q313+SETTINGS!$B$5,"yyyy-mm-dd"),IF(AND(R313="",P313&lt;&gt;""),"Send final note (M4)",IF(R313="","Send follow-up (M2)",IF(AJ313="12 ACTIVATED","7-day check-in; consent &amp; referral soft ask",IF(AJ313="13 Transacting","Repeat-activity support","Onboarding: move to next stage (see playbook §6)"))))))))</f>
        <v/>
      </c>
      <c r="AM313">
        <f>IF(ISNUMBER(AK313),IF(AK313&lt;=TODAY(),"DUE",""),"")</f>
        <v/>
      </c>
      <c r="AN313">
        <f>IF(COUNT(O313,P313,Q313,R313,T313,V313,W313,X313,Y313,Z313,AA313,AC313)=0,"",TODAY()-MAX(O313,P313,Q313,R313,T313,V313,W313,X313,Y313,Z313,AA313,AC313))</f>
        <v/>
      </c>
      <c r="AO313">
        <f>IF(AJ313="","",IF(AND(T313&lt;&gt;"",U313&lt;&gt;"Active (verified)"),"GST: escalate (no tax advice)",IF(AND(IFERROR(VALUE(LEFT(AJ313,2)),0)&gt;=5,AH313&lt;&gt;"YES",ISNUMBER(AN313),AN313&gt;SETTINGS!$B$14),"STUCK in onboarding","")))</f>
        <v/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s="10" t="inlineStr"/>
      <c r="P314" s="10" t="inlineStr"/>
      <c r="Q314" s="10" t="inlineStr"/>
      <c r="R314" s="10" t="inlineStr"/>
      <c r="S314" t="inlineStr"/>
      <c r="T314" s="10" t="inlineStr"/>
      <c r="U314" t="inlineStr"/>
      <c r="V314" s="10" t="inlineStr"/>
      <c r="W314" s="10" t="inlineStr"/>
      <c r="X314" s="10" t="inlineStr"/>
      <c r="Y314" s="10" t="inlineStr"/>
      <c r="Z314" s="10" t="inlineStr"/>
      <c r="AA314" s="10" t="inlineStr"/>
      <c r="AB314" t="inlineStr"/>
      <c r="AC314" s="10" t="inlineStr"/>
      <c r="AD314" t="inlineStr"/>
      <c r="AE314" t="inlineStr"/>
      <c r="AF314" s="10" t="inlineStr"/>
      <c r="AG314" t="inlineStr"/>
      <c r="AH314">
        <f>IF(AND(B314="",C314=""),"",IF(AND(X314&lt;&gt;"",Y314&lt;&gt;"",Z314&lt;&gt;"",AA314&lt;&gt;"",AB314="Y"),"YES","no"))</f>
        <v/>
      </c>
      <c r="AI314" s="10">
        <f>IF(AH314="YES",MAX(X314,Y314,Z314,AA314),"")</f>
        <v/>
      </c>
      <c r="AJ314">
        <f>IF(AND(B314="",C314=""),"",IF(OR(S314="Not interested",S314="Opt-out / do not contact"),"X Declined / suppressed",IF(S314="Bounced / undeliverable","X Bounced — research",IF(AC314&lt;&gt;"","13 Transacting",IF(AH314="YES","12 ACTIVATED",IF(Z314&lt;&gt;"","11 Listing live",IF(Y314&lt;&gt;"","10 Profile complete",IF(X314&lt;&gt;"","9 Approved",IF(W314&lt;&gt;"","8 KYC submitted",IF(V314&lt;&gt;"","7 Registered",IF(T314&lt;&gt;"","5 Interested",IF(R314&lt;&gt;"","4 Responded",IF(O314&lt;&gt;"","2 Contacted","1 Not yet contacted")))))))))))))</f>
        <v/>
      </c>
      <c r="AK314" s="10">
        <f>IF(AF314&lt;&gt;"",AF314,IF(OR(O314="",R314&lt;&gt;"",LEFT(AJ314,1)="X"),"",IF(Q314&lt;&gt;"","",IF(P314&lt;&gt;"",P314+SETTINGS!$B$4,O314+SETTINGS!$B$3))))</f>
        <v/>
      </c>
      <c r="AL314">
        <f>IF(AJ314="","",IF(LEFT(AJ314,1)="X","None — do not contact",IF(AJ314="1 Not yet contacted","Verify route today, then send M1",IF(AND(R314="",Q314&lt;&gt;""),"Sequence complete — no contact before "&amp;TEXT(Q314+SETTINGS!$B$5,"yyyy-mm-dd"),IF(AND(R314="",P314&lt;&gt;""),"Send final note (M4)",IF(R314="","Send follow-up (M2)",IF(AJ314="12 ACTIVATED","7-day check-in; consent &amp; referral soft ask",IF(AJ314="13 Transacting","Repeat-activity support","Onboarding: move to next stage (see playbook §6)"))))))))</f>
        <v/>
      </c>
      <c r="AM314">
        <f>IF(ISNUMBER(AK314),IF(AK314&lt;=TODAY(),"DUE",""),"")</f>
        <v/>
      </c>
      <c r="AN314">
        <f>IF(COUNT(O314,P314,Q314,R314,T314,V314,W314,X314,Y314,Z314,AA314,AC314)=0,"",TODAY()-MAX(O314,P314,Q314,R314,T314,V314,W314,X314,Y314,Z314,AA314,AC314))</f>
        <v/>
      </c>
      <c r="AO314">
        <f>IF(AJ314="","",IF(AND(T314&lt;&gt;"",U314&lt;&gt;"Active (verified)"),"GST: escalate (no tax advice)",IF(AND(IFERROR(VALUE(LEFT(AJ314,2)),0)&gt;=5,AH314&lt;&gt;"YES",ISNUMBER(AN314),AN314&gt;SETTINGS!$B$14),"STUCK in onboarding","")))</f>
        <v/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s="10" t="inlineStr"/>
      <c r="P315" s="10" t="inlineStr"/>
      <c r="Q315" s="10" t="inlineStr"/>
      <c r="R315" s="10" t="inlineStr"/>
      <c r="S315" t="inlineStr"/>
      <c r="T315" s="10" t="inlineStr"/>
      <c r="U315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t="inlineStr"/>
      <c r="AC315" s="10" t="inlineStr"/>
      <c r="AD315" t="inlineStr"/>
      <c r="AE315" t="inlineStr"/>
      <c r="AF315" s="10" t="inlineStr"/>
      <c r="AG315" t="inlineStr"/>
      <c r="AH315">
        <f>IF(AND(B315="",C315=""),"",IF(AND(X315&lt;&gt;"",Y315&lt;&gt;"",Z315&lt;&gt;"",AA315&lt;&gt;"",AB315="Y"),"YES","no"))</f>
        <v/>
      </c>
      <c r="AI315" s="10">
        <f>IF(AH315="YES",MAX(X315,Y315,Z315,AA315),"")</f>
        <v/>
      </c>
      <c r="AJ315">
        <f>IF(AND(B315="",C315=""),"",IF(OR(S315="Not interested",S315="Opt-out / do not contact"),"X Declined / suppressed",IF(S315="Bounced / undeliverable","X Bounced — research",IF(AC315&lt;&gt;"","13 Transacting",IF(AH315="YES","12 ACTIVATED",IF(Z315&lt;&gt;"","11 Listing live",IF(Y315&lt;&gt;"","10 Profile complete",IF(X315&lt;&gt;"","9 Approved",IF(W315&lt;&gt;"","8 KYC submitted",IF(V315&lt;&gt;"","7 Registered",IF(T315&lt;&gt;"","5 Interested",IF(R315&lt;&gt;"","4 Responded",IF(O315&lt;&gt;"","2 Contacted","1 Not yet contacted")))))))))))))</f>
        <v/>
      </c>
      <c r="AK315" s="10">
        <f>IF(AF315&lt;&gt;"",AF315,IF(OR(O315="",R315&lt;&gt;"",LEFT(AJ315,1)="X"),"",IF(Q315&lt;&gt;"","",IF(P315&lt;&gt;"",P315+SETTINGS!$B$4,O315+SETTINGS!$B$3))))</f>
        <v/>
      </c>
      <c r="AL315">
        <f>IF(AJ315="","",IF(LEFT(AJ315,1)="X","None — do not contact",IF(AJ315="1 Not yet contacted","Verify route today, then send M1",IF(AND(R315="",Q315&lt;&gt;""),"Sequence complete — no contact before "&amp;TEXT(Q315+SETTINGS!$B$5,"yyyy-mm-dd"),IF(AND(R315="",P315&lt;&gt;""),"Send final note (M4)",IF(R315="","Send follow-up (M2)",IF(AJ315="12 ACTIVATED","7-day check-in; consent &amp; referral soft ask",IF(AJ315="13 Transacting","Repeat-activity support","Onboarding: move to next stage (see playbook §6)"))))))))</f>
        <v/>
      </c>
      <c r="AM315">
        <f>IF(ISNUMBER(AK315),IF(AK315&lt;=TODAY(),"DUE",""),"")</f>
        <v/>
      </c>
      <c r="AN315">
        <f>IF(COUNT(O315,P315,Q315,R315,T315,V315,W315,X315,Y315,Z315,AA315,AC315)=0,"",TODAY()-MAX(O315,P315,Q315,R315,T315,V315,W315,X315,Y315,Z315,AA315,AC315))</f>
        <v/>
      </c>
      <c r="AO315">
        <f>IF(AJ315="","",IF(AND(T315&lt;&gt;"",U315&lt;&gt;"Active (verified)"),"GST: escalate (no tax advice)",IF(AND(IFERROR(VALUE(LEFT(AJ315,2)),0)&gt;=5,AH315&lt;&gt;"YES",ISNUMBER(AN315),AN315&gt;SETTINGS!$B$14),"STUCK in onboarding","")))</f>
        <v/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s="10" t="inlineStr"/>
      <c r="P316" s="10" t="inlineStr"/>
      <c r="Q316" s="10" t="inlineStr"/>
      <c r="R316" s="10" t="inlineStr"/>
      <c r="S316" t="inlineStr"/>
      <c r="T316" s="10" t="inlineStr"/>
      <c r="U316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t="inlineStr"/>
      <c r="AC316" s="10" t="inlineStr"/>
      <c r="AD316" t="inlineStr"/>
      <c r="AE316" t="inlineStr"/>
      <c r="AF316" s="10" t="inlineStr"/>
      <c r="AG316" t="inlineStr"/>
      <c r="AH316">
        <f>IF(AND(B316="",C316=""),"",IF(AND(X316&lt;&gt;"",Y316&lt;&gt;"",Z316&lt;&gt;"",AA316&lt;&gt;"",AB316="Y"),"YES","no"))</f>
        <v/>
      </c>
      <c r="AI316" s="10">
        <f>IF(AH316="YES",MAX(X316,Y316,Z316,AA316),"")</f>
        <v/>
      </c>
      <c r="AJ316">
        <f>IF(AND(B316="",C316=""),"",IF(OR(S316="Not interested",S316="Opt-out / do not contact"),"X Declined / suppressed",IF(S316="Bounced / undeliverable","X Bounced — research",IF(AC316&lt;&gt;"","13 Transacting",IF(AH316="YES","12 ACTIVATED",IF(Z316&lt;&gt;"","11 Listing live",IF(Y316&lt;&gt;"","10 Profile complete",IF(X316&lt;&gt;"","9 Approved",IF(W316&lt;&gt;"","8 KYC submitted",IF(V316&lt;&gt;"","7 Registered",IF(T316&lt;&gt;"","5 Interested",IF(R316&lt;&gt;"","4 Responded",IF(O316&lt;&gt;"","2 Contacted","1 Not yet contacted")))))))))))))</f>
        <v/>
      </c>
      <c r="AK316" s="10">
        <f>IF(AF316&lt;&gt;"",AF316,IF(OR(O316="",R316&lt;&gt;"",LEFT(AJ316,1)="X"),"",IF(Q316&lt;&gt;"","",IF(P316&lt;&gt;"",P316+SETTINGS!$B$4,O316+SETTINGS!$B$3))))</f>
        <v/>
      </c>
      <c r="AL316">
        <f>IF(AJ316="","",IF(LEFT(AJ316,1)="X","None — do not contact",IF(AJ316="1 Not yet contacted","Verify route today, then send M1",IF(AND(R316="",Q316&lt;&gt;""),"Sequence complete — no contact before "&amp;TEXT(Q316+SETTINGS!$B$5,"yyyy-mm-dd"),IF(AND(R316="",P316&lt;&gt;""),"Send final note (M4)",IF(R316="","Send follow-up (M2)",IF(AJ316="12 ACTIVATED","7-day check-in; consent &amp; referral soft ask",IF(AJ316="13 Transacting","Repeat-activity support","Onboarding: move to next stage (see playbook §6)"))))))))</f>
        <v/>
      </c>
      <c r="AM316">
        <f>IF(ISNUMBER(AK316),IF(AK316&lt;=TODAY(),"DUE",""),"")</f>
        <v/>
      </c>
      <c r="AN316">
        <f>IF(COUNT(O316,P316,Q316,R316,T316,V316,W316,X316,Y316,Z316,AA316,AC316)=0,"",TODAY()-MAX(O316,P316,Q316,R316,T316,V316,W316,X316,Y316,Z316,AA316,AC316))</f>
        <v/>
      </c>
      <c r="AO316">
        <f>IF(AJ316="","",IF(AND(T316&lt;&gt;"",U316&lt;&gt;"Active (verified)"),"GST: escalate (no tax advice)",IF(AND(IFERROR(VALUE(LEFT(AJ316,2)),0)&gt;=5,AH316&lt;&gt;"YES",ISNUMBER(AN316),AN316&gt;SETTINGS!$B$14),"STUCK in onboarding","")))</f>
        <v/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s="10" t="inlineStr"/>
      <c r="P317" s="10" t="inlineStr"/>
      <c r="Q317" s="10" t="inlineStr"/>
      <c r="R317" s="10" t="inlineStr"/>
      <c r="S317" t="inlineStr"/>
      <c r="T317" s="10" t="inlineStr"/>
      <c r="U317" t="inlineStr"/>
      <c r="V317" s="10" t="inlineStr"/>
      <c r="W317" s="10" t="inlineStr"/>
      <c r="X317" s="10" t="inlineStr"/>
      <c r="Y317" s="10" t="inlineStr"/>
      <c r="Z317" s="10" t="inlineStr"/>
      <c r="AA317" s="10" t="inlineStr"/>
      <c r="AB317" t="inlineStr"/>
      <c r="AC317" s="10" t="inlineStr"/>
      <c r="AD317" t="inlineStr"/>
      <c r="AE317" t="inlineStr"/>
      <c r="AF317" s="10" t="inlineStr"/>
      <c r="AG317" t="inlineStr"/>
      <c r="AH317">
        <f>IF(AND(B317="",C317=""),"",IF(AND(X317&lt;&gt;"",Y317&lt;&gt;"",Z317&lt;&gt;"",AA317&lt;&gt;"",AB317="Y"),"YES","no"))</f>
        <v/>
      </c>
      <c r="AI317" s="10">
        <f>IF(AH317="YES",MAX(X317,Y317,Z317,AA317),"")</f>
        <v/>
      </c>
      <c r="AJ317">
        <f>IF(AND(B317="",C317=""),"",IF(OR(S317="Not interested",S317="Opt-out / do not contact"),"X Declined / suppressed",IF(S317="Bounced / undeliverable","X Bounced — research",IF(AC317&lt;&gt;"","13 Transacting",IF(AH317="YES","12 ACTIVATED",IF(Z317&lt;&gt;"","11 Listing live",IF(Y317&lt;&gt;"","10 Profile complete",IF(X317&lt;&gt;"","9 Approved",IF(W317&lt;&gt;"","8 KYC submitted",IF(V317&lt;&gt;"","7 Registered",IF(T317&lt;&gt;"","5 Interested",IF(R317&lt;&gt;"","4 Responded",IF(O317&lt;&gt;"","2 Contacted","1 Not yet contacted")))))))))))))</f>
        <v/>
      </c>
      <c r="AK317" s="10">
        <f>IF(AF317&lt;&gt;"",AF317,IF(OR(O317="",R317&lt;&gt;"",LEFT(AJ317,1)="X"),"",IF(Q317&lt;&gt;"","",IF(P317&lt;&gt;"",P317+SETTINGS!$B$4,O317+SETTINGS!$B$3))))</f>
        <v/>
      </c>
      <c r="AL317">
        <f>IF(AJ317="","",IF(LEFT(AJ317,1)="X","None — do not contact",IF(AJ317="1 Not yet contacted","Verify route today, then send M1",IF(AND(R317="",Q317&lt;&gt;""),"Sequence complete — no contact before "&amp;TEXT(Q317+SETTINGS!$B$5,"yyyy-mm-dd"),IF(AND(R317="",P317&lt;&gt;""),"Send final note (M4)",IF(R317="","Send follow-up (M2)",IF(AJ317="12 ACTIVATED","7-day check-in; consent &amp; referral soft ask",IF(AJ317="13 Transacting","Repeat-activity support","Onboarding: move to next stage (see playbook §6)"))))))))</f>
        <v/>
      </c>
      <c r="AM317">
        <f>IF(ISNUMBER(AK317),IF(AK317&lt;=TODAY(),"DUE",""),"")</f>
        <v/>
      </c>
      <c r="AN317">
        <f>IF(COUNT(O317,P317,Q317,R317,T317,V317,W317,X317,Y317,Z317,AA317,AC317)=0,"",TODAY()-MAX(O317,P317,Q317,R317,T317,V317,W317,X317,Y317,Z317,AA317,AC317))</f>
        <v/>
      </c>
      <c r="AO317">
        <f>IF(AJ317="","",IF(AND(T317&lt;&gt;"",U317&lt;&gt;"Active (verified)"),"GST: escalate (no tax advice)",IF(AND(IFERROR(VALUE(LEFT(AJ317,2)),0)&gt;=5,AH317&lt;&gt;"YES",ISNUMBER(AN317),AN317&gt;SETTINGS!$B$14),"STUCK in onboarding","")))</f>
        <v/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s="10" t="inlineStr"/>
      <c r="P318" s="10" t="inlineStr"/>
      <c r="Q318" s="10" t="inlineStr"/>
      <c r="R318" s="10" t="inlineStr"/>
      <c r="S318" t="inlineStr"/>
      <c r="T318" s="10" t="inlineStr"/>
      <c r="U318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t="inlineStr"/>
      <c r="AC318" s="10" t="inlineStr"/>
      <c r="AD318" t="inlineStr"/>
      <c r="AE318" t="inlineStr"/>
      <c r="AF318" s="10" t="inlineStr"/>
      <c r="AG318" t="inlineStr"/>
      <c r="AH318">
        <f>IF(AND(B318="",C318=""),"",IF(AND(X318&lt;&gt;"",Y318&lt;&gt;"",Z318&lt;&gt;"",AA318&lt;&gt;"",AB318="Y"),"YES","no"))</f>
        <v/>
      </c>
      <c r="AI318" s="10">
        <f>IF(AH318="YES",MAX(X318,Y318,Z318,AA318),"")</f>
        <v/>
      </c>
      <c r="AJ318">
        <f>IF(AND(B318="",C318=""),"",IF(OR(S318="Not interested",S318="Opt-out / do not contact"),"X Declined / suppressed",IF(S318="Bounced / undeliverable","X Bounced — research",IF(AC318&lt;&gt;"","13 Transacting",IF(AH318="YES","12 ACTIVATED",IF(Z318&lt;&gt;"","11 Listing live",IF(Y318&lt;&gt;"","10 Profile complete",IF(X318&lt;&gt;"","9 Approved",IF(W318&lt;&gt;"","8 KYC submitted",IF(V318&lt;&gt;"","7 Registered",IF(T318&lt;&gt;"","5 Interested",IF(R318&lt;&gt;"","4 Responded",IF(O318&lt;&gt;"","2 Contacted","1 Not yet contacted")))))))))))))</f>
        <v/>
      </c>
      <c r="AK318" s="10">
        <f>IF(AF318&lt;&gt;"",AF318,IF(OR(O318="",R318&lt;&gt;"",LEFT(AJ318,1)="X"),"",IF(Q318&lt;&gt;"","",IF(P318&lt;&gt;"",P318+SETTINGS!$B$4,O318+SETTINGS!$B$3))))</f>
        <v/>
      </c>
      <c r="AL318">
        <f>IF(AJ318="","",IF(LEFT(AJ318,1)="X","None — do not contact",IF(AJ318="1 Not yet contacted","Verify route today, then send M1",IF(AND(R318="",Q318&lt;&gt;""),"Sequence complete — no contact before "&amp;TEXT(Q318+SETTINGS!$B$5,"yyyy-mm-dd"),IF(AND(R318="",P318&lt;&gt;""),"Send final note (M4)",IF(R318="","Send follow-up (M2)",IF(AJ318="12 ACTIVATED","7-day check-in; consent &amp; referral soft ask",IF(AJ318="13 Transacting","Repeat-activity support","Onboarding: move to next stage (see playbook §6)"))))))))</f>
        <v/>
      </c>
      <c r="AM318">
        <f>IF(ISNUMBER(AK318),IF(AK318&lt;=TODAY(),"DUE",""),"")</f>
        <v/>
      </c>
      <c r="AN318">
        <f>IF(COUNT(O318,P318,Q318,R318,T318,V318,W318,X318,Y318,Z318,AA318,AC318)=0,"",TODAY()-MAX(O318,P318,Q318,R318,T318,V318,W318,X318,Y318,Z318,AA318,AC318))</f>
        <v/>
      </c>
      <c r="AO318">
        <f>IF(AJ318="","",IF(AND(T318&lt;&gt;"",U318&lt;&gt;"Active (verified)"),"GST: escalate (no tax advice)",IF(AND(IFERROR(VALUE(LEFT(AJ318,2)),0)&gt;=5,AH318&lt;&gt;"YES",ISNUMBER(AN318),AN318&gt;SETTINGS!$B$14),"STUCK in onboarding","")))</f>
        <v/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s="10" t="inlineStr"/>
      <c r="P319" s="10" t="inlineStr"/>
      <c r="Q319" s="10" t="inlineStr"/>
      <c r="R319" s="10" t="inlineStr"/>
      <c r="S319" t="inlineStr"/>
      <c r="T319" s="10" t="inlineStr"/>
      <c r="U319" t="inlineStr"/>
      <c r="V319" s="10" t="inlineStr"/>
      <c r="W319" s="10" t="inlineStr"/>
      <c r="X319" s="10" t="inlineStr"/>
      <c r="Y319" s="10" t="inlineStr"/>
      <c r="Z319" s="10" t="inlineStr"/>
      <c r="AA319" s="10" t="inlineStr"/>
      <c r="AB319" t="inlineStr"/>
      <c r="AC319" s="10" t="inlineStr"/>
      <c r="AD319" t="inlineStr"/>
      <c r="AE319" t="inlineStr"/>
      <c r="AF319" s="10" t="inlineStr"/>
      <c r="AG319" t="inlineStr"/>
      <c r="AH319">
        <f>IF(AND(B319="",C319=""),"",IF(AND(X319&lt;&gt;"",Y319&lt;&gt;"",Z319&lt;&gt;"",AA319&lt;&gt;"",AB319="Y"),"YES","no"))</f>
        <v/>
      </c>
      <c r="AI319" s="10">
        <f>IF(AH319="YES",MAX(X319,Y319,Z319,AA319),"")</f>
        <v/>
      </c>
      <c r="AJ319">
        <f>IF(AND(B319="",C319=""),"",IF(OR(S319="Not interested",S319="Opt-out / do not contact"),"X Declined / suppressed",IF(S319="Bounced / undeliverable","X Bounced — research",IF(AC319&lt;&gt;"","13 Transacting",IF(AH319="YES","12 ACTIVATED",IF(Z319&lt;&gt;"","11 Listing live",IF(Y319&lt;&gt;"","10 Profile complete",IF(X319&lt;&gt;"","9 Approved",IF(W319&lt;&gt;"","8 KYC submitted",IF(V319&lt;&gt;"","7 Registered",IF(T319&lt;&gt;"","5 Interested",IF(R319&lt;&gt;"","4 Responded",IF(O319&lt;&gt;"","2 Contacted","1 Not yet contacted")))))))))))))</f>
        <v/>
      </c>
      <c r="AK319" s="10">
        <f>IF(AF319&lt;&gt;"",AF319,IF(OR(O319="",R319&lt;&gt;"",LEFT(AJ319,1)="X"),"",IF(Q319&lt;&gt;"","",IF(P319&lt;&gt;"",P319+SETTINGS!$B$4,O319+SETTINGS!$B$3))))</f>
        <v/>
      </c>
      <c r="AL319">
        <f>IF(AJ319="","",IF(LEFT(AJ319,1)="X","None — do not contact",IF(AJ319="1 Not yet contacted","Verify route today, then send M1",IF(AND(R319="",Q319&lt;&gt;""),"Sequence complete — no contact before "&amp;TEXT(Q319+SETTINGS!$B$5,"yyyy-mm-dd"),IF(AND(R319="",P319&lt;&gt;""),"Send final note (M4)",IF(R319="","Send follow-up (M2)",IF(AJ319="12 ACTIVATED","7-day check-in; consent &amp; referral soft ask",IF(AJ319="13 Transacting","Repeat-activity support","Onboarding: move to next stage (see playbook §6)"))))))))</f>
        <v/>
      </c>
      <c r="AM319">
        <f>IF(ISNUMBER(AK319),IF(AK319&lt;=TODAY(),"DUE",""),"")</f>
        <v/>
      </c>
      <c r="AN319">
        <f>IF(COUNT(O319,P319,Q319,R319,T319,V319,W319,X319,Y319,Z319,AA319,AC319)=0,"",TODAY()-MAX(O319,P319,Q319,R319,T319,V319,W319,X319,Y319,Z319,AA319,AC319))</f>
        <v/>
      </c>
      <c r="AO319">
        <f>IF(AJ319="","",IF(AND(T319&lt;&gt;"",U319&lt;&gt;"Active (verified)"),"GST: escalate (no tax advice)",IF(AND(IFERROR(VALUE(LEFT(AJ319,2)),0)&gt;=5,AH319&lt;&gt;"YES",ISNUMBER(AN319),AN319&gt;SETTINGS!$B$14),"STUCK in onboarding","")))</f>
        <v/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s="10" t="inlineStr"/>
      <c r="P320" s="10" t="inlineStr"/>
      <c r="Q320" s="10" t="inlineStr"/>
      <c r="R320" s="10" t="inlineStr"/>
      <c r="S320" t="inlineStr"/>
      <c r="T320" s="10" t="inlineStr"/>
      <c r="U320" t="inlineStr"/>
      <c r="V320" s="10" t="inlineStr"/>
      <c r="W320" s="10" t="inlineStr"/>
      <c r="X320" s="10" t="inlineStr"/>
      <c r="Y320" s="10" t="inlineStr"/>
      <c r="Z320" s="10" t="inlineStr"/>
      <c r="AA320" s="10" t="inlineStr"/>
      <c r="AB320" t="inlineStr"/>
      <c r="AC320" s="10" t="inlineStr"/>
      <c r="AD320" t="inlineStr"/>
      <c r="AE320" t="inlineStr"/>
      <c r="AF320" s="10" t="inlineStr"/>
      <c r="AG320" t="inlineStr"/>
      <c r="AH320">
        <f>IF(AND(B320="",C320=""),"",IF(AND(X320&lt;&gt;"",Y320&lt;&gt;"",Z320&lt;&gt;"",AA320&lt;&gt;"",AB320="Y"),"YES","no"))</f>
        <v/>
      </c>
      <c r="AI320" s="10">
        <f>IF(AH320="YES",MAX(X320,Y320,Z320,AA320),"")</f>
        <v/>
      </c>
      <c r="AJ320">
        <f>IF(AND(B320="",C320=""),"",IF(OR(S320="Not interested",S320="Opt-out / do not contact"),"X Declined / suppressed",IF(S320="Bounced / undeliverable","X Bounced — research",IF(AC320&lt;&gt;"","13 Transacting",IF(AH320="YES","12 ACTIVATED",IF(Z320&lt;&gt;"","11 Listing live",IF(Y320&lt;&gt;"","10 Profile complete",IF(X320&lt;&gt;"","9 Approved",IF(W320&lt;&gt;"","8 KYC submitted",IF(V320&lt;&gt;"","7 Registered",IF(T320&lt;&gt;"","5 Interested",IF(R320&lt;&gt;"","4 Responded",IF(O320&lt;&gt;"","2 Contacted","1 Not yet contacted")))))))))))))</f>
        <v/>
      </c>
      <c r="AK320" s="10">
        <f>IF(AF320&lt;&gt;"",AF320,IF(OR(O320="",R320&lt;&gt;"",LEFT(AJ320,1)="X"),"",IF(Q320&lt;&gt;"","",IF(P320&lt;&gt;"",P320+SETTINGS!$B$4,O320+SETTINGS!$B$3))))</f>
        <v/>
      </c>
      <c r="AL320">
        <f>IF(AJ320="","",IF(LEFT(AJ320,1)="X","None — do not contact",IF(AJ320="1 Not yet contacted","Verify route today, then send M1",IF(AND(R320="",Q320&lt;&gt;""),"Sequence complete — no contact before "&amp;TEXT(Q320+SETTINGS!$B$5,"yyyy-mm-dd"),IF(AND(R320="",P320&lt;&gt;""),"Send final note (M4)",IF(R320="","Send follow-up (M2)",IF(AJ320="12 ACTIVATED","7-day check-in; consent &amp; referral soft ask",IF(AJ320="13 Transacting","Repeat-activity support","Onboarding: move to next stage (see playbook §6)"))))))))</f>
        <v/>
      </c>
      <c r="AM320">
        <f>IF(ISNUMBER(AK320),IF(AK320&lt;=TODAY(),"DUE",""),"")</f>
        <v/>
      </c>
      <c r="AN320">
        <f>IF(COUNT(O320,P320,Q320,R320,T320,V320,W320,X320,Y320,Z320,AA320,AC320)=0,"",TODAY()-MAX(O320,P320,Q320,R320,T320,V320,W320,X320,Y320,Z320,AA320,AC320))</f>
        <v/>
      </c>
      <c r="AO320">
        <f>IF(AJ320="","",IF(AND(T320&lt;&gt;"",U320&lt;&gt;"Active (verified)"),"GST: escalate (no tax advice)",IF(AND(IFERROR(VALUE(LEFT(AJ320,2)),0)&gt;=5,AH320&lt;&gt;"YES",ISNUMBER(AN320),AN320&gt;SETTINGS!$B$14),"STUCK in onboarding","")))</f>
        <v/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s="10" t="inlineStr"/>
      <c r="P321" s="10" t="inlineStr"/>
      <c r="Q321" s="10" t="inlineStr"/>
      <c r="R321" s="10" t="inlineStr"/>
      <c r="S321" t="inlineStr"/>
      <c r="T321" s="10" t="inlineStr"/>
      <c r="U321" t="inlineStr"/>
      <c r="V321" s="10" t="inlineStr"/>
      <c r="W321" s="10" t="inlineStr"/>
      <c r="X321" s="10" t="inlineStr"/>
      <c r="Y321" s="10" t="inlineStr"/>
      <c r="Z321" s="10" t="inlineStr"/>
      <c r="AA321" s="10" t="inlineStr"/>
      <c r="AB321" t="inlineStr"/>
      <c r="AC321" s="10" t="inlineStr"/>
      <c r="AD321" t="inlineStr"/>
      <c r="AE321" t="inlineStr"/>
      <c r="AF321" s="10" t="inlineStr"/>
      <c r="AG321" t="inlineStr"/>
      <c r="AH321">
        <f>IF(AND(B321="",C321=""),"",IF(AND(X321&lt;&gt;"",Y321&lt;&gt;"",Z321&lt;&gt;"",AA321&lt;&gt;"",AB321="Y"),"YES","no"))</f>
        <v/>
      </c>
      <c r="AI321" s="10">
        <f>IF(AH321="YES",MAX(X321,Y321,Z321,AA321),"")</f>
        <v/>
      </c>
      <c r="AJ321">
        <f>IF(AND(B321="",C321=""),"",IF(OR(S321="Not interested",S321="Opt-out / do not contact"),"X Declined / suppressed",IF(S321="Bounced / undeliverable","X Bounced — research",IF(AC321&lt;&gt;"","13 Transacting",IF(AH321="YES","12 ACTIVATED",IF(Z321&lt;&gt;"","11 Listing live",IF(Y321&lt;&gt;"","10 Profile complete",IF(X321&lt;&gt;"","9 Approved",IF(W321&lt;&gt;"","8 KYC submitted",IF(V321&lt;&gt;"","7 Registered",IF(T321&lt;&gt;"","5 Interested",IF(R321&lt;&gt;"","4 Responded",IF(O321&lt;&gt;"","2 Contacted","1 Not yet contacted")))))))))))))</f>
        <v/>
      </c>
      <c r="AK321" s="10">
        <f>IF(AF321&lt;&gt;"",AF321,IF(OR(O321="",R321&lt;&gt;"",LEFT(AJ321,1)="X"),"",IF(Q321&lt;&gt;"","",IF(P321&lt;&gt;"",P321+SETTINGS!$B$4,O321+SETTINGS!$B$3))))</f>
        <v/>
      </c>
      <c r="AL321">
        <f>IF(AJ321="","",IF(LEFT(AJ321,1)="X","None — do not contact",IF(AJ321="1 Not yet contacted","Verify route today, then send M1",IF(AND(R321="",Q321&lt;&gt;""),"Sequence complete — no contact before "&amp;TEXT(Q321+SETTINGS!$B$5,"yyyy-mm-dd"),IF(AND(R321="",P321&lt;&gt;""),"Send final note (M4)",IF(R321="","Send follow-up (M2)",IF(AJ321="12 ACTIVATED","7-day check-in; consent &amp; referral soft ask",IF(AJ321="13 Transacting","Repeat-activity support","Onboarding: move to next stage (see playbook §6)"))))))))</f>
        <v/>
      </c>
      <c r="AM321">
        <f>IF(ISNUMBER(AK321),IF(AK321&lt;=TODAY(),"DUE",""),"")</f>
        <v/>
      </c>
      <c r="AN321">
        <f>IF(COUNT(O321,P321,Q321,R321,T321,V321,W321,X321,Y321,Z321,AA321,AC321)=0,"",TODAY()-MAX(O321,P321,Q321,R321,T321,V321,W321,X321,Y321,Z321,AA321,AC321))</f>
        <v/>
      </c>
      <c r="AO321">
        <f>IF(AJ321="","",IF(AND(T321&lt;&gt;"",U321&lt;&gt;"Active (verified)"),"GST: escalate (no tax advice)",IF(AND(IFERROR(VALUE(LEFT(AJ321,2)),0)&gt;=5,AH321&lt;&gt;"YES",ISNUMBER(AN321),AN321&gt;SETTINGS!$B$14),"STUCK in onboarding","")))</f>
        <v/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s="10" t="inlineStr"/>
      <c r="P322" s="10" t="inlineStr"/>
      <c r="Q322" s="10" t="inlineStr"/>
      <c r="R322" s="10" t="inlineStr"/>
      <c r="S322" t="inlineStr"/>
      <c r="T322" s="10" t="inlineStr"/>
      <c r="U322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t="inlineStr"/>
      <c r="AC322" s="10" t="inlineStr"/>
      <c r="AD322" t="inlineStr"/>
      <c r="AE322" t="inlineStr"/>
      <c r="AF322" s="10" t="inlineStr"/>
      <c r="AG322" t="inlineStr"/>
      <c r="AH322">
        <f>IF(AND(B322="",C322=""),"",IF(AND(X322&lt;&gt;"",Y322&lt;&gt;"",Z322&lt;&gt;"",AA322&lt;&gt;"",AB322="Y"),"YES","no"))</f>
        <v/>
      </c>
      <c r="AI322" s="10">
        <f>IF(AH322="YES",MAX(X322,Y322,Z322,AA322),"")</f>
        <v/>
      </c>
      <c r="AJ322">
        <f>IF(AND(B322="",C322=""),"",IF(OR(S322="Not interested",S322="Opt-out / do not contact"),"X Declined / suppressed",IF(S322="Bounced / undeliverable","X Bounced — research",IF(AC322&lt;&gt;"","13 Transacting",IF(AH322="YES","12 ACTIVATED",IF(Z322&lt;&gt;"","11 Listing live",IF(Y322&lt;&gt;"","10 Profile complete",IF(X322&lt;&gt;"","9 Approved",IF(W322&lt;&gt;"","8 KYC submitted",IF(V322&lt;&gt;"","7 Registered",IF(T322&lt;&gt;"","5 Interested",IF(R322&lt;&gt;"","4 Responded",IF(O322&lt;&gt;"","2 Contacted","1 Not yet contacted")))))))))))))</f>
        <v/>
      </c>
      <c r="AK322" s="10">
        <f>IF(AF322&lt;&gt;"",AF322,IF(OR(O322="",R322&lt;&gt;"",LEFT(AJ322,1)="X"),"",IF(Q322&lt;&gt;"","",IF(P322&lt;&gt;"",P322+SETTINGS!$B$4,O322+SETTINGS!$B$3))))</f>
        <v/>
      </c>
      <c r="AL322">
        <f>IF(AJ322="","",IF(LEFT(AJ322,1)="X","None — do not contact",IF(AJ322="1 Not yet contacted","Verify route today, then send M1",IF(AND(R322="",Q322&lt;&gt;""),"Sequence complete — no contact before "&amp;TEXT(Q322+SETTINGS!$B$5,"yyyy-mm-dd"),IF(AND(R322="",P322&lt;&gt;""),"Send final note (M4)",IF(R322="","Send follow-up (M2)",IF(AJ322="12 ACTIVATED","7-day check-in; consent &amp; referral soft ask",IF(AJ322="13 Transacting","Repeat-activity support","Onboarding: move to next stage (see playbook §6)"))))))))</f>
        <v/>
      </c>
      <c r="AM322">
        <f>IF(ISNUMBER(AK322),IF(AK322&lt;=TODAY(),"DUE",""),"")</f>
        <v/>
      </c>
      <c r="AN322">
        <f>IF(COUNT(O322,P322,Q322,R322,T322,V322,W322,X322,Y322,Z322,AA322,AC322)=0,"",TODAY()-MAX(O322,P322,Q322,R322,T322,V322,W322,X322,Y322,Z322,AA322,AC322))</f>
        <v/>
      </c>
      <c r="AO322">
        <f>IF(AJ322="","",IF(AND(T322&lt;&gt;"",U322&lt;&gt;"Active (verified)"),"GST: escalate (no tax advice)",IF(AND(IFERROR(VALUE(LEFT(AJ322,2)),0)&gt;=5,AH322&lt;&gt;"YES",ISNUMBER(AN322),AN322&gt;SETTINGS!$B$14),"STUCK in onboarding","")))</f>
        <v/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s="10" t="inlineStr"/>
      <c r="P323" s="10" t="inlineStr"/>
      <c r="Q323" s="10" t="inlineStr"/>
      <c r="R323" s="10" t="inlineStr"/>
      <c r="S323" t="inlineStr"/>
      <c r="T323" s="10" t="inlineStr"/>
      <c r="U323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t="inlineStr"/>
      <c r="AC323" s="10" t="inlineStr"/>
      <c r="AD323" t="inlineStr"/>
      <c r="AE323" t="inlineStr"/>
      <c r="AF323" s="10" t="inlineStr"/>
      <c r="AG323" t="inlineStr"/>
      <c r="AH323">
        <f>IF(AND(B323="",C323=""),"",IF(AND(X323&lt;&gt;"",Y323&lt;&gt;"",Z323&lt;&gt;"",AA323&lt;&gt;"",AB323="Y"),"YES","no"))</f>
        <v/>
      </c>
      <c r="AI323" s="10">
        <f>IF(AH323="YES",MAX(X323,Y323,Z323,AA323),"")</f>
        <v/>
      </c>
      <c r="AJ323">
        <f>IF(AND(B323="",C323=""),"",IF(OR(S323="Not interested",S323="Opt-out / do not contact"),"X Declined / suppressed",IF(S323="Bounced / undeliverable","X Bounced — research",IF(AC323&lt;&gt;"","13 Transacting",IF(AH323="YES","12 ACTIVATED",IF(Z323&lt;&gt;"","11 Listing live",IF(Y323&lt;&gt;"","10 Profile complete",IF(X323&lt;&gt;"","9 Approved",IF(W323&lt;&gt;"","8 KYC submitted",IF(V323&lt;&gt;"","7 Registered",IF(T323&lt;&gt;"","5 Interested",IF(R323&lt;&gt;"","4 Responded",IF(O323&lt;&gt;"","2 Contacted","1 Not yet contacted")))))))))))))</f>
        <v/>
      </c>
      <c r="AK323" s="10">
        <f>IF(AF323&lt;&gt;"",AF323,IF(OR(O323="",R323&lt;&gt;"",LEFT(AJ323,1)="X"),"",IF(Q323&lt;&gt;"","",IF(P323&lt;&gt;"",P323+SETTINGS!$B$4,O323+SETTINGS!$B$3))))</f>
        <v/>
      </c>
      <c r="AL323">
        <f>IF(AJ323="","",IF(LEFT(AJ323,1)="X","None — do not contact",IF(AJ323="1 Not yet contacted","Verify route today, then send M1",IF(AND(R323="",Q323&lt;&gt;""),"Sequence complete — no contact before "&amp;TEXT(Q323+SETTINGS!$B$5,"yyyy-mm-dd"),IF(AND(R323="",P323&lt;&gt;""),"Send final note (M4)",IF(R323="","Send follow-up (M2)",IF(AJ323="12 ACTIVATED","7-day check-in; consent &amp; referral soft ask",IF(AJ323="13 Transacting","Repeat-activity support","Onboarding: move to next stage (see playbook §6)"))))))))</f>
        <v/>
      </c>
      <c r="AM323">
        <f>IF(ISNUMBER(AK323),IF(AK323&lt;=TODAY(),"DUE",""),"")</f>
        <v/>
      </c>
      <c r="AN323">
        <f>IF(COUNT(O323,P323,Q323,R323,T323,V323,W323,X323,Y323,Z323,AA323,AC323)=0,"",TODAY()-MAX(O323,P323,Q323,R323,T323,V323,W323,X323,Y323,Z323,AA323,AC323))</f>
        <v/>
      </c>
      <c r="AO323">
        <f>IF(AJ323="","",IF(AND(T323&lt;&gt;"",U323&lt;&gt;"Active (verified)"),"GST: escalate (no tax advice)",IF(AND(IFERROR(VALUE(LEFT(AJ323,2)),0)&gt;=5,AH323&lt;&gt;"YES",ISNUMBER(AN323),AN323&gt;SETTINGS!$B$14),"STUCK in onboarding","")))</f>
        <v/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s="10" t="inlineStr"/>
      <c r="P324" s="10" t="inlineStr"/>
      <c r="Q324" s="10" t="inlineStr"/>
      <c r="R324" s="10" t="inlineStr"/>
      <c r="S324" t="inlineStr"/>
      <c r="T324" s="10" t="inlineStr"/>
      <c r="U324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t="inlineStr"/>
      <c r="AC324" s="10" t="inlineStr"/>
      <c r="AD324" t="inlineStr"/>
      <c r="AE324" t="inlineStr"/>
      <c r="AF324" s="10" t="inlineStr"/>
      <c r="AG324" t="inlineStr"/>
      <c r="AH324">
        <f>IF(AND(B324="",C324=""),"",IF(AND(X324&lt;&gt;"",Y324&lt;&gt;"",Z324&lt;&gt;"",AA324&lt;&gt;"",AB324="Y"),"YES","no"))</f>
        <v/>
      </c>
      <c r="AI324" s="10">
        <f>IF(AH324="YES",MAX(X324,Y324,Z324,AA324),"")</f>
        <v/>
      </c>
      <c r="AJ324">
        <f>IF(AND(B324="",C324=""),"",IF(OR(S324="Not interested",S324="Opt-out / do not contact"),"X Declined / suppressed",IF(S324="Bounced / undeliverable","X Bounced — research",IF(AC324&lt;&gt;"","13 Transacting",IF(AH324="YES","12 ACTIVATED",IF(Z324&lt;&gt;"","11 Listing live",IF(Y324&lt;&gt;"","10 Profile complete",IF(X324&lt;&gt;"","9 Approved",IF(W324&lt;&gt;"","8 KYC submitted",IF(V324&lt;&gt;"","7 Registered",IF(T324&lt;&gt;"","5 Interested",IF(R324&lt;&gt;"","4 Responded",IF(O324&lt;&gt;"","2 Contacted","1 Not yet contacted")))))))))))))</f>
        <v/>
      </c>
      <c r="AK324" s="10">
        <f>IF(AF324&lt;&gt;"",AF324,IF(OR(O324="",R324&lt;&gt;"",LEFT(AJ324,1)="X"),"",IF(Q324&lt;&gt;"","",IF(P324&lt;&gt;"",P324+SETTINGS!$B$4,O324+SETTINGS!$B$3))))</f>
        <v/>
      </c>
      <c r="AL324">
        <f>IF(AJ324="","",IF(LEFT(AJ324,1)="X","None — do not contact",IF(AJ324="1 Not yet contacted","Verify route today, then send M1",IF(AND(R324="",Q324&lt;&gt;""),"Sequence complete — no contact before "&amp;TEXT(Q324+SETTINGS!$B$5,"yyyy-mm-dd"),IF(AND(R324="",P324&lt;&gt;""),"Send final note (M4)",IF(R324="","Send follow-up (M2)",IF(AJ324="12 ACTIVATED","7-day check-in; consent &amp; referral soft ask",IF(AJ324="13 Transacting","Repeat-activity support","Onboarding: move to next stage (see playbook §6)"))))))))</f>
        <v/>
      </c>
      <c r="AM324">
        <f>IF(ISNUMBER(AK324),IF(AK324&lt;=TODAY(),"DUE",""),"")</f>
        <v/>
      </c>
      <c r="AN324">
        <f>IF(COUNT(O324,P324,Q324,R324,T324,V324,W324,X324,Y324,Z324,AA324,AC324)=0,"",TODAY()-MAX(O324,P324,Q324,R324,T324,V324,W324,X324,Y324,Z324,AA324,AC324))</f>
        <v/>
      </c>
      <c r="AO324">
        <f>IF(AJ324="","",IF(AND(T324&lt;&gt;"",U324&lt;&gt;"Active (verified)"),"GST: escalate (no tax advice)",IF(AND(IFERROR(VALUE(LEFT(AJ324,2)),0)&gt;=5,AH324&lt;&gt;"YES",ISNUMBER(AN324),AN324&gt;SETTINGS!$B$14),"STUCK in onboarding","")))</f>
        <v/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s="10" t="inlineStr"/>
      <c r="P325" s="10" t="inlineStr"/>
      <c r="Q325" s="10" t="inlineStr"/>
      <c r="R325" s="10" t="inlineStr"/>
      <c r="S325" t="inlineStr"/>
      <c r="T325" s="10" t="inlineStr"/>
      <c r="U325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t="inlineStr"/>
      <c r="AC325" s="10" t="inlineStr"/>
      <c r="AD325" t="inlineStr"/>
      <c r="AE325" t="inlineStr"/>
      <c r="AF325" s="10" t="inlineStr"/>
      <c r="AG325" t="inlineStr"/>
      <c r="AH325">
        <f>IF(AND(B325="",C325=""),"",IF(AND(X325&lt;&gt;"",Y325&lt;&gt;"",Z325&lt;&gt;"",AA325&lt;&gt;"",AB325="Y"),"YES","no"))</f>
        <v/>
      </c>
      <c r="AI325" s="10">
        <f>IF(AH325="YES",MAX(X325,Y325,Z325,AA325),"")</f>
        <v/>
      </c>
      <c r="AJ325">
        <f>IF(AND(B325="",C325=""),"",IF(OR(S325="Not interested",S325="Opt-out / do not contact"),"X Declined / suppressed",IF(S325="Bounced / undeliverable","X Bounced — research",IF(AC325&lt;&gt;"","13 Transacting",IF(AH325="YES","12 ACTIVATED",IF(Z325&lt;&gt;"","11 Listing live",IF(Y325&lt;&gt;"","10 Profile complete",IF(X325&lt;&gt;"","9 Approved",IF(W325&lt;&gt;"","8 KYC submitted",IF(V325&lt;&gt;"","7 Registered",IF(T325&lt;&gt;"","5 Interested",IF(R325&lt;&gt;"","4 Responded",IF(O325&lt;&gt;"","2 Contacted","1 Not yet contacted")))))))))))))</f>
        <v/>
      </c>
      <c r="AK325" s="10">
        <f>IF(AF325&lt;&gt;"",AF325,IF(OR(O325="",R325&lt;&gt;"",LEFT(AJ325,1)="X"),"",IF(Q325&lt;&gt;"","",IF(P325&lt;&gt;"",P325+SETTINGS!$B$4,O325+SETTINGS!$B$3))))</f>
        <v/>
      </c>
      <c r="AL325">
        <f>IF(AJ325="","",IF(LEFT(AJ325,1)="X","None — do not contact",IF(AJ325="1 Not yet contacted","Verify route today, then send M1",IF(AND(R325="",Q325&lt;&gt;""),"Sequence complete — no contact before "&amp;TEXT(Q325+SETTINGS!$B$5,"yyyy-mm-dd"),IF(AND(R325="",P325&lt;&gt;""),"Send final note (M4)",IF(R325="","Send follow-up (M2)",IF(AJ325="12 ACTIVATED","7-day check-in; consent &amp; referral soft ask",IF(AJ325="13 Transacting","Repeat-activity support","Onboarding: move to next stage (see playbook §6)"))))))))</f>
        <v/>
      </c>
      <c r="AM325">
        <f>IF(ISNUMBER(AK325),IF(AK325&lt;=TODAY(),"DUE",""),"")</f>
        <v/>
      </c>
      <c r="AN325">
        <f>IF(COUNT(O325,P325,Q325,R325,T325,V325,W325,X325,Y325,Z325,AA325,AC325)=0,"",TODAY()-MAX(O325,P325,Q325,R325,T325,V325,W325,X325,Y325,Z325,AA325,AC325))</f>
        <v/>
      </c>
      <c r="AO325">
        <f>IF(AJ325="","",IF(AND(T325&lt;&gt;"",U325&lt;&gt;"Active (verified)"),"GST: escalate (no tax advice)",IF(AND(IFERROR(VALUE(LEFT(AJ325,2)),0)&gt;=5,AH325&lt;&gt;"YES",ISNUMBER(AN325),AN325&gt;SETTINGS!$B$14),"STUCK in onboarding","")))</f>
        <v/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s="10" t="inlineStr"/>
      <c r="P326" s="10" t="inlineStr"/>
      <c r="Q326" s="10" t="inlineStr"/>
      <c r="R326" s="10" t="inlineStr"/>
      <c r="S326" t="inlineStr"/>
      <c r="T326" s="10" t="inlineStr"/>
      <c r="U326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t="inlineStr"/>
      <c r="AC326" s="10" t="inlineStr"/>
      <c r="AD326" t="inlineStr"/>
      <c r="AE326" t="inlineStr"/>
      <c r="AF326" s="10" t="inlineStr"/>
      <c r="AG326" t="inlineStr"/>
      <c r="AH326">
        <f>IF(AND(B326="",C326=""),"",IF(AND(X326&lt;&gt;"",Y326&lt;&gt;"",Z326&lt;&gt;"",AA326&lt;&gt;"",AB326="Y"),"YES","no"))</f>
        <v/>
      </c>
      <c r="AI326" s="10">
        <f>IF(AH326="YES",MAX(X326,Y326,Z326,AA326),"")</f>
        <v/>
      </c>
      <c r="AJ326">
        <f>IF(AND(B326="",C326=""),"",IF(OR(S326="Not interested",S326="Opt-out / do not contact"),"X Declined / suppressed",IF(S326="Bounced / undeliverable","X Bounced — research",IF(AC326&lt;&gt;"","13 Transacting",IF(AH326="YES","12 ACTIVATED",IF(Z326&lt;&gt;"","11 Listing live",IF(Y326&lt;&gt;"","10 Profile complete",IF(X326&lt;&gt;"","9 Approved",IF(W326&lt;&gt;"","8 KYC submitted",IF(V326&lt;&gt;"","7 Registered",IF(T326&lt;&gt;"","5 Interested",IF(R326&lt;&gt;"","4 Responded",IF(O326&lt;&gt;"","2 Contacted","1 Not yet contacted")))))))))))))</f>
        <v/>
      </c>
      <c r="AK326" s="10">
        <f>IF(AF326&lt;&gt;"",AF326,IF(OR(O326="",R326&lt;&gt;"",LEFT(AJ326,1)="X"),"",IF(Q326&lt;&gt;"","",IF(P326&lt;&gt;"",P326+SETTINGS!$B$4,O326+SETTINGS!$B$3))))</f>
        <v/>
      </c>
      <c r="AL326">
        <f>IF(AJ326="","",IF(LEFT(AJ326,1)="X","None — do not contact",IF(AJ326="1 Not yet contacted","Verify route today, then send M1",IF(AND(R326="",Q326&lt;&gt;""),"Sequence complete — no contact before "&amp;TEXT(Q326+SETTINGS!$B$5,"yyyy-mm-dd"),IF(AND(R326="",P326&lt;&gt;""),"Send final note (M4)",IF(R326="","Send follow-up (M2)",IF(AJ326="12 ACTIVATED","7-day check-in; consent &amp; referral soft ask",IF(AJ326="13 Transacting","Repeat-activity support","Onboarding: move to next stage (see playbook §6)"))))))))</f>
        <v/>
      </c>
      <c r="AM326">
        <f>IF(ISNUMBER(AK326),IF(AK326&lt;=TODAY(),"DUE",""),"")</f>
        <v/>
      </c>
      <c r="AN326">
        <f>IF(COUNT(O326,P326,Q326,R326,T326,V326,W326,X326,Y326,Z326,AA326,AC326)=0,"",TODAY()-MAX(O326,P326,Q326,R326,T326,V326,W326,X326,Y326,Z326,AA326,AC326))</f>
        <v/>
      </c>
      <c r="AO326">
        <f>IF(AJ326="","",IF(AND(T326&lt;&gt;"",U326&lt;&gt;"Active (verified)"),"GST: escalate (no tax advice)",IF(AND(IFERROR(VALUE(LEFT(AJ326,2)),0)&gt;=5,AH326&lt;&gt;"YES",ISNUMBER(AN326),AN326&gt;SETTINGS!$B$14),"STUCK in onboarding","")))</f>
        <v/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s="10" t="inlineStr"/>
      <c r="P327" s="10" t="inlineStr"/>
      <c r="Q327" s="10" t="inlineStr"/>
      <c r="R327" s="10" t="inlineStr"/>
      <c r="S327" t="inlineStr"/>
      <c r="T327" s="10" t="inlineStr"/>
      <c r="U327" t="inlineStr"/>
      <c r="V327" s="10" t="inlineStr"/>
      <c r="W327" s="10" t="inlineStr"/>
      <c r="X327" s="10" t="inlineStr"/>
      <c r="Y327" s="10" t="inlineStr"/>
      <c r="Z327" s="10" t="inlineStr"/>
      <c r="AA327" s="10" t="inlineStr"/>
      <c r="AB327" t="inlineStr"/>
      <c r="AC327" s="10" t="inlineStr"/>
      <c r="AD327" t="inlineStr"/>
      <c r="AE327" t="inlineStr"/>
      <c r="AF327" s="10" t="inlineStr"/>
      <c r="AG327" t="inlineStr"/>
      <c r="AH327">
        <f>IF(AND(B327="",C327=""),"",IF(AND(X327&lt;&gt;"",Y327&lt;&gt;"",Z327&lt;&gt;"",AA327&lt;&gt;"",AB327="Y"),"YES","no"))</f>
        <v/>
      </c>
      <c r="AI327" s="10">
        <f>IF(AH327="YES",MAX(X327,Y327,Z327,AA327),"")</f>
        <v/>
      </c>
      <c r="AJ327">
        <f>IF(AND(B327="",C327=""),"",IF(OR(S327="Not interested",S327="Opt-out / do not contact"),"X Declined / suppressed",IF(S327="Bounced / undeliverable","X Bounced — research",IF(AC327&lt;&gt;"","13 Transacting",IF(AH327="YES","12 ACTIVATED",IF(Z327&lt;&gt;"","11 Listing live",IF(Y327&lt;&gt;"","10 Profile complete",IF(X327&lt;&gt;"","9 Approved",IF(W327&lt;&gt;"","8 KYC submitted",IF(V327&lt;&gt;"","7 Registered",IF(T327&lt;&gt;"","5 Interested",IF(R327&lt;&gt;"","4 Responded",IF(O327&lt;&gt;"","2 Contacted","1 Not yet contacted")))))))))))))</f>
        <v/>
      </c>
      <c r="AK327" s="10">
        <f>IF(AF327&lt;&gt;"",AF327,IF(OR(O327="",R327&lt;&gt;"",LEFT(AJ327,1)="X"),"",IF(Q327&lt;&gt;"","",IF(P327&lt;&gt;"",P327+SETTINGS!$B$4,O327+SETTINGS!$B$3))))</f>
        <v/>
      </c>
      <c r="AL327">
        <f>IF(AJ327="","",IF(LEFT(AJ327,1)="X","None — do not contact",IF(AJ327="1 Not yet contacted","Verify route today, then send M1",IF(AND(R327="",Q327&lt;&gt;""),"Sequence complete — no contact before "&amp;TEXT(Q327+SETTINGS!$B$5,"yyyy-mm-dd"),IF(AND(R327="",P327&lt;&gt;""),"Send final note (M4)",IF(R327="","Send follow-up (M2)",IF(AJ327="12 ACTIVATED","7-day check-in; consent &amp; referral soft ask",IF(AJ327="13 Transacting","Repeat-activity support","Onboarding: move to next stage (see playbook §6)"))))))))</f>
        <v/>
      </c>
      <c r="AM327">
        <f>IF(ISNUMBER(AK327),IF(AK327&lt;=TODAY(),"DUE",""),"")</f>
        <v/>
      </c>
      <c r="AN327">
        <f>IF(COUNT(O327,P327,Q327,R327,T327,V327,W327,X327,Y327,Z327,AA327,AC327)=0,"",TODAY()-MAX(O327,P327,Q327,R327,T327,V327,W327,X327,Y327,Z327,AA327,AC327))</f>
        <v/>
      </c>
      <c r="AO327">
        <f>IF(AJ327="","",IF(AND(T327&lt;&gt;"",U327&lt;&gt;"Active (verified)"),"GST: escalate (no tax advice)",IF(AND(IFERROR(VALUE(LEFT(AJ327,2)),0)&gt;=5,AH327&lt;&gt;"YES",ISNUMBER(AN327),AN327&gt;SETTINGS!$B$14),"STUCK in onboarding","")))</f>
        <v/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s="10" t="inlineStr"/>
      <c r="P328" s="10" t="inlineStr"/>
      <c r="Q328" s="10" t="inlineStr"/>
      <c r="R328" s="10" t="inlineStr"/>
      <c r="S328" t="inlineStr"/>
      <c r="T328" s="10" t="inlineStr"/>
      <c r="U328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t="inlineStr"/>
      <c r="AC328" s="10" t="inlineStr"/>
      <c r="AD328" t="inlineStr"/>
      <c r="AE328" t="inlineStr"/>
      <c r="AF328" s="10" t="inlineStr"/>
      <c r="AG328" t="inlineStr"/>
      <c r="AH328">
        <f>IF(AND(B328="",C328=""),"",IF(AND(X328&lt;&gt;"",Y328&lt;&gt;"",Z328&lt;&gt;"",AA328&lt;&gt;"",AB328="Y"),"YES","no"))</f>
        <v/>
      </c>
      <c r="AI328" s="10">
        <f>IF(AH328="YES",MAX(X328,Y328,Z328,AA328),"")</f>
        <v/>
      </c>
      <c r="AJ328">
        <f>IF(AND(B328="",C328=""),"",IF(OR(S328="Not interested",S328="Opt-out / do not contact"),"X Declined / suppressed",IF(S328="Bounced / undeliverable","X Bounced — research",IF(AC328&lt;&gt;"","13 Transacting",IF(AH328="YES","12 ACTIVATED",IF(Z328&lt;&gt;"","11 Listing live",IF(Y328&lt;&gt;"","10 Profile complete",IF(X328&lt;&gt;"","9 Approved",IF(W328&lt;&gt;"","8 KYC submitted",IF(V328&lt;&gt;"","7 Registered",IF(T328&lt;&gt;"","5 Interested",IF(R328&lt;&gt;"","4 Responded",IF(O328&lt;&gt;"","2 Contacted","1 Not yet contacted")))))))))))))</f>
        <v/>
      </c>
      <c r="AK328" s="10">
        <f>IF(AF328&lt;&gt;"",AF328,IF(OR(O328="",R328&lt;&gt;"",LEFT(AJ328,1)="X"),"",IF(Q328&lt;&gt;"","",IF(P328&lt;&gt;"",P328+SETTINGS!$B$4,O328+SETTINGS!$B$3))))</f>
        <v/>
      </c>
      <c r="AL328">
        <f>IF(AJ328="","",IF(LEFT(AJ328,1)="X","None — do not contact",IF(AJ328="1 Not yet contacted","Verify route today, then send M1",IF(AND(R328="",Q328&lt;&gt;""),"Sequence complete — no contact before "&amp;TEXT(Q328+SETTINGS!$B$5,"yyyy-mm-dd"),IF(AND(R328="",P328&lt;&gt;""),"Send final note (M4)",IF(R328="","Send follow-up (M2)",IF(AJ328="12 ACTIVATED","7-day check-in; consent &amp; referral soft ask",IF(AJ328="13 Transacting","Repeat-activity support","Onboarding: move to next stage (see playbook §6)"))))))))</f>
        <v/>
      </c>
      <c r="AM328">
        <f>IF(ISNUMBER(AK328),IF(AK328&lt;=TODAY(),"DUE",""),"")</f>
        <v/>
      </c>
      <c r="AN328">
        <f>IF(COUNT(O328,P328,Q328,R328,T328,V328,W328,X328,Y328,Z328,AA328,AC328)=0,"",TODAY()-MAX(O328,P328,Q328,R328,T328,V328,W328,X328,Y328,Z328,AA328,AC328))</f>
        <v/>
      </c>
      <c r="AO328">
        <f>IF(AJ328="","",IF(AND(T328&lt;&gt;"",U328&lt;&gt;"Active (verified)"),"GST: escalate (no tax advice)",IF(AND(IFERROR(VALUE(LEFT(AJ328,2)),0)&gt;=5,AH328&lt;&gt;"YES",ISNUMBER(AN328),AN328&gt;SETTINGS!$B$14),"STUCK in onboarding","")))</f>
        <v/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s="10" t="inlineStr"/>
      <c r="P329" s="10" t="inlineStr"/>
      <c r="Q329" s="10" t="inlineStr"/>
      <c r="R329" s="10" t="inlineStr"/>
      <c r="S329" t="inlineStr"/>
      <c r="T329" s="10" t="inlineStr"/>
      <c r="U329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t="inlineStr"/>
      <c r="AC329" s="10" t="inlineStr"/>
      <c r="AD329" t="inlineStr"/>
      <c r="AE329" t="inlineStr"/>
      <c r="AF329" s="10" t="inlineStr"/>
      <c r="AG329" t="inlineStr"/>
      <c r="AH329">
        <f>IF(AND(B329="",C329=""),"",IF(AND(X329&lt;&gt;"",Y329&lt;&gt;"",Z329&lt;&gt;"",AA329&lt;&gt;"",AB329="Y"),"YES","no"))</f>
        <v/>
      </c>
      <c r="AI329" s="10">
        <f>IF(AH329="YES",MAX(X329,Y329,Z329,AA329),"")</f>
        <v/>
      </c>
      <c r="AJ329">
        <f>IF(AND(B329="",C329=""),"",IF(OR(S329="Not interested",S329="Opt-out / do not contact"),"X Declined / suppressed",IF(S329="Bounced / undeliverable","X Bounced — research",IF(AC329&lt;&gt;"","13 Transacting",IF(AH329="YES","12 ACTIVATED",IF(Z329&lt;&gt;"","11 Listing live",IF(Y329&lt;&gt;"","10 Profile complete",IF(X329&lt;&gt;"","9 Approved",IF(W329&lt;&gt;"","8 KYC submitted",IF(V329&lt;&gt;"","7 Registered",IF(T329&lt;&gt;"","5 Interested",IF(R329&lt;&gt;"","4 Responded",IF(O329&lt;&gt;"","2 Contacted","1 Not yet contacted")))))))))))))</f>
        <v/>
      </c>
      <c r="AK329" s="10">
        <f>IF(AF329&lt;&gt;"",AF329,IF(OR(O329="",R329&lt;&gt;"",LEFT(AJ329,1)="X"),"",IF(Q329&lt;&gt;"","",IF(P329&lt;&gt;"",P329+SETTINGS!$B$4,O329+SETTINGS!$B$3))))</f>
        <v/>
      </c>
      <c r="AL329">
        <f>IF(AJ329="","",IF(LEFT(AJ329,1)="X","None — do not contact",IF(AJ329="1 Not yet contacted","Verify route today, then send M1",IF(AND(R329="",Q329&lt;&gt;""),"Sequence complete — no contact before "&amp;TEXT(Q329+SETTINGS!$B$5,"yyyy-mm-dd"),IF(AND(R329="",P329&lt;&gt;""),"Send final note (M4)",IF(R329="","Send follow-up (M2)",IF(AJ329="12 ACTIVATED","7-day check-in; consent &amp; referral soft ask",IF(AJ329="13 Transacting","Repeat-activity support","Onboarding: move to next stage (see playbook §6)"))))))))</f>
        <v/>
      </c>
      <c r="AM329">
        <f>IF(ISNUMBER(AK329),IF(AK329&lt;=TODAY(),"DUE",""),"")</f>
        <v/>
      </c>
      <c r="AN329">
        <f>IF(COUNT(O329,P329,Q329,R329,T329,V329,W329,X329,Y329,Z329,AA329,AC329)=0,"",TODAY()-MAX(O329,P329,Q329,R329,T329,V329,W329,X329,Y329,Z329,AA329,AC329))</f>
        <v/>
      </c>
      <c r="AO329">
        <f>IF(AJ329="","",IF(AND(T329&lt;&gt;"",U329&lt;&gt;"Active (verified)"),"GST: escalate (no tax advice)",IF(AND(IFERROR(VALUE(LEFT(AJ329,2)),0)&gt;=5,AH329&lt;&gt;"YES",ISNUMBER(AN329),AN329&gt;SETTINGS!$B$14),"STUCK in onboarding","")))</f>
        <v/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s="10" t="inlineStr"/>
      <c r="P330" s="10" t="inlineStr"/>
      <c r="Q330" s="10" t="inlineStr"/>
      <c r="R330" s="10" t="inlineStr"/>
      <c r="S330" t="inlineStr"/>
      <c r="T330" s="10" t="inlineStr"/>
      <c r="U330" t="inlineStr"/>
      <c r="V330" s="10" t="inlineStr"/>
      <c r="W330" s="10" t="inlineStr"/>
      <c r="X330" s="10" t="inlineStr"/>
      <c r="Y330" s="10" t="inlineStr"/>
      <c r="Z330" s="10" t="inlineStr"/>
      <c r="AA330" s="10" t="inlineStr"/>
      <c r="AB330" t="inlineStr"/>
      <c r="AC330" s="10" t="inlineStr"/>
      <c r="AD330" t="inlineStr"/>
      <c r="AE330" t="inlineStr"/>
      <c r="AF330" s="10" t="inlineStr"/>
      <c r="AG330" t="inlineStr"/>
      <c r="AH330">
        <f>IF(AND(B330="",C330=""),"",IF(AND(X330&lt;&gt;"",Y330&lt;&gt;"",Z330&lt;&gt;"",AA330&lt;&gt;"",AB330="Y"),"YES","no"))</f>
        <v/>
      </c>
      <c r="AI330" s="10">
        <f>IF(AH330="YES",MAX(X330,Y330,Z330,AA330),"")</f>
        <v/>
      </c>
      <c r="AJ330">
        <f>IF(AND(B330="",C330=""),"",IF(OR(S330="Not interested",S330="Opt-out / do not contact"),"X Declined / suppressed",IF(S330="Bounced / undeliverable","X Bounced — research",IF(AC330&lt;&gt;"","13 Transacting",IF(AH330="YES","12 ACTIVATED",IF(Z330&lt;&gt;"","11 Listing live",IF(Y330&lt;&gt;"","10 Profile complete",IF(X330&lt;&gt;"","9 Approved",IF(W330&lt;&gt;"","8 KYC submitted",IF(V330&lt;&gt;"","7 Registered",IF(T330&lt;&gt;"","5 Interested",IF(R330&lt;&gt;"","4 Responded",IF(O330&lt;&gt;"","2 Contacted","1 Not yet contacted")))))))))))))</f>
        <v/>
      </c>
      <c r="AK330" s="10">
        <f>IF(AF330&lt;&gt;"",AF330,IF(OR(O330="",R330&lt;&gt;"",LEFT(AJ330,1)="X"),"",IF(Q330&lt;&gt;"","",IF(P330&lt;&gt;"",P330+SETTINGS!$B$4,O330+SETTINGS!$B$3))))</f>
        <v/>
      </c>
      <c r="AL330">
        <f>IF(AJ330="","",IF(LEFT(AJ330,1)="X","None — do not contact",IF(AJ330="1 Not yet contacted","Verify route today, then send M1",IF(AND(R330="",Q330&lt;&gt;""),"Sequence complete — no contact before "&amp;TEXT(Q330+SETTINGS!$B$5,"yyyy-mm-dd"),IF(AND(R330="",P330&lt;&gt;""),"Send final note (M4)",IF(R330="","Send follow-up (M2)",IF(AJ330="12 ACTIVATED","7-day check-in; consent &amp; referral soft ask",IF(AJ330="13 Transacting","Repeat-activity support","Onboarding: move to next stage (see playbook §6)"))))))))</f>
        <v/>
      </c>
      <c r="AM330">
        <f>IF(ISNUMBER(AK330),IF(AK330&lt;=TODAY(),"DUE",""),"")</f>
        <v/>
      </c>
      <c r="AN330">
        <f>IF(COUNT(O330,P330,Q330,R330,T330,V330,W330,X330,Y330,Z330,AA330,AC330)=0,"",TODAY()-MAX(O330,P330,Q330,R330,T330,V330,W330,X330,Y330,Z330,AA330,AC330))</f>
        <v/>
      </c>
      <c r="AO330">
        <f>IF(AJ330="","",IF(AND(T330&lt;&gt;"",U330&lt;&gt;"Active (verified)"),"GST: escalate (no tax advice)",IF(AND(IFERROR(VALUE(LEFT(AJ330,2)),0)&gt;=5,AH330&lt;&gt;"YES",ISNUMBER(AN330),AN330&gt;SETTINGS!$B$14),"STUCK in onboarding","")))</f>
        <v/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s="10" t="inlineStr"/>
      <c r="P331" s="10" t="inlineStr"/>
      <c r="Q331" s="10" t="inlineStr"/>
      <c r="R331" s="10" t="inlineStr"/>
      <c r="S331" t="inlineStr"/>
      <c r="T331" s="10" t="inlineStr"/>
      <c r="U331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t="inlineStr"/>
      <c r="AC331" s="10" t="inlineStr"/>
      <c r="AD331" t="inlineStr"/>
      <c r="AE331" t="inlineStr"/>
      <c r="AF331" s="10" t="inlineStr"/>
      <c r="AG331" t="inlineStr"/>
      <c r="AH331">
        <f>IF(AND(B331="",C331=""),"",IF(AND(X331&lt;&gt;"",Y331&lt;&gt;"",Z331&lt;&gt;"",AA331&lt;&gt;"",AB331="Y"),"YES","no"))</f>
        <v/>
      </c>
      <c r="AI331" s="10">
        <f>IF(AH331="YES",MAX(X331,Y331,Z331,AA331),"")</f>
        <v/>
      </c>
      <c r="AJ331">
        <f>IF(AND(B331="",C331=""),"",IF(OR(S331="Not interested",S331="Opt-out / do not contact"),"X Declined / suppressed",IF(S331="Bounced / undeliverable","X Bounced — research",IF(AC331&lt;&gt;"","13 Transacting",IF(AH331="YES","12 ACTIVATED",IF(Z331&lt;&gt;"","11 Listing live",IF(Y331&lt;&gt;"","10 Profile complete",IF(X331&lt;&gt;"","9 Approved",IF(W331&lt;&gt;"","8 KYC submitted",IF(V331&lt;&gt;"","7 Registered",IF(T331&lt;&gt;"","5 Interested",IF(R331&lt;&gt;"","4 Responded",IF(O331&lt;&gt;"","2 Contacted","1 Not yet contacted")))))))))))))</f>
        <v/>
      </c>
      <c r="AK331" s="10">
        <f>IF(AF331&lt;&gt;"",AF331,IF(OR(O331="",R331&lt;&gt;"",LEFT(AJ331,1)="X"),"",IF(Q331&lt;&gt;"","",IF(P331&lt;&gt;"",P331+SETTINGS!$B$4,O331+SETTINGS!$B$3))))</f>
        <v/>
      </c>
      <c r="AL331">
        <f>IF(AJ331="","",IF(LEFT(AJ331,1)="X","None — do not contact",IF(AJ331="1 Not yet contacted","Verify route today, then send M1",IF(AND(R331="",Q331&lt;&gt;""),"Sequence complete — no contact before "&amp;TEXT(Q331+SETTINGS!$B$5,"yyyy-mm-dd"),IF(AND(R331="",P331&lt;&gt;""),"Send final note (M4)",IF(R331="","Send follow-up (M2)",IF(AJ331="12 ACTIVATED","7-day check-in; consent &amp; referral soft ask",IF(AJ331="13 Transacting","Repeat-activity support","Onboarding: move to next stage (see playbook §6)"))))))))</f>
        <v/>
      </c>
      <c r="AM331">
        <f>IF(ISNUMBER(AK331),IF(AK331&lt;=TODAY(),"DUE",""),"")</f>
        <v/>
      </c>
      <c r="AN331">
        <f>IF(COUNT(O331,P331,Q331,R331,T331,V331,W331,X331,Y331,Z331,AA331,AC331)=0,"",TODAY()-MAX(O331,P331,Q331,R331,T331,V331,W331,X331,Y331,Z331,AA331,AC331))</f>
        <v/>
      </c>
      <c r="AO331">
        <f>IF(AJ331="","",IF(AND(T331&lt;&gt;"",U331&lt;&gt;"Active (verified)"),"GST: escalate (no tax advice)",IF(AND(IFERROR(VALUE(LEFT(AJ331,2)),0)&gt;=5,AH331&lt;&gt;"YES",ISNUMBER(AN331),AN331&gt;SETTINGS!$B$14),"STUCK in onboarding","")))</f>
        <v/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s="10" t="inlineStr"/>
      <c r="P332" s="10" t="inlineStr"/>
      <c r="Q332" s="10" t="inlineStr"/>
      <c r="R332" s="10" t="inlineStr"/>
      <c r="S332" t="inlineStr"/>
      <c r="T332" s="10" t="inlineStr"/>
      <c r="U332" t="inlineStr"/>
      <c r="V332" s="10" t="inlineStr"/>
      <c r="W332" s="10" t="inlineStr"/>
      <c r="X332" s="10" t="inlineStr"/>
      <c r="Y332" s="10" t="inlineStr"/>
      <c r="Z332" s="10" t="inlineStr"/>
      <c r="AA332" s="10" t="inlineStr"/>
      <c r="AB332" t="inlineStr"/>
      <c r="AC332" s="10" t="inlineStr"/>
      <c r="AD332" t="inlineStr"/>
      <c r="AE332" t="inlineStr"/>
      <c r="AF332" s="10" t="inlineStr"/>
      <c r="AG332" t="inlineStr"/>
      <c r="AH332">
        <f>IF(AND(B332="",C332=""),"",IF(AND(X332&lt;&gt;"",Y332&lt;&gt;"",Z332&lt;&gt;"",AA332&lt;&gt;"",AB332="Y"),"YES","no"))</f>
        <v/>
      </c>
      <c r="AI332" s="10">
        <f>IF(AH332="YES",MAX(X332,Y332,Z332,AA332),"")</f>
        <v/>
      </c>
      <c r="AJ332">
        <f>IF(AND(B332="",C332=""),"",IF(OR(S332="Not interested",S332="Opt-out / do not contact"),"X Declined / suppressed",IF(S332="Bounced / undeliverable","X Bounced — research",IF(AC332&lt;&gt;"","13 Transacting",IF(AH332="YES","12 ACTIVATED",IF(Z332&lt;&gt;"","11 Listing live",IF(Y332&lt;&gt;"","10 Profile complete",IF(X332&lt;&gt;"","9 Approved",IF(W332&lt;&gt;"","8 KYC submitted",IF(V332&lt;&gt;"","7 Registered",IF(T332&lt;&gt;"","5 Interested",IF(R332&lt;&gt;"","4 Responded",IF(O332&lt;&gt;"","2 Contacted","1 Not yet contacted")))))))))))))</f>
        <v/>
      </c>
      <c r="AK332" s="10">
        <f>IF(AF332&lt;&gt;"",AF332,IF(OR(O332="",R332&lt;&gt;"",LEFT(AJ332,1)="X"),"",IF(Q332&lt;&gt;"","",IF(P332&lt;&gt;"",P332+SETTINGS!$B$4,O332+SETTINGS!$B$3))))</f>
        <v/>
      </c>
      <c r="AL332">
        <f>IF(AJ332="","",IF(LEFT(AJ332,1)="X","None — do not contact",IF(AJ332="1 Not yet contacted","Verify route today, then send M1",IF(AND(R332="",Q332&lt;&gt;""),"Sequence complete — no contact before "&amp;TEXT(Q332+SETTINGS!$B$5,"yyyy-mm-dd"),IF(AND(R332="",P332&lt;&gt;""),"Send final note (M4)",IF(R332="","Send follow-up (M2)",IF(AJ332="12 ACTIVATED","7-day check-in; consent &amp; referral soft ask",IF(AJ332="13 Transacting","Repeat-activity support","Onboarding: move to next stage (see playbook §6)"))))))))</f>
        <v/>
      </c>
      <c r="AM332">
        <f>IF(ISNUMBER(AK332),IF(AK332&lt;=TODAY(),"DUE",""),"")</f>
        <v/>
      </c>
      <c r="AN332">
        <f>IF(COUNT(O332,P332,Q332,R332,T332,V332,W332,X332,Y332,Z332,AA332,AC332)=0,"",TODAY()-MAX(O332,P332,Q332,R332,T332,V332,W332,X332,Y332,Z332,AA332,AC332))</f>
        <v/>
      </c>
      <c r="AO332">
        <f>IF(AJ332="","",IF(AND(T332&lt;&gt;"",U332&lt;&gt;"Active (verified)"),"GST: escalate (no tax advice)",IF(AND(IFERROR(VALUE(LEFT(AJ332,2)),0)&gt;=5,AH332&lt;&gt;"YES",ISNUMBER(AN332),AN332&gt;SETTINGS!$B$14),"STUCK in onboarding","")))</f>
        <v/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s="10" t="inlineStr"/>
      <c r="P333" s="10" t="inlineStr"/>
      <c r="Q333" s="10" t="inlineStr"/>
      <c r="R333" s="10" t="inlineStr"/>
      <c r="S333" t="inlineStr"/>
      <c r="T333" s="10" t="inlineStr"/>
      <c r="U333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t="inlineStr"/>
      <c r="AC333" s="10" t="inlineStr"/>
      <c r="AD333" t="inlineStr"/>
      <c r="AE333" t="inlineStr"/>
      <c r="AF333" s="10" t="inlineStr"/>
      <c r="AG333" t="inlineStr"/>
      <c r="AH333">
        <f>IF(AND(B333="",C333=""),"",IF(AND(X333&lt;&gt;"",Y333&lt;&gt;"",Z333&lt;&gt;"",AA333&lt;&gt;"",AB333="Y"),"YES","no"))</f>
        <v/>
      </c>
      <c r="AI333" s="10">
        <f>IF(AH333="YES",MAX(X333,Y333,Z333,AA333),"")</f>
        <v/>
      </c>
      <c r="AJ333">
        <f>IF(AND(B333="",C333=""),"",IF(OR(S333="Not interested",S333="Opt-out / do not contact"),"X Declined / suppressed",IF(S333="Bounced / undeliverable","X Bounced — research",IF(AC333&lt;&gt;"","13 Transacting",IF(AH333="YES","12 ACTIVATED",IF(Z333&lt;&gt;"","11 Listing live",IF(Y333&lt;&gt;"","10 Profile complete",IF(X333&lt;&gt;"","9 Approved",IF(W333&lt;&gt;"","8 KYC submitted",IF(V333&lt;&gt;"","7 Registered",IF(T333&lt;&gt;"","5 Interested",IF(R333&lt;&gt;"","4 Responded",IF(O333&lt;&gt;"","2 Contacted","1 Not yet contacted")))))))))))))</f>
        <v/>
      </c>
      <c r="AK333" s="10">
        <f>IF(AF333&lt;&gt;"",AF333,IF(OR(O333="",R333&lt;&gt;"",LEFT(AJ333,1)="X"),"",IF(Q333&lt;&gt;"","",IF(P333&lt;&gt;"",P333+SETTINGS!$B$4,O333+SETTINGS!$B$3))))</f>
        <v/>
      </c>
      <c r="AL333">
        <f>IF(AJ333="","",IF(LEFT(AJ333,1)="X","None — do not contact",IF(AJ333="1 Not yet contacted","Verify route today, then send M1",IF(AND(R333="",Q333&lt;&gt;""),"Sequence complete — no contact before "&amp;TEXT(Q333+SETTINGS!$B$5,"yyyy-mm-dd"),IF(AND(R333="",P333&lt;&gt;""),"Send final note (M4)",IF(R333="","Send follow-up (M2)",IF(AJ333="12 ACTIVATED","7-day check-in; consent &amp; referral soft ask",IF(AJ333="13 Transacting","Repeat-activity support","Onboarding: move to next stage (see playbook §6)"))))))))</f>
        <v/>
      </c>
      <c r="AM333">
        <f>IF(ISNUMBER(AK333),IF(AK333&lt;=TODAY(),"DUE",""),"")</f>
        <v/>
      </c>
      <c r="AN333">
        <f>IF(COUNT(O333,P333,Q333,R333,T333,V333,W333,X333,Y333,Z333,AA333,AC333)=0,"",TODAY()-MAX(O333,P333,Q333,R333,T333,V333,W333,X333,Y333,Z333,AA333,AC333))</f>
        <v/>
      </c>
      <c r="AO333">
        <f>IF(AJ333="","",IF(AND(T333&lt;&gt;"",U333&lt;&gt;"Active (verified)"),"GST: escalate (no tax advice)",IF(AND(IFERROR(VALUE(LEFT(AJ333,2)),0)&gt;=5,AH333&lt;&gt;"YES",ISNUMBER(AN333),AN333&gt;SETTINGS!$B$14),"STUCK in onboarding","")))</f>
        <v/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s="10" t="inlineStr"/>
      <c r="P334" s="10" t="inlineStr"/>
      <c r="Q334" s="10" t="inlineStr"/>
      <c r="R334" s="10" t="inlineStr"/>
      <c r="S334" t="inlineStr"/>
      <c r="T334" s="10" t="inlineStr"/>
      <c r="U334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t="inlineStr"/>
      <c r="AC334" s="10" t="inlineStr"/>
      <c r="AD334" t="inlineStr"/>
      <c r="AE334" t="inlineStr"/>
      <c r="AF334" s="10" t="inlineStr"/>
      <c r="AG334" t="inlineStr"/>
      <c r="AH334">
        <f>IF(AND(B334="",C334=""),"",IF(AND(X334&lt;&gt;"",Y334&lt;&gt;"",Z334&lt;&gt;"",AA334&lt;&gt;"",AB334="Y"),"YES","no"))</f>
        <v/>
      </c>
      <c r="AI334" s="10">
        <f>IF(AH334="YES",MAX(X334,Y334,Z334,AA334),"")</f>
        <v/>
      </c>
      <c r="AJ334">
        <f>IF(AND(B334="",C334=""),"",IF(OR(S334="Not interested",S334="Opt-out / do not contact"),"X Declined / suppressed",IF(S334="Bounced / undeliverable","X Bounced — research",IF(AC334&lt;&gt;"","13 Transacting",IF(AH334="YES","12 ACTIVATED",IF(Z334&lt;&gt;"","11 Listing live",IF(Y334&lt;&gt;"","10 Profile complete",IF(X334&lt;&gt;"","9 Approved",IF(W334&lt;&gt;"","8 KYC submitted",IF(V334&lt;&gt;"","7 Registered",IF(T334&lt;&gt;"","5 Interested",IF(R334&lt;&gt;"","4 Responded",IF(O334&lt;&gt;"","2 Contacted","1 Not yet contacted")))))))))))))</f>
        <v/>
      </c>
      <c r="AK334" s="10">
        <f>IF(AF334&lt;&gt;"",AF334,IF(OR(O334="",R334&lt;&gt;"",LEFT(AJ334,1)="X"),"",IF(Q334&lt;&gt;"","",IF(P334&lt;&gt;"",P334+SETTINGS!$B$4,O334+SETTINGS!$B$3))))</f>
        <v/>
      </c>
      <c r="AL334">
        <f>IF(AJ334="","",IF(LEFT(AJ334,1)="X","None — do not contact",IF(AJ334="1 Not yet contacted","Verify route today, then send M1",IF(AND(R334="",Q334&lt;&gt;""),"Sequence complete — no contact before "&amp;TEXT(Q334+SETTINGS!$B$5,"yyyy-mm-dd"),IF(AND(R334="",P334&lt;&gt;""),"Send final note (M4)",IF(R334="","Send follow-up (M2)",IF(AJ334="12 ACTIVATED","7-day check-in; consent &amp; referral soft ask",IF(AJ334="13 Transacting","Repeat-activity support","Onboarding: move to next stage (see playbook §6)"))))))))</f>
        <v/>
      </c>
      <c r="AM334">
        <f>IF(ISNUMBER(AK334),IF(AK334&lt;=TODAY(),"DUE",""),"")</f>
        <v/>
      </c>
      <c r="AN334">
        <f>IF(COUNT(O334,P334,Q334,R334,T334,V334,W334,X334,Y334,Z334,AA334,AC334)=0,"",TODAY()-MAX(O334,P334,Q334,R334,T334,V334,W334,X334,Y334,Z334,AA334,AC334))</f>
        <v/>
      </c>
      <c r="AO334">
        <f>IF(AJ334="","",IF(AND(T334&lt;&gt;"",U334&lt;&gt;"Active (verified)"),"GST: escalate (no tax advice)",IF(AND(IFERROR(VALUE(LEFT(AJ334,2)),0)&gt;=5,AH334&lt;&gt;"YES",ISNUMBER(AN334),AN334&gt;SETTINGS!$B$14),"STUCK in onboarding","")))</f>
        <v/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s="10" t="inlineStr"/>
      <c r="P335" s="10" t="inlineStr"/>
      <c r="Q335" s="10" t="inlineStr"/>
      <c r="R335" s="10" t="inlineStr"/>
      <c r="S335" t="inlineStr"/>
      <c r="T335" s="10" t="inlineStr"/>
      <c r="U335" t="inlineStr"/>
      <c r="V335" s="10" t="inlineStr"/>
      <c r="W335" s="10" t="inlineStr"/>
      <c r="X335" s="10" t="inlineStr"/>
      <c r="Y335" s="10" t="inlineStr"/>
      <c r="Z335" s="10" t="inlineStr"/>
      <c r="AA335" s="10" t="inlineStr"/>
      <c r="AB335" t="inlineStr"/>
      <c r="AC335" s="10" t="inlineStr"/>
      <c r="AD335" t="inlineStr"/>
      <c r="AE335" t="inlineStr"/>
      <c r="AF335" s="10" t="inlineStr"/>
      <c r="AG335" t="inlineStr"/>
      <c r="AH335">
        <f>IF(AND(B335="",C335=""),"",IF(AND(X335&lt;&gt;"",Y335&lt;&gt;"",Z335&lt;&gt;"",AA335&lt;&gt;"",AB335="Y"),"YES","no"))</f>
        <v/>
      </c>
      <c r="AI335" s="10">
        <f>IF(AH335="YES",MAX(X335,Y335,Z335,AA335),"")</f>
        <v/>
      </c>
      <c r="AJ335">
        <f>IF(AND(B335="",C335=""),"",IF(OR(S335="Not interested",S335="Opt-out / do not contact"),"X Declined / suppressed",IF(S335="Bounced / undeliverable","X Bounced — research",IF(AC335&lt;&gt;"","13 Transacting",IF(AH335="YES","12 ACTIVATED",IF(Z335&lt;&gt;"","11 Listing live",IF(Y335&lt;&gt;"","10 Profile complete",IF(X335&lt;&gt;"","9 Approved",IF(W335&lt;&gt;"","8 KYC submitted",IF(V335&lt;&gt;"","7 Registered",IF(T335&lt;&gt;"","5 Interested",IF(R335&lt;&gt;"","4 Responded",IF(O335&lt;&gt;"","2 Contacted","1 Not yet contacted")))))))))))))</f>
        <v/>
      </c>
      <c r="AK335" s="10">
        <f>IF(AF335&lt;&gt;"",AF335,IF(OR(O335="",R335&lt;&gt;"",LEFT(AJ335,1)="X"),"",IF(Q335&lt;&gt;"","",IF(P335&lt;&gt;"",P335+SETTINGS!$B$4,O335+SETTINGS!$B$3))))</f>
        <v/>
      </c>
      <c r="AL335">
        <f>IF(AJ335="","",IF(LEFT(AJ335,1)="X","None — do not contact",IF(AJ335="1 Not yet contacted","Verify route today, then send M1",IF(AND(R335="",Q335&lt;&gt;""),"Sequence complete — no contact before "&amp;TEXT(Q335+SETTINGS!$B$5,"yyyy-mm-dd"),IF(AND(R335="",P335&lt;&gt;""),"Send final note (M4)",IF(R335="","Send follow-up (M2)",IF(AJ335="12 ACTIVATED","7-day check-in; consent &amp; referral soft ask",IF(AJ335="13 Transacting","Repeat-activity support","Onboarding: move to next stage (see playbook §6)"))))))))</f>
        <v/>
      </c>
      <c r="AM335">
        <f>IF(ISNUMBER(AK335),IF(AK335&lt;=TODAY(),"DUE",""),"")</f>
        <v/>
      </c>
      <c r="AN335">
        <f>IF(COUNT(O335,P335,Q335,R335,T335,V335,W335,X335,Y335,Z335,AA335,AC335)=0,"",TODAY()-MAX(O335,P335,Q335,R335,T335,V335,W335,X335,Y335,Z335,AA335,AC335))</f>
        <v/>
      </c>
      <c r="AO335">
        <f>IF(AJ335="","",IF(AND(T335&lt;&gt;"",U335&lt;&gt;"Active (verified)"),"GST: escalate (no tax advice)",IF(AND(IFERROR(VALUE(LEFT(AJ335,2)),0)&gt;=5,AH335&lt;&gt;"YES",ISNUMBER(AN335),AN335&gt;SETTINGS!$B$14),"STUCK in onboarding","")))</f>
        <v/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s="10" t="inlineStr"/>
      <c r="P336" s="10" t="inlineStr"/>
      <c r="Q336" s="10" t="inlineStr"/>
      <c r="R336" s="10" t="inlineStr"/>
      <c r="S336" t="inlineStr"/>
      <c r="T336" s="10" t="inlineStr"/>
      <c r="U336" t="inlineStr"/>
      <c r="V336" s="10" t="inlineStr"/>
      <c r="W336" s="10" t="inlineStr"/>
      <c r="X336" s="10" t="inlineStr"/>
      <c r="Y336" s="10" t="inlineStr"/>
      <c r="Z336" s="10" t="inlineStr"/>
      <c r="AA336" s="10" t="inlineStr"/>
      <c r="AB336" t="inlineStr"/>
      <c r="AC336" s="10" t="inlineStr"/>
      <c r="AD336" t="inlineStr"/>
      <c r="AE336" t="inlineStr"/>
      <c r="AF336" s="10" t="inlineStr"/>
      <c r="AG336" t="inlineStr"/>
      <c r="AH336">
        <f>IF(AND(B336="",C336=""),"",IF(AND(X336&lt;&gt;"",Y336&lt;&gt;"",Z336&lt;&gt;"",AA336&lt;&gt;"",AB336="Y"),"YES","no"))</f>
        <v/>
      </c>
      <c r="AI336" s="10">
        <f>IF(AH336="YES",MAX(X336,Y336,Z336,AA336),"")</f>
        <v/>
      </c>
      <c r="AJ336">
        <f>IF(AND(B336="",C336=""),"",IF(OR(S336="Not interested",S336="Opt-out / do not contact"),"X Declined / suppressed",IF(S336="Bounced / undeliverable","X Bounced — research",IF(AC336&lt;&gt;"","13 Transacting",IF(AH336="YES","12 ACTIVATED",IF(Z336&lt;&gt;"","11 Listing live",IF(Y336&lt;&gt;"","10 Profile complete",IF(X336&lt;&gt;"","9 Approved",IF(W336&lt;&gt;"","8 KYC submitted",IF(V336&lt;&gt;"","7 Registered",IF(T336&lt;&gt;"","5 Interested",IF(R336&lt;&gt;"","4 Responded",IF(O336&lt;&gt;"","2 Contacted","1 Not yet contacted")))))))))))))</f>
        <v/>
      </c>
      <c r="AK336" s="10">
        <f>IF(AF336&lt;&gt;"",AF336,IF(OR(O336="",R336&lt;&gt;"",LEFT(AJ336,1)="X"),"",IF(Q336&lt;&gt;"","",IF(P336&lt;&gt;"",P336+SETTINGS!$B$4,O336+SETTINGS!$B$3))))</f>
        <v/>
      </c>
      <c r="AL336">
        <f>IF(AJ336="","",IF(LEFT(AJ336,1)="X","None — do not contact",IF(AJ336="1 Not yet contacted","Verify route today, then send M1",IF(AND(R336="",Q336&lt;&gt;""),"Sequence complete — no contact before "&amp;TEXT(Q336+SETTINGS!$B$5,"yyyy-mm-dd"),IF(AND(R336="",P336&lt;&gt;""),"Send final note (M4)",IF(R336="","Send follow-up (M2)",IF(AJ336="12 ACTIVATED","7-day check-in; consent &amp; referral soft ask",IF(AJ336="13 Transacting","Repeat-activity support","Onboarding: move to next stage (see playbook §6)"))))))))</f>
        <v/>
      </c>
      <c r="AM336">
        <f>IF(ISNUMBER(AK336),IF(AK336&lt;=TODAY(),"DUE",""),"")</f>
        <v/>
      </c>
      <c r="AN336">
        <f>IF(COUNT(O336,P336,Q336,R336,T336,V336,W336,X336,Y336,Z336,AA336,AC336)=0,"",TODAY()-MAX(O336,P336,Q336,R336,T336,V336,W336,X336,Y336,Z336,AA336,AC336))</f>
        <v/>
      </c>
      <c r="AO336">
        <f>IF(AJ336="","",IF(AND(T336&lt;&gt;"",U336&lt;&gt;"Active (verified)"),"GST: escalate (no tax advice)",IF(AND(IFERROR(VALUE(LEFT(AJ336,2)),0)&gt;=5,AH336&lt;&gt;"YES",ISNUMBER(AN336),AN336&gt;SETTINGS!$B$14),"STUCK in onboarding","")))</f>
        <v/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s="10" t="inlineStr"/>
      <c r="P337" s="10" t="inlineStr"/>
      <c r="Q337" s="10" t="inlineStr"/>
      <c r="R337" s="10" t="inlineStr"/>
      <c r="S337" t="inlineStr"/>
      <c r="T337" s="10" t="inlineStr"/>
      <c r="U337" t="inlineStr"/>
      <c r="V337" s="10" t="inlineStr"/>
      <c r="W337" s="10" t="inlineStr"/>
      <c r="X337" s="10" t="inlineStr"/>
      <c r="Y337" s="10" t="inlineStr"/>
      <c r="Z337" s="10" t="inlineStr"/>
      <c r="AA337" s="10" t="inlineStr"/>
      <c r="AB337" t="inlineStr"/>
      <c r="AC337" s="10" t="inlineStr"/>
      <c r="AD337" t="inlineStr"/>
      <c r="AE337" t="inlineStr"/>
      <c r="AF337" s="10" t="inlineStr"/>
      <c r="AG337" t="inlineStr"/>
      <c r="AH337">
        <f>IF(AND(B337="",C337=""),"",IF(AND(X337&lt;&gt;"",Y337&lt;&gt;"",Z337&lt;&gt;"",AA337&lt;&gt;"",AB337="Y"),"YES","no"))</f>
        <v/>
      </c>
      <c r="AI337" s="10">
        <f>IF(AH337="YES",MAX(X337,Y337,Z337,AA337),"")</f>
        <v/>
      </c>
      <c r="AJ337">
        <f>IF(AND(B337="",C337=""),"",IF(OR(S337="Not interested",S337="Opt-out / do not contact"),"X Declined / suppressed",IF(S337="Bounced / undeliverable","X Bounced — research",IF(AC337&lt;&gt;"","13 Transacting",IF(AH337="YES","12 ACTIVATED",IF(Z337&lt;&gt;"","11 Listing live",IF(Y337&lt;&gt;"","10 Profile complete",IF(X337&lt;&gt;"","9 Approved",IF(W337&lt;&gt;"","8 KYC submitted",IF(V337&lt;&gt;"","7 Registered",IF(T337&lt;&gt;"","5 Interested",IF(R337&lt;&gt;"","4 Responded",IF(O337&lt;&gt;"","2 Contacted","1 Not yet contacted")))))))))))))</f>
        <v/>
      </c>
      <c r="AK337" s="10">
        <f>IF(AF337&lt;&gt;"",AF337,IF(OR(O337="",R337&lt;&gt;"",LEFT(AJ337,1)="X"),"",IF(Q337&lt;&gt;"","",IF(P337&lt;&gt;"",P337+SETTINGS!$B$4,O337+SETTINGS!$B$3))))</f>
        <v/>
      </c>
      <c r="AL337">
        <f>IF(AJ337="","",IF(LEFT(AJ337,1)="X","None — do not contact",IF(AJ337="1 Not yet contacted","Verify route today, then send M1",IF(AND(R337="",Q337&lt;&gt;""),"Sequence complete — no contact before "&amp;TEXT(Q337+SETTINGS!$B$5,"yyyy-mm-dd"),IF(AND(R337="",P337&lt;&gt;""),"Send final note (M4)",IF(R337="","Send follow-up (M2)",IF(AJ337="12 ACTIVATED","7-day check-in; consent &amp; referral soft ask",IF(AJ337="13 Transacting","Repeat-activity support","Onboarding: move to next stage (see playbook §6)"))))))))</f>
        <v/>
      </c>
      <c r="AM337">
        <f>IF(ISNUMBER(AK337),IF(AK337&lt;=TODAY(),"DUE",""),"")</f>
        <v/>
      </c>
      <c r="AN337">
        <f>IF(COUNT(O337,P337,Q337,R337,T337,V337,W337,X337,Y337,Z337,AA337,AC337)=0,"",TODAY()-MAX(O337,P337,Q337,R337,T337,V337,W337,X337,Y337,Z337,AA337,AC337))</f>
        <v/>
      </c>
      <c r="AO337">
        <f>IF(AJ337="","",IF(AND(T337&lt;&gt;"",U337&lt;&gt;"Active (verified)"),"GST: escalate (no tax advice)",IF(AND(IFERROR(VALUE(LEFT(AJ337,2)),0)&gt;=5,AH337&lt;&gt;"YES",ISNUMBER(AN337),AN337&gt;SETTINGS!$B$14),"STUCK in onboarding","")))</f>
        <v/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s="10" t="inlineStr"/>
      <c r="P338" s="10" t="inlineStr"/>
      <c r="Q338" s="10" t="inlineStr"/>
      <c r="R338" s="10" t="inlineStr"/>
      <c r="S338" t="inlineStr"/>
      <c r="T338" s="10" t="inlineStr"/>
      <c r="U338" t="inlineStr"/>
      <c r="V338" s="10" t="inlineStr"/>
      <c r="W338" s="10" t="inlineStr"/>
      <c r="X338" s="10" t="inlineStr"/>
      <c r="Y338" s="10" t="inlineStr"/>
      <c r="Z338" s="10" t="inlineStr"/>
      <c r="AA338" s="10" t="inlineStr"/>
      <c r="AB338" t="inlineStr"/>
      <c r="AC338" s="10" t="inlineStr"/>
      <c r="AD338" t="inlineStr"/>
      <c r="AE338" t="inlineStr"/>
      <c r="AF338" s="10" t="inlineStr"/>
      <c r="AG338" t="inlineStr"/>
      <c r="AH338">
        <f>IF(AND(B338="",C338=""),"",IF(AND(X338&lt;&gt;"",Y338&lt;&gt;"",Z338&lt;&gt;"",AA338&lt;&gt;"",AB338="Y"),"YES","no"))</f>
        <v/>
      </c>
      <c r="AI338" s="10">
        <f>IF(AH338="YES",MAX(X338,Y338,Z338,AA338),"")</f>
        <v/>
      </c>
      <c r="AJ338">
        <f>IF(AND(B338="",C338=""),"",IF(OR(S338="Not interested",S338="Opt-out / do not contact"),"X Declined / suppressed",IF(S338="Bounced / undeliverable","X Bounced — research",IF(AC338&lt;&gt;"","13 Transacting",IF(AH338="YES","12 ACTIVATED",IF(Z338&lt;&gt;"","11 Listing live",IF(Y338&lt;&gt;"","10 Profile complete",IF(X338&lt;&gt;"","9 Approved",IF(W338&lt;&gt;"","8 KYC submitted",IF(V338&lt;&gt;"","7 Registered",IF(T338&lt;&gt;"","5 Interested",IF(R338&lt;&gt;"","4 Responded",IF(O338&lt;&gt;"","2 Contacted","1 Not yet contacted")))))))))))))</f>
        <v/>
      </c>
      <c r="AK338" s="10">
        <f>IF(AF338&lt;&gt;"",AF338,IF(OR(O338="",R338&lt;&gt;"",LEFT(AJ338,1)="X"),"",IF(Q338&lt;&gt;"","",IF(P338&lt;&gt;"",P338+SETTINGS!$B$4,O338+SETTINGS!$B$3))))</f>
        <v/>
      </c>
      <c r="AL338">
        <f>IF(AJ338="","",IF(LEFT(AJ338,1)="X","None — do not contact",IF(AJ338="1 Not yet contacted","Verify route today, then send M1",IF(AND(R338="",Q338&lt;&gt;""),"Sequence complete — no contact before "&amp;TEXT(Q338+SETTINGS!$B$5,"yyyy-mm-dd"),IF(AND(R338="",P338&lt;&gt;""),"Send final note (M4)",IF(R338="","Send follow-up (M2)",IF(AJ338="12 ACTIVATED","7-day check-in; consent &amp; referral soft ask",IF(AJ338="13 Transacting","Repeat-activity support","Onboarding: move to next stage (see playbook §6)"))))))))</f>
        <v/>
      </c>
      <c r="AM338">
        <f>IF(ISNUMBER(AK338),IF(AK338&lt;=TODAY(),"DUE",""),"")</f>
        <v/>
      </c>
      <c r="AN338">
        <f>IF(COUNT(O338,P338,Q338,R338,T338,V338,W338,X338,Y338,Z338,AA338,AC338)=0,"",TODAY()-MAX(O338,P338,Q338,R338,T338,V338,W338,X338,Y338,Z338,AA338,AC338))</f>
        <v/>
      </c>
      <c r="AO338">
        <f>IF(AJ338="","",IF(AND(T338&lt;&gt;"",U338&lt;&gt;"Active (verified)"),"GST: escalate (no tax advice)",IF(AND(IFERROR(VALUE(LEFT(AJ338,2)),0)&gt;=5,AH338&lt;&gt;"YES",ISNUMBER(AN338),AN338&gt;SETTINGS!$B$14),"STUCK in onboarding","")))</f>
        <v/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s="10" t="inlineStr"/>
      <c r="P339" s="10" t="inlineStr"/>
      <c r="Q339" s="10" t="inlineStr"/>
      <c r="R339" s="10" t="inlineStr"/>
      <c r="S339" t="inlineStr"/>
      <c r="T339" s="10" t="inlineStr"/>
      <c r="U339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t="inlineStr"/>
      <c r="AC339" s="10" t="inlineStr"/>
      <c r="AD339" t="inlineStr"/>
      <c r="AE339" t="inlineStr"/>
      <c r="AF339" s="10" t="inlineStr"/>
      <c r="AG339" t="inlineStr"/>
      <c r="AH339">
        <f>IF(AND(B339="",C339=""),"",IF(AND(X339&lt;&gt;"",Y339&lt;&gt;"",Z339&lt;&gt;"",AA339&lt;&gt;"",AB339="Y"),"YES","no"))</f>
        <v/>
      </c>
      <c r="AI339" s="10">
        <f>IF(AH339="YES",MAX(X339,Y339,Z339,AA339),"")</f>
        <v/>
      </c>
      <c r="AJ339">
        <f>IF(AND(B339="",C339=""),"",IF(OR(S339="Not interested",S339="Opt-out / do not contact"),"X Declined / suppressed",IF(S339="Bounced / undeliverable","X Bounced — research",IF(AC339&lt;&gt;"","13 Transacting",IF(AH339="YES","12 ACTIVATED",IF(Z339&lt;&gt;"","11 Listing live",IF(Y339&lt;&gt;"","10 Profile complete",IF(X339&lt;&gt;"","9 Approved",IF(W339&lt;&gt;"","8 KYC submitted",IF(V339&lt;&gt;"","7 Registered",IF(T339&lt;&gt;"","5 Interested",IF(R339&lt;&gt;"","4 Responded",IF(O339&lt;&gt;"","2 Contacted","1 Not yet contacted")))))))))))))</f>
        <v/>
      </c>
      <c r="AK339" s="10">
        <f>IF(AF339&lt;&gt;"",AF339,IF(OR(O339="",R339&lt;&gt;"",LEFT(AJ339,1)="X"),"",IF(Q339&lt;&gt;"","",IF(P339&lt;&gt;"",P339+SETTINGS!$B$4,O339+SETTINGS!$B$3))))</f>
        <v/>
      </c>
      <c r="AL339">
        <f>IF(AJ339="","",IF(LEFT(AJ339,1)="X","None — do not contact",IF(AJ339="1 Not yet contacted","Verify route today, then send M1",IF(AND(R339="",Q339&lt;&gt;""),"Sequence complete — no contact before "&amp;TEXT(Q339+SETTINGS!$B$5,"yyyy-mm-dd"),IF(AND(R339="",P339&lt;&gt;""),"Send final note (M4)",IF(R339="","Send follow-up (M2)",IF(AJ339="12 ACTIVATED","7-day check-in; consent &amp; referral soft ask",IF(AJ339="13 Transacting","Repeat-activity support","Onboarding: move to next stage (see playbook §6)"))))))))</f>
        <v/>
      </c>
      <c r="AM339">
        <f>IF(ISNUMBER(AK339),IF(AK339&lt;=TODAY(),"DUE",""),"")</f>
        <v/>
      </c>
      <c r="AN339">
        <f>IF(COUNT(O339,P339,Q339,R339,T339,V339,W339,X339,Y339,Z339,AA339,AC339)=0,"",TODAY()-MAX(O339,P339,Q339,R339,T339,V339,W339,X339,Y339,Z339,AA339,AC339))</f>
        <v/>
      </c>
      <c r="AO339">
        <f>IF(AJ339="","",IF(AND(T339&lt;&gt;"",U339&lt;&gt;"Active (verified)"),"GST: escalate (no tax advice)",IF(AND(IFERROR(VALUE(LEFT(AJ339,2)),0)&gt;=5,AH339&lt;&gt;"YES",ISNUMBER(AN339),AN339&gt;SETTINGS!$B$14),"STUCK in onboarding","")))</f>
        <v/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s="10" t="inlineStr"/>
      <c r="P340" s="10" t="inlineStr"/>
      <c r="Q340" s="10" t="inlineStr"/>
      <c r="R340" s="10" t="inlineStr"/>
      <c r="S340" t="inlineStr"/>
      <c r="T340" s="10" t="inlineStr"/>
      <c r="U34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t="inlineStr"/>
      <c r="AC340" s="10" t="inlineStr"/>
      <c r="AD340" t="inlineStr"/>
      <c r="AE340" t="inlineStr"/>
      <c r="AF340" s="10" t="inlineStr"/>
      <c r="AG340" t="inlineStr"/>
      <c r="AH340">
        <f>IF(AND(B340="",C340=""),"",IF(AND(X340&lt;&gt;"",Y340&lt;&gt;"",Z340&lt;&gt;"",AA340&lt;&gt;"",AB340="Y"),"YES","no"))</f>
        <v/>
      </c>
      <c r="AI340" s="10">
        <f>IF(AH340="YES",MAX(X340,Y340,Z340,AA340),"")</f>
        <v/>
      </c>
      <c r="AJ340">
        <f>IF(AND(B340="",C340=""),"",IF(OR(S340="Not interested",S340="Opt-out / do not contact"),"X Declined / suppressed",IF(S340="Bounced / undeliverable","X Bounced — research",IF(AC340&lt;&gt;"","13 Transacting",IF(AH340="YES","12 ACTIVATED",IF(Z340&lt;&gt;"","11 Listing live",IF(Y340&lt;&gt;"","10 Profile complete",IF(X340&lt;&gt;"","9 Approved",IF(W340&lt;&gt;"","8 KYC submitted",IF(V340&lt;&gt;"","7 Registered",IF(T340&lt;&gt;"","5 Interested",IF(R340&lt;&gt;"","4 Responded",IF(O340&lt;&gt;"","2 Contacted","1 Not yet contacted")))))))))))))</f>
        <v/>
      </c>
      <c r="AK340" s="10">
        <f>IF(AF340&lt;&gt;"",AF340,IF(OR(O340="",R340&lt;&gt;"",LEFT(AJ340,1)="X"),"",IF(Q340&lt;&gt;"","",IF(P340&lt;&gt;"",P340+SETTINGS!$B$4,O340+SETTINGS!$B$3))))</f>
        <v/>
      </c>
      <c r="AL340">
        <f>IF(AJ340="","",IF(LEFT(AJ340,1)="X","None — do not contact",IF(AJ340="1 Not yet contacted","Verify route today, then send M1",IF(AND(R340="",Q340&lt;&gt;""),"Sequence complete — no contact before "&amp;TEXT(Q340+SETTINGS!$B$5,"yyyy-mm-dd"),IF(AND(R340="",P340&lt;&gt;""),"Send final note (M4)",IF(R340="","Send follow-up (M2)",IF(AJ340="12 ACTIVATED","7-day check-in; consent &amp; referral soft ask",IF(AJ340="13 Transacting","Repeat-activity support","Onboarding: move to next stage (see playbook §6)"))))))))</f>
        <v/>
      </c>
      <c r="AM340">
        <f>IF(ISNUMBER(AK340),IF(AK340&lt;=TODAY(),"DUE",""),"")</f>
        <v/>
      </c>
      <c r="AN340">
        <f>IF(COUNT(O340,P340,Q340,R340,T340,V340,W340,X340,Y340,Z340,AA340,AC340)=0,"",TODAY()-MAX(O340,P340,Q340,R340,T340,V340,W340,X340,Y340,Z340,AA340,AC340))</f>
        <v/>
      </c>
      <c r="AO340">
        <f>IF(AJ340="","",IF(AND(T340&lt;&gt;"",U340&lt;&gt;"Active (verified)"),"GST: escalate (no tax advice)",IF(AND(IFERROR(VALUE(LEFT(AJ340,2)),0)&gt;=5,AH340&lt;&gt;"YES",ISNUMBER(AN340),AN340&gt;SETTINGS!$B$14),"STUCK in onboarding","")))</f>
        <v/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s="10" t="inlineStr"/>
      <c r="P341" s="10" t="inlineStr"/>
      <c r="Q341" s="10" t="inlineStr"/>
      <c r="R341" s="10" t="inlineStr"/>
      <c r="S341" t="inlineStr"/>
      <c r="T341" s="10" t="inlineStr"/>
      <c r="U341" t="inlineStr"/>
      <c r="V341" s="10" t="inlineStr"/>
      <c r="W341" s="10" t="inlineStr"/>
      <c r="X341" s="10" t="inlineStr"/>
      <c r="Y341" s="10" t="inlineStr"/>
      <c r="Z341" s="10" t="inlineStr"/>
      <c r="AA341" s="10" t="inlineStr"/>
      <c r="AB341" t="inlineStr"/>
      <c r="AC341" s="10" t="inlineStr"/>
      <c r="AD341" t="inlineStr"/>
      <c r="AE341" t="inlineStr"/>
      <c r="AF341" s="10" t="inlineStr"/>
      <c r="AG341" t="inlineStr"/>
      <c r="AH341">
        <f>IF(AND(B341="",C341=""),"",IF(AND(X341&lt;&gt;"",Y341&lt;&gt;"",Z341&lt;&gt;"",AA341&lt;&gt;"",AB341="Y"),"YES","no"))</f>
        <v/>
      </c>
      <c r="AI341" s="10">
        <f>IF(AH341="YES",MAX(X341,Y341,Z341,AA341),"")</f>
        <v/>
      </c>
      <c r="AJ341">
        <f>IF(AND(B341="",C341=""),"",IF(OR(S341="Not interested",S341="Opt-out / do not contact"),"X Declined / suppressed",IF(S341="Bounced / undeliverable","X Bounced — research",IF(AC341&lt;&gt;"","13 Transacting",IF(AH341="YES","12 ACTIVATED",IF(Z341&lt;&gt;"","11 Listing live",IF(Y341&lt;&gt;"","10 Profile complete",IF(X341&lt;&gt;"","9 Approved",IF(W341&lt;&gt;"","8 KYC submitted",IF(V341&lt;&gt;"","7 Registered",IF(T341&lt;&gt;"","5 Interested",IF(R341&lt;&gt;"","4 Responded",IF(O341&lt;&gt;"","2 Contacted","1 Not yet contacted")))))))))))))</f>
        <v/>
      </c>
      <c r="AK341" s="10">
        <f>IF(AF341&lt;&gt;"",AF341,IF(OR(O341="",R341&lt;&gt;"",LEFT(AJ341,1)="X"),"",IF(Q341&lt;&gt;"","",IF(P341&lt;&gt;"",P341+SETTINGS!$B$4,O341+SETTINGS!$B$3))))</f>
        <v/>
      </c>
      <c r="AL341">
        <f>IF(AJ341="","",IF(LEFT(AJ341,1)="X","None — do not contact",IF(AJ341="1 Not yet contacted","Verify route today, then send M1",IF(AND(R341="",Q341&lt;&gt;""),"Sequence complete — no contact before "&amp;TEXT(Q341+SETTINGS!$B$5,"yyyy-mm-dd"),IF(AND(R341="",P341&lt;&gt;""),"Send final note (M4)",IF(R341="","Send follow-up (M2)",IF(AJ341="12 ACTIVATED","7-day check-in; consent &amp; referral soft ask",IF(AJ341="13 Transacting","Repeat-activity support","Onboarding: move to next stage (see playbook §6)"))))))))</f>
        <v/>
      </c>
      <c r="AM341">
        <f>IF(ISNUMBER(AK341),IF(AK341&lt;=TODAY(),"DUE",""),"")</f>
        <v/>
      </c>
      <c r="AN341">
        <f>IF(COUNT(O341,P341,Q341,R341,T341,V341,W341,X341,Y341,Z341,AA341,AC341)=0,"",TODAY()-MAX(O341,P341,Q341,R341,T341,V341,W341,X341,Y341,Z341,AA341,AC341))</f>
        <v/>
      </c>
      <c r="AO341">
        <f>IF(AJ341="","",IF(AND(T341&lt;&gt;"",U341&lt;&gt;"Active (verified)"),"GST: escalate (no tax advice)",IF(AND(IFERROR(VALUE(LEFT(AJ341,2)),0)&gt;=5,AH341&lt;&gt;"YES",ISNUMBER(AN341),AN341&gt;SETTINGS!$B$14),"STUCK in onboarding","")))</f>
        <v/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s="10" t="inlineStr"/>
      <c r="P342" s="10" t="inlineStr"/>
      <c r="Q342" s="10" t="inlineStr"/>
      <c r="R342" s="10" t="inlineStr"/>
      <c r="S342" t="inlineStr"/>
      <c r="T342" s="10" t="inlineStr"/>
      <c r="U342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t="inlineStr"/>
      <c r="AC342" s="10" t="inlineStr"/>
      <c r="AD342" t="inlineStr"/>
      <c r="AE342" t="inlineStr"/>
      <c r="AF342" s="10" t="inlineStr"/>
      <c r="AG342" t="inlineStr"/>
      <c r="AH342">
        <f>IF(AND(B342="",C342=""),"",IF(AND(X342&lt;&gt;"",Y342&lt;&gt;"",Z342&lt;&gt;"",AA342&lt;&gt;"",AB342="Y"),"YES","no"))</f>
        <v/>
      </c>
      <c r="AI342" s="10">
        <f>IF(AH342="YES",MAX(X342,Y342,Z342,AA342),"")</f>
        <v/>
      </c>
      <c r="AJ342">
        <f>IF(AND(B342="",C342=""),"",IF(OR(S342="Not interested",S342="Opt-out / do not contact"),"X Declined / suppressed",IF(S342="Bounced / undeliverable","X Bounced — research",IF(AC342&lt;&gt;"","13 Transacting",IF(AH342="YES","12 ACTIVATED",IF(Z342&lt;&gt;"","11 Listing live",IF(Y342&lt;&gt;"","10 Profile complete",IF(X342&lt;&gt;"","9 Approved",IF(W342&lt;&gt;"","8 KYC submitted",IF(V342&lt;&gt;"","7 Registered",IF(T342&lt;&gt;"","5 Interested",IF(R342&lt;&gt;"","4 Responded",IF(O342&lt;&gt;"","2 Contacted","1 Not yet contacted")))))))))))))</f>
        <v/>
      </c>
      <c r="AK342" s="10">
        <f>IF(AF342&lt;&gt;"",AF342,IF(OR(O342="",R342&lt;&gt;"",LEFT(AJ342,1)="X"),"",IF(Q342&lt;&gt;"","",IF(P342&lt;&gt;"",P342+SETTINGS!$B$4,O342+SETTINGS!$B$3))))</f>
        <v/>
      </c>
      <c r="AL342">
        <f>IF(AJ342="","",IF(LEFT(AJ342,1)="X","None — do not contact",IF(AJ342="1 Not yet contacted","Verify route today, then send M1",IF(AND(R342="",Q342&lt;&gt;""),"Sequence complete — no contact before "&amp;TEXT(Q342+SETTINGS!$B$5,"yyyy-mm-dd"),IF(AND(R342="",P342&lt;&gt;""),"Send final note (M4)",IF(R342="","Send follow-up (M2)",IF(AJ342="12 ACTIVATED","7-day check-in; consent &amp; referral soft ask",IF(AJ342="13 Transacting","Repeat-activity support","Onboarding: move to next stage (see playbook §6)"))))))))</f>
        <v/>
      </c>
      <c r="AM342">
        <f>IF(ISNUMBER(AK342),IF(AK342&lt;=TODAY(),"DUE",""),"")</f>
        <v/>
      </c>
      <c r="AN342">
        <f>IF(COUNT(O342,P342,Q342,R342,T342,V342,W342,X342,Y342,Z342,AA342,AC342)=0,"",TODAY()-MAX(O342,P342,Q342,R342,T342,V342,W342,X342,Y342,Z342,AA342,AC342))</f>
        <v/>
      </c>
      <c r="AO342">
        <f>IF(AJ342="","",IF(AND(T342&lt;&gt;"",U342&lt;&gt;"Active (verified)"),"GST: escalate (no tax advice)",IF(AND(IFERROR(VALUE(LEFT(AJ342,2)),0)&gt;=5,AH342&lt;&gt;"YES",ISNUMBER(AN342),AN342&gt;SETTINGS!$B$14),"STUCK in onboarding","")))</f>
        <v/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s="10" t="inlineStr"/>
      <c r="P343" s="10" t="inlineStr"/>
      <c r="Q343" s="10" t="inlineStr"/>
      <c r="R343" s="10" t="inlineStr"/>
      <c r="S343" t="inlineStr"/>
      <c r="T343" s="10" t="inlineStr"/>
      <c r="U343" t="inlineStr"/>
      <c r="V343" s="10" t="inlineStr"/>
      <c r="W343" s="10" t="inlineStr"/>
      <c r="X343" s="10" t="inlineStr"/>
      <c r="Y343" s="10" t="inlineStr"/>
      <c r="Z343" s="10" t="inlineStr"/>
      <c r="AA343" s="10" t="inlineStr"/>
      <c r="AB343" t="inlineStr"/>
      <c r="AC343" s="10" t="inlineStr"/>
      <c r="AD343" t="inlineStr"/>
      <c r="AE343" t="inlineStr"/>
      <c r="AF343" s="10" t="inlineStr"/>
      <c r="AG343" t="inlineStr"/>
      <c r="AH343">
        <f>IF(AND(B343="",C343=""),"",IF(AND(X343&lt;&gt;"",Y343&lt;&gt;"",Z343&lt;&gt;"",AA343&lt;&gt;"",AB343="Y"),"YES","no"))</f>
        <v/>
      </c>
      <c r="AI343" s="10">
        <f>IF(AH343="YES",MAX(X343,Y343,Z343,AA343),"")</f>
        <v/>
      </c>
      <c r="AJ343">
        <f>IF(AND(B343="",C343=""),"",IF(OR(S343="Not interested",S343="Opt-out / do not contact"),"X Declined / suppressed",IF(S343="Bounced / undeliverable","X Bounced — research",IF(AC343&lt;&gt;"","13 Transacting",IF(AH343="YES","12 ACTIVATED",IF(Z343&lt;&gt;"","11 Listing live",IF(Y343&lt;&gt;"","10 Profile complete",IF(X343&lt;&gt;"","9 Approved",IF(W343&lt;&gt;"","8 KYC submitted",IF(V343&lt;&gt;"","7 Registered",IF(T343&lt;&gt;"","5 Interested",IF(R343&lt;&gt;"","4 Responded",IF(O343&lt;&gt;"","2 Contacted","1 Not yet contacted")))))))))))))</f>
        <v/>
      </c>
      <c r="AK343" s="10">
        <f>IF(AF343&lt;&gt;"",AF343,IF(OR(O343="",R343&lt;&gt;"",LEFT(AJ343,1)="X"),"",IF(Q343&lt;&gt;"","",IF(P343&lt;&gt;"",P343+SETTINGS!$B$4,O343+SETTINGS!$B$3))))</f>
        <v/>
      </c>
      <c r="AL343">
        <f>IF(AJ343="","",IF(LEFT(AJ343,1)="X","None — do not contact",IF(AJ343="1 Not yet contacted","Verify route today, then send M1",IF(AND(R343="",Q343&lt;&gt;""),"Sequence complete — no contact before "&amp;TEXT(Q343+SETTINGS!$B$5,"yyyy-mm-dd"),IF(AND(R343="",P343&lt;&gt;""),"Send final note (M4)",IF(R343="","Send follow-up (M2)",IF(AJ343="12 ACTIVATED","7-day check-in; consent &amp; referral soft ask",IF(AJ343="13 Transacting","Repeat-activity support","Onboarding: move to next stage (see playbook §6)"))))))))</f>
        <v/>
      </c>
      <c r="AM343">
        <f>IF(ISNUMBER(AK343),IF(AK343&lt;=TODAY(),"DUE",""),"")</f>
        <v/>
      </c>
      <c r="AN343">
        <f>IF(COUNT(O343,P343,Q343,R343,T343,V343,W343,X343,Y343,Z343,AA343,AC343)=0,"",TODAY()-MAX(O343,P343,Q343,R343,T343,V343,W343,X343,Y343,Z343,AA343,AC343))</f>
        <v/>
      </c>
      <c r="AO343">
        <f>IF(AJ343="","",IF(AND(T343&lt;&gt;"",U343&lt;&gt;"Active (verified)"),"GST: escalate (no tax advice)",IF(AND(IFERROR(VALUE(LEFT(AJ343,2)),0)&gt;=5,AH343&lt;&gt;"YES",ISNUMBER(AN343),AN343&gt;SETTINGS!$B$14),"STUCK in onboarding","")))</f>
        <v/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s="10" t="inlineStr"/>
      <c r="P344" s="10" t="inlineStr"/>
      <c r="Q344" s="10" t="inlineStr"/>
      <c r="R344" s="10" t="inlineStr"/>
      <c r="S344" t="inlineStr"/>
      <c r="T344" s="10" t="inlineStr"/>
      <c r="U344" t="inlineStr"/>
      <c r="V344" s="10" t="inlineStr"/>
      <c r="W344" s="10" t="inlineStr"/>
      <c r="X344" s="10" t="inlineStr"/>
      <c r="Y344" s="10" t="inlineStr"/>
      <c r="Z344" s="10" t="inlineStr"/>
      <c r="AA344" s="10" t="inlineStr"/>
      <c r="AB344" t="inlineStr"/>
      <c r="AC344" s="10" t="inlineStr"/>
      <c r="AD344" t="inlineStr"/>
      <c r="AE344" t="inlineStr"/>
      <c r="AF344" s="10" t="inlineStr"/>
      <c r="AG344" t="inlineStr"/>
      <c r="AH344">
        <f>IF(AND(B344="",C344=""),"",IF(AND(X344&lt;&gt;"",Y344&lt;&gt;"",Z344&lt;&gt;"",AA344&lt;&gt;"",AB344="Y"),"YES","no"))</f>
        <v/>
      </c>
      <c r="AI344" s="10">
        <f>IF(AH344="YES",MAX(X344,Y344,Z344,AA344),"")</f>
        <v/>
      </c>
      <c r="AJ344">
        <f>IF(AND(B344="",C344=""),"",IF(OR(S344="Not interested",S344="Opt-out / do not contact"),"X Declined / suppressed",IF(S344="Bounced / undeliverable","X Bounced — research",IF(AC344&lt;&gt;"","13 Transacting",IF(AH344="YES","12 ACTIVATED",IF(Z344&lt;&gt;"","11 Listing live",IF(Y344&lt;&gt;"","10 Profile complete",IF(X344&lt;&gt;"","9 Approved",IF(W344&lt;&gt;"","8 KYC submitted",IF(V344&lt;&gt;"","7 Registered",IF(T344&lt;&gt;"","5 Interested",IF(R344&lt;&gt;"","4 Responded",IF(O344&lt;&gt;"","2 Contacted","1 Not yet contacted")))))))))))))</f>
        <v/>
      </c>
      <c r="AK344" s="10">
        <f>IF(AF344&lt;&gt;"",AF344,IF(OR(O344="",R344&lt;&gt;"",LEFT(AJ344,1)="X"),"",IF(Q344&lt;&gt;"","",IF(P344&lt;&gt;"",P344+SETTINGS!$B$4,O344+SETTINGS!$B$3))))</f>
        <v/>
      </c>
      <c r="AL344">
        <f>IF(AJ344="","",IF(LEFT(AJ344,1)="X","None — do not contact",IF(AJ344="1 Not yet contacted","Verify route today, then send M1",IF(AND(R344="",Q344&lt;&gt;""),"Sequence complete — no contact before "&amp;TEXT(Q344+SETTINGS!$B$5,"yyyy-mm-dd"),IF(AND(R344="",P344&lt;&gt;""),"Send final note (M4)",IF(R344="","Send follow-up (M2)",IF(AJ344="12 ACTIVATED","7-day check-in; consent &amp; referral soft ask",IF(AJ344="13 Transacting","Repeat-activity support","Onboarding: move to next stage (see playbook §6)"))))))))</f>
        <v/>
      </c>
      <c r="AM344">
        <f>IF(ISNUMBER(AK344),IF(AK344&lt;=TODAY(),"DUE",""),"")</f>
        <v/>
      </c>
      <c r="AN344">
        <f>IF(COUNT(O344,P344,Q344,R344,T344,V344,W344,X344,Y344,Z344,AA344,AC344)=0,"",TODAY()-MAX(O344,P344,Q344,R344,T344,V344,W344,X344,Y344,Z344,AA344,AC344))</f>
        <v/>
      </c>
      <c r="AO344">
        <f>IF(AJ344="","",IF(AND(T344&lt;&gt;"",U344&lt;&gt;"Active (verified)"),"GST: escalate (no tax advice)",IF(AND(IFERROR(VALUE(LEFT(AJ344,2)),0)&gt;=5,AH344&lt;&gt;"YES",ISNUMBER(AN344),AN344&gt;SETTINGS!$B$14),"STUCK in onboarding","")))</f>
        <v/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s="10" t="inlineStr"/>
      <c r="P345" s="10" t="inlineStr"/>
      <c r="Q345" s="10" t="inlineStr"/>
      <c r="R345" s="10" t="inlineStr"/>
      <c r="S345" t="inlineStr"/>
      <c r="T345" s="10" t="inlineStr"/>
      <c r="U345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t="inlineStr"/>
      <c r="AC345" s="10" t="inlineStr"/>
      <c r="AD345" t="inlineStr"/>
      <c r="AE345" t="inlineStr"/>
      <c r="AF345" s="10" t="inlineStr"/>
      <c r="AG345" t="inlineStr"/>
      <c r="AH345">
        <f>IF(AND(B345="",C345=""),"",IF(AND(X345&lt;&gt;"",Y345&lt;&gt;"",Z345&lt;&gt;"",AA345&lt;&gt;"",AB345="Y"),"YES","no"))</f>
        <v/>
      </c>
      <c r="AI345" s="10">
        <f>IF(AH345="YES",MAX(X345,Y345,Z345,AA345),"")</f>
        <v/>
      </c>
      <c r="AJ345">
        <f>IF(AND(B345="",C345=""),"",IF(OR(S345="Not interested",S345="Opt-out / do not contact"),"X Declined / suppressed",IF(S345="Bounced / undeliverable","X Bounced — research",IF(AC345&lt;&gt;"","13 Transacting",IF(AH345="YES","12 ACTIVATED",IF(Z345&lt;&gt;"","11 Listing live",IF(Y345&lt;&gt;"","10 Profile complete",IF(X345&lt;&gt;"","9 Approved",IF(W345&lt;&gt;"","8 KYC submitted",IF(V345&lt;&gt;"","7 Registered",IF(T345&lt;&gt;"","5 Interested",IF(R345&lt;&gt;"","4 Responded",IF(O345&lt;&gt;"","2 Contacted","1 Not yet contacted")))))))))))))</f>
        <v/>
      </c>
      <c r="AK345" s="10">
        <f>IF(AF345&lt;&gt;"",AF345,IF(OR(O345="",R345&lt;&gt;"",LEFT(AJ345,1)="X"),"",IF(Q345&lt;&gt;"","",IF(P345&lt;&gt;"",P345+SETTINGS!$B$4,O345+SETTINGS!$B$3))))</f>
        <v/>
      </c>
      <c r="AL345">
        <f>IF(AJ345="","",IF(LEFT(AJ345,1)="X","None — do not contact",IF(AJ345="1 Not yet contacted","Verify route today, then send M1",IF(AND(R345="",Q345&lt;&gt;""),"Sequence complete — no contact before "&amp;TEXT(Q345+SETTINGS!$B$5,"yyyy-mm-dd"),IF(AND(R345="",P345&lt;&gt;""),"Send final note (M4)",IF(R345="","Send follow-up (M2)",IF(AJ345="12 ACTIVATED","7-day check-in; consent &amp; referral soft ask",IF(AJ345="13 Transacting","Repeat-activity support","Onboarding: move to next stage (see playbook §6)"))))))))</f>
        <v/>
      </c>
      <c r="AM345">
        <f>IF(ISNUMBER(AK345),IF(AK345&lt;=TODAY(),"DUE",""),"")</f>
        <v/>
      </c>
      <c r="AN345">
        <f>IF(COUNT(O345,P345,Q345,R345,T345,V345,W345,X345,Y345,Z345,AA345,AC345)=0,"",TODAY()-MAX(O345,P345,Q345,R345,T345,V345,W345,X345,Y345,Z345,AA345,AC345))</f>
        <v/>
      </c>
      <c r="AO345">
        <f>IF(AJ345="","",IF(AND(T345&lt;&gt;"",U345&lt;&gt;"Active (verified)"),"GST: escalate (no tax advice)",IF(AND(IFERROR(VALUE(LEFT(AJ345,2)),0)&gt;=5,AH345&lt;&gt;"YES",ISNUMBER(AN345),AN345&gt;SETTINGS!$B$14),"STUCK in onboarding","")))</f>
        <v/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s="10" t="inlineStr"/>
      <c r="P346" s="10" t="inlineStr"/>
      <c r="Q346" s="10" t="inlineStr"/>
      <c r="R346" s="10" t="inlineStr"/>
      <c r="S346" t="inlineStr"/>
      <c r="T346" s="10" t="inlineStr"/>
      <c r="U346" t="inlineStr"/>
      <c r="V346" s="10" t="inlineStr"/>
      <c r="W346" s="10" t="inlineStr"/>
      <c r="X346" s="10" t="inlineStr"/>
      <c r="Y346" s="10" t="inlineStr"/>
      <c r="Z346" s="10" t="inlineStr"/>
      <c r="AA346" s="10" t="inlineStr"/>
      <c r="AB346" t="inlineStr"/>
      <c r="AC346" s="10" t="inlineStr"/>
      <c r="AD346" t="inlineStr"/>
      <c r="AE346" t="inlineStr"/>
      <c r="AF346" s="10" t="inlineStr"/>
      <c r="AG346" t="inlineStr"/>
      <c r="AH346">
        <f>IF(AND(B346="",C346=""),"",IF(AND(X346&lt;&gt;"",Y346&lt;&gt;"",Z346&lt;&gt;"",AA346&lt;&gt;"",AB346="Y"),"YES","no"))</f>
        <v/>
      </c>
      <c r="AI346" s="10">
        <f>IF(AH346="YES",MAX(X346,Y346,Z346,AA346),"")</f>
        <v/>
      </c>
      <c r="AJ346">
        <f>IF(AND(B346="",C346=""),"",IF(OR(S346="Not interested",S346="Opt-out / do not contact"),"X Declined / suppressed",IF(S346="Bounced / undeliverable","X Bounced — research",IF(AC346&lt;&gt;"","13 Transacting",IF(AH346="YES","12 ACTIVATED",IF(Z346&lt;&gt;"","11 Listing live",IF(Y346&lt;&gt;"","10 Profile complete",IF(X346&lt;&gt;"","9 Approved",IF(W346&lt;&gt;"","8 KYC submitted",IF(V346&lt;&gt;"","7 Registered",IF(T346&lt;&gt;"","5 Interested",IF(R346&lt;&gt;"","4 Responded",IF(O346&lt;&gt;"","2 Contacted","1 Not yet contacted")))))))))))))</f>
        <v/>
      </c>
      <c r="AK346" s="10">
        <f>IF(AF346&lt;&gt;"",AF346,IF(OR(O346="",R346&lt;&gt;"",LEFT(AJ346,1)="X"),"",IF(Q346&lt;&gt;"","",IF(P346&lt;&gt;"",P346+SETTINGS!$B$4,O346+SETTINGS!$B$3))))</f>
        <v/>
      </c>
      <c r="AL346">
        <f>IF(AJ346="","",IF(LEFT(AJ346,1)="X","None — do not contact",IF(AJ346="1 Not yet contacted","Verify route today, then send M1",IF(AND(R346="",Q346&lt;&gt;""),"Sequence complete — no contact before "&amp;TEXT(Q346+SETTINGS!$B$5,"yyyy-mm-dd"),IF(AND(R346="",P346&lt;&gt;""),"Send final note (M4)",IF(R346="","Send follow-up (M2)",IF(AJ346="12 ACTIVATED","7-day check-in; consent &amp; referral soft ask",IF(AJ346="13 Transacting","Repeat-activity support","Onboarding: move to next stage (see playbook §6)"))))))))</f>
        <v/>
      </c>
      <c r="AM346">
        <f>IF(ISNUMBER(AK346),IF(AK346&lt;=TODAY(),"DUE",""),"")</f>
        <v/>
      </c>
      <c r="AN346">
        <f>IF(COUNT(O346,P346,Q346,R346,T346,V346,W346,X346,Y346,Z346,AA346,AC346)=0,"",TODAY()-MAX(O346,P346,Q346,R346,T346,V346,W346,X346,Y346,Z346,AA346,AC346))</f>
        <v/>
      </c>
      <c r="AO346">
        <f>IF(AJ346="","",IF(AND(T346&lt;&gt;"",U346&lt;&gt;"Active (verified)"),"GST: escalate (no tax advice)",IF(AND(IFERROR(VALUE(LEFT(AJ346,2)),0)&gt;=5,AH346&lt;&gt;"YES",ISNUMBER(AN346),AN346&gt;SETTINGS!$B$14),"STUCK in onboarding","")))</f>
        <v/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s="10" t="inlineStr"/>
      <c r="P347" s="10" t="inlineStr"/>
      <c r="Q347" s="10" t="inlineStr"/>
      <c r="R347" s="10" t="inlineStr"/>
      <c r="S347" t="inlineStr"/>
      <c r="T347" s="10" t="inlineStr"/>
      <c r="U347" t="inlineStr"/>
      <c r="V347" s="10" t="inlineStr"/>
      <c r="W347" s="10" t="inlineStr"/>
      <c r="X347" s="10" t="inlineStr"/>
      <c r="Y347" s="10" t="inlineStr"/>
      <c r="Z347" s="10" t="inlineStr"/>
      <c r="AA347" s="10" t="inlineStr"/>
      <c r="AB347" t="inlineStr"/>
      <c r="AC347" s="10" t="inlineStr"/>
      <c r="AD347" t="inlineStr"/>
      <c r="AE347" t="inlineStr"/>
      <c r="AF347" s="10" t="inlineStr"/>
      <c r="AG347" t="inlineStr"/>
      <c r="AH347">
        <f>IF(AND(B347="",C347=""),"",IF(AND(X347&lt;&gt;"",Y347&lt;&gt;"",Z347&lt;&gt;"",AA347&lt;&gt;"",AB347="Y"),"YES","no"))</f>
        <v/>
      </c>
      <c r="AI347" s="10">
        <f>IF(AH347="YES",MAX(X347,Y347,Z347,AA347),"")</f>
        <v/>
      </c>
      <c r="AJ347">
        <f>IF(AND(B347="",C347=""),"",IF(OR(S347="Not interested",S347="Opt-out / do not contact"),"X Declined / suppressed",IF(S347="Bounced / undeliverable","X Bounced — research",IF(AC347&lt;&gt;"","13 Transacting",IF(AH347="YES","12 ACTIVATED",IF(Z347&lt;&gt;"","11 Listing live",IF(Y347&lt;&gt;"","10 Profile complete",IF(X347&lt;&gt;"","9 Approved",IF(W347&lt;&gt;"","8 KYC submitted",IF(V347&lt;&gt;"","7 Registered",IF(T347&lt;&gt;"","5 Interested",IF(R347&lt;&gt;"","4 Responded",IF(O347&lt;&gt;"","2 Contacted","1 Not yet contacted")))))))))))))</f>
        <v/>
      </c>
      <c r="AK347" s="10">
        <f>IF(AF347&lt;&gt;"",AF347,IF(OR(O347="",R347&lt;&gt;"",LEFT(AJ347,1)="X"),"",IF(Q347&lt;&gt;"","",IF(P347&lt;&gt;"",P347+SETTINGS!$B$4,O347+SETTINGS!$B$3))))</f>
        <v/>
      </c>
      <c r="AL347">
        <f>IF(AJ347="","",IF(LEFT(AJ347,1)="X","None — do not contact",IF(AJ347="1 Not yet contacted","Verify route today, then send M1",IF(AND(R347="",Q347&lt;&gt;""),"Sequence complete — no contact before "&amp;TEXT(Q347+SETTINGS!$B$5,"yyyy-mm-dd"),IF(AND(R347="",P347&lt;&gt;""),"Send final note (M4)",IF(R347="","Send follow-up (M2)",IF(AJ347="12 ACTIVATED","7-day check-in; consent &amp; referral soft ask",IF(AJ347="13 Transacting","Repeat-activity support","Onboarding: move to next stage (see playbook §6)"))))))))</f>
        <v/>
      </c>
      <c r="AM347">
        <f>IF(ISNUMBER(AK347),IF(AK347&lt;=TODAY(),"DUE",""),"")</f>
        <v/>
      </c>
      <c r="AN347">
        <f>IF(COUNT(O347,P347,Q347,R347,T347,V347,W347,X347,Y347,Z347,AA347,AC347)=0,"",TODAY()-MAX(O347,P347,Q347,R347,T347,V347,W347,X347,Y347,Z347,AA347,AC347))</f>
        <v/>
      </c>
      <c r="AO347">
        <f>IF(AJ347="","",IF(AND(T347&lt;&gt;"",U347&lt;&gt;"Active (verified)"),"GST: escalate (no tax advice)",IF(AND(IFERROR(VALUE(LEFT(AJ347,2)),0)&gt;=5,AH347&lt;&gt;"YES",ISNUMBER(AN347),AN347&gt;SETTINGS!$B$14),"STUCK in onboarding","")))</f>
        <v/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s="10" t="inlineStr"/>
      <c r="P348" s="10" t="inlineStr"/>
      <c r="Q348" s="10" t="inlineStr"/>
      <c r="R348" s="10" t="inlineStr"/>
      <c r="S348" t="inlineStr"/>
      <c r="T348" s="10" t="inlineStr"/>
      <c r="U348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t="inlineStr"/>
      <c r="AC348" s="10" t="inlineStr"/>
      <c r="AD348" t="inlineStr"/>
      <c r="AE348" t="inlineStr"/>
      <c r="AF348" s="10" t="inlineStr"/>
      <c r="AG348" t="inlineStr"/>
      <c r="AH348">
        <f>IF(AND(B348="",C348=""),"",IF(AND(X348&lt;&gt;"",Y348&lt;&gt;"",Z348&lt;&gt;"",AA348&lt;&gt;"",AB348="Y"),"YES","no"))</f>
        <v/>
      </c>
      <c r="AI348" s="10">
        <f>IF(AH348="YES",MAX(X348,Y348,Z348,AA348),"")</f>
        <v/>
      </c>
      <c r="AJ348">
        <f>IF(AND(B348="",C348=""),"",IF(OR(S348="Not interested",S348="Opt-out / do not contact"),"X Declined / suppressed",IF(S348="Bounced / undeliverable","X Bounced — research",IF(AC348&lt;&gt;"","13 Transacting",IF(AH348="YES","12 ACTIVATED",IF(Z348&lt;&gt;"","11 Listing live",IF(Y348&lt;&gt;"","10 Profile complete",IF(X348&lt;&gt;"","9 Approved",IF(W348&lt;&gt;"","8 KYC submitted",IF(V348&lt;&gt;"","7 Registered",IF(T348&lt;&gt;"","5 Interested",IF(R348&lt;&gt;"","4 Responded",IF(O348&lt;&gt;"","2 Contacted","1 Not yet contacted")))))))))))))</f>
        <v/>
      </c>
      <c r="AK348" s="10">
        <f>IF(AF348&lt;&gt;"",AF348,IF(OR(O348="",R348&lt;&gt;"",LEFT(AJ348,1)="X"),"",IF(Q348&lt;&gt;"","",IF(P348&lt;&gt;"",P348+SETTINGS!$B$4,O348+SETTINGS!$B$3))))</f>
        <v/>
      </c>
      <c r="AL348">
        <f>IF(AJ348="","",IF(LEFT(AJ348,1)="X","None — do not contact",IF(AJ348="1 Not yet contacted","Verify route today, then send M1",IF(AND(R348="",Q348&lt;&gt;""),"Sequence complete — no contact before "&amp;TEXT(Q348+SETTINGS!$B$5,"yyyy-mm-dd"),IF(AND(R348="",P348&lt;&gt;""),"Send final note (M4)",IF(R348="","Send follow-up (M2)",IF(AJ348="12 ACTIVATED","7-day check-in; consent &amp; referral soft ask",IF(AJ348="13 Transacting","Repeat-activity support","Onboarding: move to next stage (see playbook §6)"))))))))</f>
        <v/>
      </c>
      <c r="AM348">
        <f>IF(ISNUMBER(AK348),IF(AK348&lt;=TODAY(),"DUE",""),"")</f>
        <v/>
      </c>
      <c r="AN348">
        <f>IF(COUNT(O348,P348,Q348,R348,T348,V348,W348,X348,Y348,Z348,AA348,AC348)=0,"",TODAY()-MAX(O348,P348,Q348,R348,T348,V348,W348,X348,Y348,Z348,AA348,AC348))</f>
        <v/>
      </c>
      <c r="AO348">
        <f>IF(AJ348="","",IF(AND(T348&lt;&gt;"",U348&lt;&gt;"Active (verified)"),"GST: escalate (no tax advice)",IF(AND(IFERROR(VALUE(LEFT(AJ348,2)),0)&gt;=5,AH348&lt;&gt;"YES",ISNUMBER(AN348),AN348&gt;SETTINGS!$B$14),"STUCK in onboarding","")))</f>
        <v/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s="10" t="inlineStr"/>
      <c r="P349" s="10" t="inlineStr"/>
      <c r="Q349" s="10" t="inlineStr"/>
      <c r="R349" s="10" t="inlineStr"/>
      <c r="S349" t="inlineStr"/>
      <c r="T349" s="10" t="inlineStr"/>
      <c r="U349" t="inlineStr"/>
      <c r="V349" s="10" t="inlineStr"/>
      <c r="W349" s="10" t="inlineStr"/>
      <c r="X349" s="10" t="inlineStr"/>
      <c r="Y349" s="10" t="inlineStr"/>
      <c r="Z349" s="10" t="inlineStr"/>
      <c r="AA349" s="10" t="inlineStr"/>
      <c r="AB349" t="inlineStr"/>
      <c r="AC349" s="10" t="inlineStr"/>
      <c r="AD349" t="inlineStr"/>
      <c r="AE349" t="inlineStr"/>
      <c r="AF349" s="10" t="inlineStr"/>
      <c r="AG349" t="inlineStr"/>
      <c r="AH349">
        <f>IF(AND(B349="",C349=""),"",IF(AND(X349&lt;&gt;"",Y349&lt;&gt;"",Z349&lt;&gt;"",AA349&lt;&gt;"",AB349="Y"),"YES","no"))</f>
        <v/>
      </c>
      <c r="AI349" s="10">
        <f>IF(AH349="YES",MAX(X349,Y349,Z349,AA349),"")</f>
        <v/>
      </c>
      <c r="AJ349">
        <f>IF(AND(B349="",C349=""),"",IF(OR(S349="Not interested",S349="Opt-out / do not contact"),"X Declined / suppressed",IF(S349="Bounced / undeliverable","X Bounced — research",IF(AC349&lt;&gt;"","13 Transacting",IF(AH349="YES","12 ACTIVATED",IF(Z349&lt;&gt;"","11 Listing live",IF(Y349&lt;&gt;"","10 Profile complete",IF(X349&lt;&gt;"","9 Approved",IF(W349&lt;&gt;"","8 KYC submitted",IF(V349&lt;&gt;"","7 Registered",IF(T349&lt;&gt;"","5 Interested",IF(R349&lt;&gt;"","4 Responded",IF(O349&lt;&gt;"","2 Contacted","1 Not yet contacted")))))))))))))</f>
        <v/>
      </c>
      <c r="AK349" s="10">
        <f>IF(AF349&lt;&gt;"",AF349,IF(OR(O349="",R349&lt;&gt;"",LEFT(AJ349,1)="X"),"",IF(Q349&lt;&gt;"","",IF(P349&lt;&gt;"",P349+SETTINGS!$B$4,O349+SETTINGS!$B$3))))</f>
        <v/>
      </c>
      <c r="AL349">
        <f>IF(AJ349="","",IF(LEFT(AJ349,1)="X","None — do not contact",IF(AJ349="1 Not yet contacted","Verify route today, then send M1",IF(AND(R349="",Q349&lt;&gt;""),"Sequence complete — no contact before "&amp;TEXT(Q349+SETTINGS!$B$5,"yyyy-mm-dd"),IF(AND(R349="",P349&lt;&gt;""),"Send final note (M4)",IF(R349="","Send follow-up (M2)",IF(AJ349="12 ACTIVATED","7-day check-in; consent &amp; referral soft ask",IF(AJ349="13 Transacting","Repeat-activity support","Onboarding: move to next stage (see playbook §6)"))))))))</f>
        <v/>
      </c>
      <c r="AM349">
        <f>IF(ISNUMBER(AK349),IF(AK349&lt;=TODAY(),"DUE",""),"")</f>
        <v/>
      </c>
      <c r="AN349">
        <f>IF(COUNT(O349,P349,Q349,R349,T349,V349,W349,X349,Y349,Z349,AA349,AC349)=0,"",TODAY()-MAX(O349,P349,Q349,R349,T349,V349,W349,X349,Y349,Z349,AA349,AC349))</f>
        <v/>
      </c>
      <c r="AO349">
        <f>IF(AJ349="","",IF(AND(T349&lt;&gt;"",U349&lt;&gt;"Active (verified)"),"GST: escalate (no tax advice)",IF(AND(IFERROR(VALUE(LEFT(AJ349,2)),0)&gt;=5,AH349&lt;&gt;"YES",ISNUMBER(AN349),AN349&gt;SETTINGS!$B$14),"STUCK in onboarding","")))</f>
        <v/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s="10" t="inlineStr"/>
      <c r="P350" s="10" t="inlineStr"/>
      <c r="Q350" s="10" t="inlineStr"/>
      <c r="R350" s="10" t="inlineStr"/>
      <c r="S350" t="inlineStr"/>
      <c r="T350" s="10" t="inlineStr"/>
      <c r="U35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t="inlineStr"/>
      <c r="AC350" s="10" t="inlineStr"/>
      <c r="AD350" t="inlineStr"/>
      <c r="AE350" t="inlineStr"/>
      <c r="AF350" s="10" t="inlineStr"/>
      <c r="AG350" t="inlineStr"/>
      <c r="AH350">
        <f>IF(AND(B350="",C350=""),"",IF(AND(X350&lt;&gt;"",Y350&lt;&gt;"",Z350&lt;&gt;"",AA350&lt;&gt;"",AB350="Y"),"YES","no"))</f>
        <v/>
      </c>
      <c r="AI350" s="10">
        <f>IF(AH350="YES",MAX(X350,Y350,Z350,AA350),"")</f>
        <v/>
      </c>
      <c r="AJ350">
        <f>IF(AND(B350="",C350=""),"",IF(OR(S350="Not interested",S350="Opt-out / do not contact"),"X Declined / suppressed",IF(S350="Bounced / undeliverable","X Bounced — research",IF(AC350&lt;&gt;"","13 Transacting",IF(AH350="YES","12 ACTIVATED",IF(Z350&lt;&gt;"","11 Listing live",IF(Y350&lt;&gt;"","10 Profile complete",IF(X350&lt;&gt;"","9 Approved",IF(W350&lt;&gt;"","8 KYC submitted",IF(V350&lt;&gt;"","7 Registered",IF(T350&lt;&gt;"","5 Interested",IF(R350&lt;&gt;"","4 Responded",IF(O350&lt;&gt;"","2 Contacted","1 Not yet contacted")))))))))))))</f>
        <v/>
      </c>
      <c r="AK350" s="10">
        <f>IF(AF350&lt;&gt;"",AF350,IF(OR(O350="",R350&lt;&gt;"",LEFT(AJ350,1)="X"),"",IF(Q350&lt;&gt;"","",IF(P350&lt;&gt;"",P350+SETTINGS!$B$4,O350+SETTINGS!$B$3))))</f>
        <v/>
      </c>
      <c r="AL350">
        <f>IF(AJ350="","",IF(LEFT(AJ350,1)="X","None — do not contact",IF(AJ350="1 Not yet contacted","Verify route today, then send M1",IF(AND(R350="",Q350&lt;&gt;""),"Sequence complete — no contact before "&amp;TEXT(Q350+SETTINGS!$B$5,"yyyy-mm-dd"),IF(AND(R350="",P350&lt;&gt;""),"Send final note (M4)",IF(R350="","Send follow-up (M2)",IF(AJ350="12 ACTIVATED","7-day check-in; consent &amp; referral soft ask",IF(AJ350="13 Transacting","Repeat-activity support","Onboarding: move to next stage (see playbook §6)"))))))))</f>
        <v/>
      </c>
      <c r="AM350">
        <f>IF(ISNUMBER(AK350),IF(AK350&lt;=TODAY(),"DUE",""),"")</f>
        <v/>
      </c>
      <c r="AN350">
        <f>IF(COUNT(O350,P350,Q350,R350,T350,V350,W350,X350,Y350,Z350,AA350,AC350)=0,"",TODAY()-MAX(O350,P350,Q350,R350,T350,V350,W350,X350,Y350,Z350,AA350,AC350))</f>
        <v/>
      </c>
      <c r="AO350">
        <f>IF(AJ350="","",IF(AND(T350&lt;&gt;"",U350&lt;&gt;"Active (verified)"),"GST: escalate (no tax advice)",IF(AND(IFERROR(VALUE(LEFT(AJ350,2)),0)&gt;=5,AH350&lt;&gt;"YES",ISNUMBER(AN350),AN350&gt;SETTINGS!$B$14),"STUCK in onboarding","")))</f>
        <v/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s="10" t="inlineStr"/>
      <c r="P351" s="10" t="inlineStr"/>
      <c r="Q351" s="10" t="inlineStr"/>
      <c r="R351" s="10" t="inlineStr"/>
      <c r="S351" t="inlineStr"/>
      <c r="T351" s="10" t="inlineStr"/>
      <c r="U351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t="inlineStr"/>
      <c r="AC351" s="10" t="inlineStr"/>
      <c r="AD351" t="inlineStr"/>
      <c r="AE351" t="inlineStr"/>
      <c r="AF351" s="10" t="inlineStr"/>
      <c r="AG351" t="inlineStr"/>
      <c r="AH351">
        <f>IF(AND(B351="",C351=""),"",IF(AND(X351&lt;&gt;"",Y351&lt;&gt;"",Z351&lt;&gt;"",AA351&lt;&gt;"",AB351="Y"),"YES","no"))</f>
        <v/>
      </c>
      <c r="AI351" s="10">
        <f>IF(AH351="YES",MAX(X351,Y351,Z351,AA351),"")</f>
        <v/>
      </c>
      <c r="AJ351">
        <f>IF(AND(B351="",C351=""),"",IF(OR(S351="Not interested",S351="Opt-out / do not contact"),"X Declined / suppressed",IF(S351="Bounced / undeliverable","X Bounced — research",IF(AC351&lt;&gt;"","13 Transacting",IF(AH351="YES","12 ACTIVATED",IF(Z351&lt;&gt;"","11 Listing live",IF(Y351&lt;&gt;"","10 Profile complete",IF(X351&lt;&gt;"","9 Approved",IF(W351&lt;&gt;"","8 KYC submitted",IF(V351&lt;&gt;"","7 Registered",IF(T351&lt;&gt;"","5 Interested",IF(R351&lt;&gt;"","4 Responded",IF(O351&lt;&gt;"","2 Contacted","1 Not yet contacted")))))))))))))</f>
        <v/>
      </c>
      <c r="AK351" s="10">
        <f>IF(AF351&lt;&gt;"",AF351,IF(OR(O351="",R351&lt;&gt;"",LEFT(AJ351,1)="X"),"",IF(Q351&lt;&gt;"","",IF(P351&lt;&gt;"",P351+SETTINGS!$B$4,O351+SETTINGS!$B$3))))</f>
        <v/>
      </c>
      <c r="AL351">
        <f>IF(AJ351="","",IF(LEFT(AJ351,1)="X","None — do not contact",IF(AJ351="1 Not yet contacted","Verify route today, then send M1",IF(AND(R351="",Q351&lt;&gt;""),"Sequence complete — no contact before "&amp;TEXT(Q351+SETTINGS!$B$5,"yyyy-mm-dd"),IF(AND(R351="",P351&lt;&gt;""),"Send final note (M4)",IF(R351="","Send follow-up (M2)",IF(AJ351="12 ACTIVATED","7-day check-in; consent &amp; referral soft ask",IF(AJ351="13 Transacting","Repeat-activity support","Onboarding: move to next stage (see playbook §6)"))))))))</f>
        <v/>
      </c>
      <c r="AM351">
        <f>IF(ISNUMBER(AK351),IF(AK351&lt;=TODAY(),"DUE",""),"")</f>
        <v/>
      </c>
      <c r="AN351">
        <f>IF(COUNT(O351,P351,Q351,R351,T351,V351,W351,X351,Y351,Z351,AA351,AC351)=0,"",TODAY()-MAX(O351,P351,Q351,R351,T351,V351,W351,X351,Y351,Z351,AA351,AC351))</f>
        <v/>
      </c>
      <c r="AO351">
        <f>IF(AJ351="","",IF(AND(T351&lt;&gt;"",U351&lt;&gt;"Active (verified)"),"GST: escalate (no tax advice)",IF(AND(IFERROR(VALUE(LEFT(AJ351,2)),0)&gt;=5,AH351&lt;&gt;"YES",ISNUMBER(AN351),AN351&gt;SETTINGS!$B$14),"STUCK in onboarding","")))</f>
        <v/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s="10" t="inlineStr"/>
      <c r="P352" s="10" t="inlineStr"/>
      <c r="Q352" s="10" t="inlineStr"/>
      <c r="R352" s="10" t="inlineStr"/>
      <c r="S352" t="inlineStr"/>
      <c r="T352" s="10" t="inlineStr"/>
      <c r="U352" t="inlineStr"/>
      <c r="V352" s="10" t="inlineStr"/>
      <c r="W352" s="10" t="inlineStr"/>
      <c r="X352" s="10" t="inlineStr"/>
      <c r="Y352" s="10" t="inlineStr"/>
      <c r="Z352" s="10" t="inlineStr"/>
      <c r="AA352" s="10" t="inlineStr"/>
      <c r="AB352" t="inlineStr"/>
      <c r="AC352" s="10" t="inlineStr"/>
      <c r="AD352" t="inlineStr"/>
      <c r="AE352" t="inlineStr"/>
      <c r="AF352" s="10" t="inlineStr"/>
      <c r="AG352" t="inlineStr"/>
      <c r="AH352">
        <f>IF(AND(B352="",C352=""),"",IF(AND(X352&lt;&gt;"",Y352&lt;&gt;"",Z352&lt;&gt;"",AA352&lt;&gt;"",AB352="Y"),"YES","no"))</f>
        <v/>
      </c>
      <c r="AI352" s="10">
        <f>IF(AH352="YES",MAX(X352,Y352,Z352,AA352),"")</f>
        <v/>
      </c>
      <c r="AJ352">
        <f>IF(AND(B352="",C352=""),"",IF(OR(S352="Not interested",S352="Opt-out / do not contact"),"X Declined / suppressed",IF(S352="Bounced / undeliverable","X Bounced — research",IF(AC352&lt;&gt;"","13 Transacting",IF(AH352="YES","12 ACTIVATED",IF(Z352&lt;&gt;"","11 Listing live",IF(Y352&lt;&gt;"","10 Profile complete",IF(X352&lt;&gt;"","9 Approved",IF(W352&lt;&gt;"","8 KYC submitted",IF(V352&lt;&gt;"","7 Registered",IF(T352&lt;&gt;"","5 Interested",IF(R352&lt;&gt;"","4 Responded",IF(O352&lt;&gt;"","2 Contacted","1 Not yet contacted")))))))))))))</f>
        <v/>
      </c>
      <c r="AK352" s="10">
        <f>IF(AF352&lt;&gt;"",AF352,IF(OR(O352="",R352&lt;&gt;"",LEFT(AJ352,1)="X"),"",IF(Q352&lt;&gt;"","",IF(P352&lt;&gt;"",P352+SETTINGS!$B$4,O352+SETTINGS!$B$3))))</f>
        <v/>
      </c>
      <c r="AL352">
        <f>IF(AJ352="","",IF(LEFT(AJ352,1)="X","None — do not contact",IF(AJ352="1 Not yet contacted","Verify route today, then send M1",IF(AND(R352="",Q352&lt;&gt;""),"Sequence complete — no contact before "&amp;TEXT(Q352+SETTINGS!$B$5,"yyyy-mm-dd"),IF(AND(R352="",P352&lt;&gt;""),"Send final note (M4)",IF(R352="","Send follow-up (M2)",IF(AJ352="12 ACTIVATED","7-day check-in; consent &amp; referral soft ask",IF(AJ352="13 Transacting","Repeat-activity support","Onboarding: move to next stage (see playbook §6)"))))))))</f>
        <v/>
      </c>
      <c r="AM352">
        <f>IF(ISNUMBER(AK352),IF(AK352&lt;=TODAY(),"DUE",""),"")</f>
        <v/>
      </c>
      <c r="AN352">
        <f>IF(COUNT(O352,P352,Q352,R352,T352,V352,W352,X352,Y352,Z352,AA352,AC352)=0,"",TODAY()-MAX(O352,P352,Q352,R352,T352,V352,W352,X352,Y352,Z352,AA352,AC352))</f>
        <v/>
      </c>
      <c r="AO352">
        <f>IF(AJ352="","",IF(AND(T352&lt;&gt;"",U352&lt;&gt;"Active (verified)"),"GST: escalate (no tax advice)",IF(AND(IFERROR(VALUE(LEFT(AJ352,2)),0)&gt;=5,AH352&lt;&gt;"YES",ISNUMBER(AN352),AN352&gt;SETTINGS!$B$14),"STUCK in onboarding","")))</f>
        <v/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s="10" t="inlineStr"/>
      <c r="P353" s="10" t="inlineStr"/>
      <c r="Q353" s="10" t="inlineStr"/>
      <c r="R353" s="10" t="inlineStr"/>
      <c r="S353" t="inlineStr"/>
      <c r="T353" s="10" t="inlineStr"/>
      <c r="U353" t="inlineStr"/>
      <c r="V353" s="10" t="inlineStr"/>
      <c r="W353" s="10" t="inlineStr"/>
      <c r="X353" s="10" t="inlineStr"/>
      <c r="Y353" s="10" t="inlineStr"/>
      <c r="Z353" s="10" t="inlineStr"/>
      <c r="AA353" s="10" t="inlineStr"/>
      <c r="AB353" t="inlineStr"/>
      <c r="AC353" s="10" t="inlineStr"/>
      <c r="AD353" t="inlineStr"/>
      <c r="AE353" t="inlineStr"/>
      <c r="AF353" s="10" t="inlineStr"/>
      <c r="AG353" t="inlineStr"/>
      <c r="AH353">
        <f>IF(AND(B353="",C353=""),"",IF(AND(X353&lt;&gt;"",Y353&lt;&gt;"",Z353&lt;&gt;"",AA353&lt;&gt;"",AB353="Y"),"YES","no"))</f>
        <v/>
      </c>
      <c r="AI353" s="10">
        <f>IF(AH353="YES",MAX(X353,Y353,Z353,AA353),"")</f>
        <v/>
      </c>
      <c r="AJ353">
        <f>IF(AND(B353="",C353=""),"",IF(OR(S353="Not interested",S353="Opt-out / do not contact"),"X Declined / suppressed",IF(S353="Bounced / undeliverable","X Bounced — research",IF(AC353&lt;&gt;"","13 Transacting",IF(AH353="YES","12 ACTIVATED",IF(Z353&lt;&gt;"","11 Listing live",IF(Y353&lt;&gt;"","10 Profile complete",IF(X353&lt;&gt;"","9 Approved",IF(W353&lt;&gt;"","8 KYC submitted",IF(V353&lt;&gt;"","7 Registered",IF(T353&lt;&gt;"","5 Interested",IF(R353&lt;&gt;"","4 Responded",IF(O353&lt;&gt;"","2 Contacted","1 Not yet contacted")))))))))))))</f>
        <v/>
      </c>
      <c r="AK353" s="10">
        <f>IF(AF353&lt;&gt;"",AF353,IF(OR(O353="",R353&lt;&gt;"",LEFT(AJ353,1)="X"),"",IF(Q353&lt;&gt;"","",IF(P353&lt;&gt;"",P353+SETTINGS!$B$4,O353+SETTINGS!$B$3))))</f>
        <v/>
      </c>
      <c r="AL353">
        <f>IF(AJ353="","",IF(LEFT(AJ353,1)="X","None — do not contact",IF(AJ353="1 Not yet contacted","Verify route today, then send M1",IF(AND(R353="",Q353&lt;&gt;""),"Sequence complete — no contact before "&amp;TEXT(Q353+SETTINGS!$B$5,"yyyy-mm-dd"),IF(AND(R353="",P353&lt;&gt;""),"Send final note (M4)",IF(R353="","Send follow-up (M2)",IF(AJ353="12 ACTIVATED","7-day check-in; consent &amp; referral soft ask",IF(AJ353="13 Transacting","Repeat-activity support","Onboarding: move to next stage (see playbook §6)"))))))))</f>
        <v/>
      </c>
      <c r="AM353">
        <f>IF(ISNUMBER(AK353),IF(AK353&lt;=TODAY(),"DUE",""),"")</f>
        <v/>
      </c>
      <c r="AN353">
        <f>IF(COUNT(O353,P353,Q353,R353,T353,V353,W353,X353,Y353,Z353,AA353,AC353)=0,"",TODAY()-MAX(O353,P353,Q353,R353,T353,V353,W353,X353,Y353,Z353,AA353,AC353))</f>
        <v/>
      </c>
      <c r="AO353">
        <f>IF(AJ353="","",IF(AND(T353&lt;&gt;"",U353&lt;&gt;"Active (verified)"),"GST: escalate (no tax advice)",IF(AND(IFERROR(VALUE(LEFT(AJ353,2)),0)&gt;=5,AH353&lt;&gt;"YES",ISNUMBER(AN353),AN353&gt;SETTINGS!$B$14),"STUCK in onboarding","")))</f>
        <v/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s="10" t="inlineStr"/>
      <c r="P354" s="10" t="inlineStr"/>
      <c r="Q354" s="10" t="inlineStr"/>
      <c r="R354" s="10" t="inlineStr"/>
      <c r="S354" t="inlineStr"/>
      <c r="T354" s="10" t="inlineStr"/>
      <c r="U354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t="inlineStr"/>
      <c r="AC354" s="10" t="inlineStr"/>
      <c r="AD354" t="inlineStr"/>
      <c r="AE354" t="inlineStr"/>
      <c r="AF354" s="10" t="inlineStr"/>
      <c r="AG354" t="inlineStr"/>
      <c r="AH354">
        <f>IF(AND(B354="",C354=""),"",IF(AND(X354&lt;&gt;"",Y354&lt;&gt;"",Z354&lt;&gt;"",AA354&lt;&gt;"",AB354="Y"),"YES","no"))</f>
        <v/>
      </c>
      <c r="AI354" s="10">
        <f>IF(AH354="YES",MAX(X354,Y354,Z354,AA354),"")</f>
        <v/>
      </c>
      <c r="AJ354">
        <f>IF(AND(B354="",C354=""),"",IF(OR(S354="Not interested",S354="Opt-out / do not contact"),"X Declined / suppressed",IF(S354="Bounced / undeliverable","X Bounced — research",IF(AC354&lt;&gt;"","13 Transacting",IF(AH354="YES","12 ACTIVATED",IF(Z354&lt;&gt;"","11 Listing live",IF(Y354&lt;&gt;"","10 Profile complete",IF(X354&lt;&gt;"","9 Approved",IF(W354&lt;&gt;"","8 KYC submitted",IF(V354&lt;&gt;"","7 Registered",IF(T354&lt;&gt;"","5 Interested",IF(R354&lt;&gt;"","4 Responded",IF(O354&lt;&gt;"","2 Contacted","1 Not yet contacted")))))))))))))</f>
        <v/>
      </c>
      <c r="AK354" s="10">
        <f>IF(AF354&lt;&gt;"",AF354,IF(OR(O354="",R354&lt;&gt;"",LEFT(AJ354,1)="X"),"",IF(Q354&lt;&gt;"","",IF(P354&lt;&gt;"",P354+SETTINGS!$B$4,O354+SETTINGS!$B$3))))</f>
        <v/>
      </c>
      <c r="AL354">
        <f>IF(AJ354="","",IF(LEFT(AJ354,1)="X","None — do not contact",IF(AJ354="1 Not yet contacted","Verify route today, then send M1",IF(AND(R354="",Q354&lt;&gt;""),"Sequence complete — no contact before "&amp;TEXT(Q354+SETTINGS!$B$5,"yyyy-mm-dd"),IF(AND(R354="",P354&lt;&gt;""),"Send final note (M4)",IF(R354="","Send follow-up (M2)",IF(AJ354="12 ACTIVATED","7-day check-in; consent &amp; referral soft ask",IF(AJ354="13 Transacting","Repeat-activity support","Onboarding: move to next stage (see playbook §6)"))))))))</f>
        <v/>
      </c>
      <c r="AM354">
        <f>IF(ISNUMBER(AK354),IF(AK354&lt;=TODAY(),"DUE",""),"")</f>
        <v/>
      </c>
      <c r="AN354">
        <f>IF(COUNT(O354,P354,Q354,R354,T354,V354,W354,X354,Y354,Z354,AA354,AC354)=0,"",TODAY()-MAX(O354,P354,Q354,R354,T354,V354,W354,X354,Y354,Z354,AA354,AC354))</f>
        <v/>
      </c>
      <c r="AO354">
        <f>IF(AJ354="","",IF(AND(T354&lt;&gt;"",U354&lt;&gt;"Active (verified)"),"GST: escalate (no tax advice)",IF(AND(IFERROR(VALUE(LEFT(AJ354,2)),0)&gt;=5,AH354&lt;&gt;"YES",ISNUMBER(AN354),AN354&gt;SETTINGS!$B$14),"STUCK in onboarding","")))</f>
        <v/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s="10" t="inlineStr"/>
      <c r="P355" s="10" t="inlineStr"/>
      <c r="Q355" s="10" t="inlineStr"/>
      <c r="R355" s="10" t="inlineStr"/>
      <c r="S355" t="inlineStr"/>
      <c r="T355" s="10" t="inlineStr"/>
      <c r="U355" t="inlineStr"/>
      <c r="V355" s="10" t="inlineStr"/>
      <c r="W355" s="10" t="inlineStr"/>
      <c r="X355" s="10" t="inlineStr"/>
      <c r="Y355" s="10" t="inlineStr"/>
      <c r="Z355" s="10" t="inlineStr"/>
      <c r="AA355" s="10" t="inlineStr"/>
      <c r="AB355" t="inlineStr"/>
      <c r="AC355" s="10" t="inlineStr"/>
      <c r="AD355" t="inlineStr"/>
      <c r="AE355" t="inlineStr"/>
      <c r="AF355" s="10" t="inlineStr"/>
      <c r="AG355" t="inlineStr"/>
      <c r="AH355">
        <f>IF(AND(B355="",C355=""),"",IF(AND(X355&lt;&gt;"",Y355&lt;&gt;"",Z355&lt;&gt;"",AA355&lt;&gt;"",AB355="Y"),"YES","no"))</f>
        <v/>
      </c>
      <c r="AI355" s="10">
        <f>IF(AH355="YES",MAX(X355,Y355,Z355,AA355),"")</f>
        <v/>
      </c>
      <c r="AJ355">
        <f>IF(AND(B355="",C355=""),"",IF(OR(S355="Not interested",S355="Opt-out / do not contact"),"X Declined / suppressed",IF(S355="Bounced / undeliverable","X Bounced — research",IF(AC355&lt;&gt;"","13 Transacting",IF(AH355="YES","12 ACTIVATED",IF(Z355&lt;&gt;"","11 Listing live",IF(Y355&lt;&gt;"","10 Profile complete",IF(X355&lt;&gt;"","9 Approved",IF(W355&lt;&gt;"","8 KYC submitted",IF(V355&lt;&gt;"","7 Registered",IF(T355&lt;&gt;"","5 Interested",IF(R355&lt;&gt;"","4 Responded",IF(O355&lt;&gt;"","2 Contacted","1 Not yet contacted")))))))))))))</f>
        <v/>
      </c>
      <c r="AK355" s="10">
        <f>IF(AF355&lt;&gt;"",AF355,IF(OR(O355="",R355&lt;&gt;"",LEFT(AJ355,1)="X"),"",IF(Q355&lt;&gt;"","",IF(P355&lt;&gt;"",P355+SETTINGS!$B$4,O355+SETTINGS!$B$3))))</f>
        <v/>
      </c>
      <c r="AL355">
        <f>IF(AJ355="","",IF(LEFT(AJ355,1)="X","None — do not contact",IF(AJ355="1 Not yet contacted","Verify route today, then send M1",IF(AND(R355="",Q355&lt;&gt;""),"Sequence complete — no contact before "&amp;TEXT(Q355+SETTINGS!$B$5,"yyyy-mm-dd"),IF(AND(R355="",P355&lt;&gt;""),"Send final note (M4)",IF(R355="","Send follow-up (M2)",IF(AJ355="12 ACTIVATED","7-day check-in; consent &amp; referral soft ask",IF(AJ355="13 Transacting","Repeat-activity support","Onboarding: move to next stage (see playbook §6)"))))))))</f>
        <v/>
      </c>
      <c r="AM355">
        <f>IF(ISNUMBER(AK355),IF(AK355&lt;=TODAY(),"DUE",""),"")</f>
        <v/>
      </c>
      <c r="AN355">
        <f>IF(COUNT(O355,P355,Q355,R355,T355,V355,W355,X355,Y355,Z355,AA355,AC355)=0,"",TODAY()-MAX(O355,P355,Q355,R355,T355,V355,W355,X355,Y355,Z355,AA355,AC355))</f>
        <v/>
      </c>
      <c r="AO355">
        <f>IF(AJ355="","",IF(AND(T355&lt;&gt;"",U355&lt;&gt;"Active (verified)"),"GST: escalate (no tax advice)",IF(AND(IFERROR(VALUE(LEFT(AJ355,2)),0)&gt;=5,AH355&lt;&gt;"YES",ISNUMBER(AN355),AN355&gt;SETTINGS!$B$14),"STUCK in onboarding","")))</f>
        <v/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s="10" t="inlineStr"/>
      <c r="P356" s="10" t="inlineStr"/>
      <c r="Q356" s="10" t="inlineStr"/>
      <c r="R356" s="10" t="inlineStr"/>
      <c r="S356" t="inlineStr"/>
      <c r="T356" s="10" t="inlineStr"/>
      <c r="U356" t="inlineStr"/>
      <c r="V356" s="10" t="inlineStr"/>
      <c r="W356" s="10" t="inlineStr"/>
      <c r="X356" s="10" t="inlineStr"/>
      <c r="Y356" s="10" t="inlineStr"/>
      <c r="Z356" s="10" t="inlineStr"/>
      <c r="AA356" s="10" t="inlineStr"/>
      <c r="AB356" t="inlineStr"/>
      <c r="AC356" s="10" t="inlineStr"/>
      <c r="AD356" t="inlineStr"/>
      <c r="AE356" t="inlineStr"/>
      <c r="AF356" s="10" t="inlineStr"/>
      <c r="AG356" t="inlineStr"/>
      <c r="AH356">
        <f>IF(AND(B356="",C356=""),"",IF(AND(X356&lt;&gt;"",Y356&lt;&gt;"",Z356&lt;&gt;"",AA356&lt;&gt;"",AB356="Y"),"YES","no"))</f>
        <v/>
      </c>
      <c r="AI356" s="10">
        <f>IF(AH356="YES",MAX(X356,Y356,Z356,AA356),"")</f>
        <v/>
      </c>
      <c r="AJ356">
        <f>IF(AND(B356="",C356=""),"",IF(OR(S356="Not interested",S356="Opt-out / do not contact"),"X Declined / suppressed",IF(S356="Bounced / undeliverable","X Bounced — research",IF(AC356&lt;&gt;"","13 Transacting",IF(AH356="YES","12 ACTIVATED",IF(Z356&lt;&gt;"","11 Listing live",IF(Y356&lt;&gt;"","10 Profile complete",IF(X356&lt;&gt;"","9 Approved",IF(W356&lt;&gt;"","8 KYC submitted",IF(V356&lt;&gt;"","7 Registered",IF(T356&lt;&gt;"","5 Interested",IF(R356&lt;&gt;"","4 Responded",IF(O356&lt;&gt;"","2 Contacted","1 Not yet contacted")))))))))))))</f>
        <v/>
      </c>
      <c r="AK356" s="10">
        <f>IF(AF356&lt;&gt;"",AF356,IF(OR(O356="",R356&lt;&gt;"",LEFT(AJ356,1)="X"),"",IF(Q356&lt;&gt;"","",IF(P356&lt;&gt;"",P356+SETTINGS!$B$4,O356+SETTINGS!$B$3))))</f>
        <v/>
      </c>
      <c r="AL356">
        <f>IF(AJ356="","",IF(LEFT(AJ356,1)="X","None — do not contact",IF(AJ356="1 Not yet contacted","Verify route today, then send M1",IF(AND(R356="",Q356&lt;&gt;""),"Sequence complete — no contact before "&amp;TEXT(Q356+SETTINGS!$B$5,"yyyy-mm-dd"),IF(AND(R356="",P356&lt;&gt;""),"Send final note (M4)",IF(R356="","Send follow-up (M2)",IF(AJ356="12 ACTIVATED","7-day check-in; consent &amp; referral soft ask",IF(AJ356="13 Transacting","Repeat-activity support","Onboarding: move to next stage (see playbook §6)"))))))))</f>
        <v/>
      </c>
      <c r="AM356">
        <f>IF(ISNUMBER(AK356),IF(AK356&lt;=TODAY(),"DUE",""),"")</f>
        <v/>
      </c>
      <c r="AN356">
        <f>IF(COUNT(O356,P356,Q356,R356,T356,V356,W356,X356,Y356,Z356,AA356,AC356)=0,"",TODAY()-MAX(O356,P356,Q356,R356,T356,V356,W356,X356,Y356,Z356,AA356,AC356))</f>
        <v/>
      </c>
      <c r="AO356">
        <f>IF(AJ356="","",IF(AND(T356&lt;&gt;"",U356&lt;&gt;"Active (verified)"),"GST: escalate (no tax advice)",IF(AND(IFERROR(VALUE(LEFT(AJ356,2)),0)&gt;=5,AH356&lt;&gt;"YES",ISNUMBER(AN356),AN356&gt;SETTINGS!$B$14),"STUCK in onboarding","")))</f>
        <v/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s="10" t="inlineStr"/>
      <c r="P357" s="10" t="inlineStr"/>
      <c r="Q357" s="10" t="inlineStr"/>
      <c r="R357" s="10" t="inlineStr"/>
      <c r="S357" t="inlineStr"/>
      <c r="T357" s="10" t="inlineStr"/>
      <c r="U357" t="inlineStr"/>
      <c r="V357" s="10" t="inlineStr"/>
      <c r="W357" s="10" t="inlineStr"/>
      <c r="X357" s="10" t="inlineStr"/>
      <c r="Y357" s="10" t="inlineStr"/>
      <c r="Z357" s="10" t="inlineStr"/>
      <c r="AA357" s="10" t="inlineStr"/>
      <c r="AB357" t="inlineStr"/>
      <c r="AC357" s="10" t="inlineStr"/>
      <c r="AD357" t="inlineStr"/>
      <c r="AE357" t="inlineStr"/>
      <c r="AF357" s="10" t="inlineStr"/>
      <c r="AG357" t="inlineStr"/>
      <c r="AH357">
        <f>IF(AND(B357="",C357=""),"",IF(AND(X357&lt;&gt;"",Y357&lt;&gt;"",Z357&lt;&gt;"",AA357&lt;&gt;"",AB357="Y"),"YES","no"))</f>
        <v/>
      </c>
      <c r="AI357" s="10">
        <f>IF(AH357="YES",MAX(X357,Y357,Z357,AA357),"")</f>
        <v/>
      </c>
      <c r="AJ357">
        <f>IF(AND(B357="",C357=""),"",IF(OR(S357="Not interested",S357="Opt-out / do not contact"),"X Declined / suppressed",IF(S357="Bounced / undeliverable","X Bounced — research",IF(AC357&lt;&gt;"","13 Transacting",IF(AH357="YES","12 ACTIVATED",IF(Z357&lt;&gt;"","11 Listing live",IF(Y357&lt;&gt;"","10 Profile complete",IF(X357&lt;&gt;"","9 Approved",IF(W357&lt;&gt;"","8 KYC submitted",IF(V357&lt;&gt;"","7 Registered",IF(T357&lt;&gt;"","5 Interested",IF(R357&lt;&gt;"","4 Responded",IF(O357&lt;&gt;"","2 Contacted","1 Not yet contacted")))))))))))))</f>
        <v/>
      </c>
      <c r="AK357" s="10">
        <f>IF(AF357&lt;&gt;"",AF357,IF(OR(O357="",R357&lt;&gt;"",LEFT(AJ357,1)="X"),"",IF(Q357&lt;&gt;"","",IF(P357&lt;&gt;"",P357+SETTINGS!$B$4,O357+SETTINGS!$B$3))))</f>
        <v/>
      </c>
      <c r="AL357">
        <f>IF(AJ357="","",IF(LEFT(AJ357,1)="X","None — do not contact",IF(AJ357="1 Not yet contacted","Verify route today, then send M1",IF(AND(R357="",Q357&lt;&gt;""),"Sequence complete — no contact before "&amp;TEXT(Q357+SETTINGS!$B$5,"yyyy-mm-dd"),IF(AND(R357="",P357&lt;&gt;""),"Send final note (M4)",IF(R357="","Send follow-up (M2)",IF(AJ357="12 ACTIVATED","7-day check-in; consent &amp; referral soft ask",IF(AJ357="13 Transacting","Repeat-activity support","Onboarding: move to next stage (see playbook §6)"))))))))</f>
        <v/>
      </c>
      <c r="AM357">
        <f>IF(ISNUMBER(AK357),IF(AK357&lt;=TODAY(),"DUE",""),"")</f>
        <v/>
      </c>
      <c r="AN357">
        <f>IF(COUNT(O357,P357,Q357,R357,T357,V357,W357,X357,Y357,Z357,AA357,AC357)=0,"",TODAY()-MAX(O357,P357,Q357,R357,T357,V357,W357,X357,Y357,Z357,AA357,AC357))</f>
        <v/>
      </c>
      <c r="AO357">
        <f>IF(AJ357="","",IF(AND(T357&lt;&gt;"",U357&lt;&gt;"Active (verified)"),"GST: escalate (no tax advice)",IF(AND(IFERROR(VALUE(LEFT(AJ357,2)),0)&gt;=5,AH357&lt;&gt;"YES",ISNUMBER(AN357),AN357&gt;SETTINGS!$B$14),"STUCK in onboarding","")))</f>
        <v/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s="10" t="inlineStr"/>
      <c r="P358" s="10" t="inlineStr"/>
      <c r="Q358" s="10" t="inlineStr"/>
      <c r="R358" s="10" t="inlineStr"/>
      <c r="S358" t="inlineStr"/>
      <c r="T358" s="10" t="inlineStr"/>
      <c r="U358" t="inlineStr"/>
      <c r="V358" s="10" t="inlineStr"/>
      <c r="W358" s="10" t="inlineStr"/>
      <c r="X358" s="10" t="inlineStr"/>
      <c r="Y358" s="10" t="inlineStr"/>
      <c r="Z358" s="10" t="inlineStr"/>
      <c r="AA358" s="10" t="inlineStr"/>
      <c r="AB358" t="inlineStr"/>
      <c r="AC358" s="10" t="inlineStr"/>
      <c r="AD358" t="inlineStr"/>
      <c r="AE358" t="inlineStr"/>
      <c r="AF358" s="10" t="inlineStr"/>
      <c r="AG358" t="inlineStr"/>
      <c r="AH358">
        <f>IF(AND(B358="",C358=""),"",IF(AND(X358&lt;&gt;"",Y358&lt;&gt;"",Z358&lt;&gt;"",AA358&lt;&gt;"",AB358="Y"),"YES","no"))</f>
        <v/>
      </c>
      <c r="AI358" s="10">
        <f>IF(AH358="YES",MAX(X358,Y358,Z358,AA358),"")</f>
        <v/>
      </c>
      <c r="AJ358">
        <f>IF(AND(B358="",C358=""),"",IF(OR(S358="Not interested",S358="Opt-out / do not contact"),"X Declined / suppressed",IF(S358="Bounced / undeliverable","X Bounced — research",IF(AC358&lt;&gt;"","13 Transacting",IF(AH358="YES","12 ACTIVATED",IF(Z358&lt;&gt;"","11 Listing live",IF(Y358&lt;&gt;"","10 Profile complete",IF(X358&lt;&gt;"","9 Approved",IF(W358&lt;&gt;"","8 KYC submitted",IF(V358&lt;&gt;"","7 Registered",IF(T358&lt;&gt;"","5 Interested",IF(R358&lt;&gt;"","4 Responded",IF(O358&lt;&gt;"","2 Contacted","1 Not yet contacted")))))))))))))</f>
        <v/>
      </c>
      <c r="AK358" s="10">
        <f>IF(AF358&lt;&gt;"",AF358,IF(OR(O358="",R358&lt;&gt;"",LEFT(AJ358,1)="X"),"",IF(Q358&lt;&gt;"","",IF(P358&lt;&gt;"",P358+SETTINGS!$B$4,O358+SETTINGS!$B$3))))</f>
        <v/>
      </c>
      <c r="AL358">
        <f>IF(AJ358="","",IF(LEFT(AJ358,1)="X","None — do not contact",IF(AJ358="1 Not yet contacted","Verify route today, then send M1",IF(AND(R358="",Q358&lt;&gt;""),"Sequence complete — no contact before "&amp;TEXT(Q358+SETTINGS!$B$5,"yyyy-mm-dd"),IF(AND(R358="",P358&lt;&gt;""),"Send final note (M4)",IF(R358="","Send follow-up (M2)",IF(AJ358="12 ACTIVATED","7-day check-in; consent &amp; referral soft ask",IF(AJ358="13 Transacting","Repeat-activity support","Onboarding: move to next stage (see playbook §6)"))))))))</f>
        <v/>
      </c>
      <c r="AM358">
        <f>IF(ISNUMBER(AK358),IF(AK358&lt;=TODAY(),"DUE",""),"")</f>
        <v/>
      </c>
      <c r="AN358">
        <f>IF(COUNT(O358,P358,Q358,R358,T358,V358,W358,X358,Y358,Z358,AA358,AC358)=0,"",TODAY()-MAX(O358,P358,Q358,R358,T358,V358,W358,X358,Y358,Z358,AA358,AC358))</f>
        <v/>
      </c>
      <c r="AO358">
        <f>IF(AJ358="","",IF(AND(T358&lt;&gt;"",U358&lt;&gt;"Active (verified)"),"GST: escalate (no tax advice)",IF(AND(IFERROR(VALUE(LEFT(AJ358,2)),0)&gt;=5,AH358&lt;&gt;"YES",ISNUMBER(AN358),AN358&gt;SETTINGS!$B$14),"STUCK in onboarding","")))</f>
        <v/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s="10" t="inlineStr"/>
      <c r="P359" s="10" t="inlineStr"/>
      <c r="Q359" s="10" t="inlineStr"/>
      <c r="R359" s="10" t="inlineStr"/>
      <c r="S359" t="inlineStr"/>
      <c r="T359" s="10" t="inlineStr"/>
      <c r="U359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t="inlineStr"/>
      <c r="AC359" s="10" t="inlineStr"/>
      <c r="AD359" t="inlineStr"/>
      <c r="AE359" t="inlineStr"/>
      <c r="AF359" s="10" t="inlineStr"/>
      <c r="AG359" t="inlineStr"/>
      <c r="AH359">
        <f>IF(AND(B359="",C359=""),"",IF(AND(X359&lt;&gt;"",Y359&lt;&gt;"",Z359&lt;&gt;"",AA359&lt;&gt;"",AB359="Y"),"YES","no"))</f>
        <v/>
      </c>
      <c r="AI359" s="10">
        <f>IF(AH359="YES",MAX(X359,Y359,Z359,AA359),"")</f>
        <v/>
      </c>
      <c r="AJ359">
        <f>IF(AND(B359="",C359=""),"",IF(OR(S359="Not interested",S359="Opt-out / do not contact"),"X Declined / suppressed",IF(S359="Bounced / undeliverable","X Bounced — research",IF(AC359&lt;&gt;"","13 Transacting",IF(AH359="YES","12 ACTIVATED",IF(Z359&lt;&gt;"","11 Listing live",IF(Y359&lt;&gt;"","10 Profile complete",IF(X359&lt;&gt;"","9 Approved",IF(W359&lt;&gt;"","8 KYC submitted",IF(V359&lt;&gt;"","7 Registered",IF(T359&lt;&gt;"","5 Interested",IF(R359&lt;&gt;"","4 Responded",IF(O359&lt;&gt;"","2 Contacted","1 Not yet contacted")))))))))))))</f>
        <v/>
      </c>
      <c r="AK359" s="10">
        <f>IF(AF359&lt;&gt;"",AF359,IF(OR(O359="",R359&lt;&gt;"",LEFT(AJ359,1)="X"),"",IF(Q359&lt;&gt;"","",IF(P359&lt;&gt;"",P359+SETTINGS!$B$4,O359+SETTINGS!$B$3))))</f>
        <v/>
      </c>
      <c r="AL359">
        <f>IF(AJ359="","",IF(LEFT(AJ359,1)="X","None — do not contact",IF(AJ359="1 Not yet contacted","Verify route today, then send M1",IF(AND(R359="",Q359&lt;&gt;""),"Sequence complete — no contact before "&amp;TEXT(Q359+SETTINGS!$B$5,"yyyy-mm-dd"),IF(AND(R359="",P359&lt;&gt;""),"Send final note (M4)",IF(R359="","Send follow-up (M2)",IF(AJ359="12 ACTIVATED","7-day check-in; consent &amp; referral soft ask",IF(AJ359="13 Transacting","Repeat-activity support","Onboarding: move to next stage (see playbook §6)"))))))))</f>
        <v/>
      </c>
      <c r="AM359">
        <f>IF(ISNUMBER(AK359),IF(AK359&lt;=TODAY(),"DUE",""),"")</f>
        <v/>
      </c>
      <c r="AN359">
        <f>IF(COUNT(O359,P359,Q359,R359,T359,V359,W359,X359,Y359,Z359,AA359,AC359)=0,"",TODAY()-MAX(O359,P359,Q359,R359,T359,V359,W359,X359,Y359,Z359,AA359,AC359))</f>
        <v/>
      </c>
      <c r="AO359">
        <f>IF(AJ359="","",IF(AND(T359&lt;&gt;"",U359&lt;&gt;"Active (verified)"),"GST: escalate (no tax advice)",IF(AND(IFERROR(VALUE(LEFT(AJ359,2)),0)&gt;=5,AH359&lt;&gt;"YES",ISNUMBER(AN359),AN359&gt;SETTINGS!$B$14),"STUCK in onboarding","")))</f>
        <v/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s="10" t="inlineStr"/>
      <c r="P360" s="10" t="inlineStr"/>
      <c r="Q360" s="10" t="inlineStr"/>
      <c r="R360" s="10" t="inlineStr"/>
      <c r="S360" t="inlineStr"/>
      <c r="T360" s="10" t="inlineStr"/>
      <c r="U36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t="inlineStr"/>
      <c r="AC360" s="10" t="inlineStr"/>
      <c r="AD360" t="inlineStr"/>
      <c r="AE360" t="inlineStr"/>
      <c r="AF360" s="10" t="inlineStr"/>
      <c r="AG360" t="inlineStr"/>
      <c r="AH360">
        <f>IF(AND(B360="",C360=""),"",IF(AND(X360&lt;&gt;"",Y360&lt;&gt;"",Z360&lt;&gt;"",AA360&lt;&gt;"",AB360="Y"),"YES","no"))</f>
        <v/>
      </c>
      <c r="AI360" s="10">
        <f>IF(AH360="YES",MAX(X360,Y360,Z360,AA360),"")</f>
        <v/>
      </c>
      <c r="AJ360">
        <f>IF(AND(B360="",C360=""),"",IF(OR(S360="Not interested",S360="Opt-out / do not contact"),"X Declined / suppressed",IF(S360="Bounced / undeliverable","X Bounced — research",IF(AC360&lt;&gt;"","13 Transacting",IF(AH360="YES","12 ACTIVATED",IF(Z360&lt;&gt;"","11 Listing live",IF(Y360&lt;&gt;"","10 Profile complete",IF(X360&lt;&gt;"","9 Approved",IF(W360&lt;&gt;"","8 KYC submitted",IF(V360&lt;&gt;"","7 Registered",IF(T360&lt;&gt;"","5 Interested",IF(R360&lt;&gt;"","4 Responded",IF(O360&lt;&gt;"","2 Contacted","1 Not yet contacted")))))))))))))</f>
        <v/>
      </c>
      <c r="AK360" s="10">
        <f>IF(AF360&lt;&gt;"",AF360,IF(OR(O360="",R360&lt;&gt;"",LEFT(AJ360,1)="X"),"",IF(Q360&lt;&gt;"","",IF(P360&lt;&gt;"",P360+SETTINGS!$B$4,O360+SETTINGS!$B$3))))</f>
        <v/>
      </c>
      <c r="AL360">
        <f>IF(AJ360="","",IF(LEFT(AJ360,1)="X","None — do not contact",IF(AJ360="1 Not yet contacted","Verify route today, then send M1",IF(AND(R360="",Q360&lt;&gt;""),"Sequence complete — no contact before "&amp;TEXT(Q360+SETTINGS!$B$5,"yyyy-mm-dd"),IF(AND(R360="",P360&lt;&gt;""),"Send final note (M4)",IF(R360="","Send follow-up (M2)",IF(AJ360="12 ACTIVATED","7-day check-in; consent &amp; referral soft ask",IF(AJ360="13 Transacting","Repeat-activity support","Onboarding: move to next stage (see playbook §6)"))))))))</f>
        <v/>
      </c>
      <c r="AM360">
        <f>IF(ISNUMBER(AK360),IF(AK360&lt;=TODAY(),"DUE",""),"")</f>
        <v/>
      </c>
      <c r="AN360">
        <f>IF(COUNT(O360,P360,Q360,R360,T360,V360,W360,X360,Y360,Z360,AA360,AC360)=0,"",TODAY()-MAX(O360,P360,Q360,R360,T360,V360,W360,X360,Y360,Z360,AA360,AC360))</f>
        <v/>
      </c>
      <c r="AO360">
        <f>IF(AJ360="","",IF(AND(T360&lt;&gt;"",U360&lt;&gt;"Active (verified)"),"GST: escalate (no tax advice)",IF(AND(IFERROR(VALUE(LEFT(AJ360,2)),0)&gt;=5,AH360&lt;&gt;"YES",ISNUMBER(AN360),AN360&gt;SETTINGS!$B$14),"STUCK in onboarding","")))</f>
        <v/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s="10" t="inlineStr"/>
      <c r="P361" s="10" t="inlineStr"/>
      <c r="Q361" s="10" t="inlineStr"/>
      <c r="R361" s="10" t="inlineStr"/>
      <c r="S361" t="inlineStr"/>
      <c r="T361" s="10" t="inlineStr"/>
      <c r="U361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t="inlineStr"/>
      <c r="AC361" s="10" t="inlineStr"/>
      <c r="AD361" t="inlineStr"/>
      <c r="AE361" t="inlineStr"/>
      <c r="AF361" s="10" t="inlineStr"/>
      <c r="AG361" t="inlineStr"/>
      <c r="AH361">
        <f>IF(AND(B361="",C361=""),"",IF(AND(X361&lt;&gt;"",Y361&lt;&gt;"",Z361&lt;&gt;"",AA361&lt;&gt;"",AB361="Y"),"YES","no"))</f>
        <v/>
      </c>
      <c r="AI361" s="10">
        <f>IF(AH361="YES",MAX(X361,Y361,Z361,AA361),"")</f>
        <v/>
      </c>
      <c r="AJ361">
        <f>IF(AND(B361="",C361=""),"",IF(OR(S361="Not interested",S361="Opt-out / do not contact"),"X Declined / suppressed",IF(S361="Bounced / undeliverable","X Bounced — research",IF(AC361&lt;&gt;"","13 Transacting",IF(AH361="YES","12 ACTIVATED",IF(Z361&lt;&gt;"","11 Listing live",IF(Y361&lt;&gt;"","10 Profile complete",IF(X361&lt;&gt;"","9 Approved",IF(W361&lt;&gt;"","8 KYC submitted",IF(V361&lt;&gt;"","7 Registered",IF(T361&lt;&gt;"","5 Interested",IF(R361&lt;&gt;"","4 Responded",IF(O361&lt;&gt;"","2 Contacted","1 Not yet contacted")))))))))))))</f>
        <v/>
      </c>
      <c r="AK361" s="10">
        <f>IF(AF361&lt;&gt;"",AF361,IF(OR(O361="",R361&lt;&gt;"",LEFT(AJ361,1)="X"),"",IF(Q361&lt;&gt;"","",IF(P361&lt;&gt;"",P361+SETTINGS!$B$4,O361+SETTINGS!$B$3))))</f>
        <v/>
      </c>
      <c r="AL361">
        <f>IF(AJ361="","",IF(LEFT(AJ361,1)="X","None — do not contact",IF(AJ361="1 Not yet contacted","Verify route today, then send M1",IF(AND(R361="",Q361&lt;&gt;""),"Sequence complete — no contact before "&amp;TEXT(Q361+SETTINGS!$B$5,"yyyy-mm-dd"),IF(AND(R361="",P361&lt;&gt;""),"Send final note (M4)",IF(R361="","Send follow-up (M2)",IF(AJ361="12 ACTIVATED","7-day check-in; consent &amp; referral soft ask",IF(AJ361="13 Transacting","Repeat-activity support","Onboarding: move to next stage (see playbook §6)"))))))))</f>
        <v/>
      </c>
      <c r="AM361">
        <f>IF(ISNUMBER(AK361),IF(AK361&lt;=TODAY(),"DUE",""),"")</f>
        <v/>
      </c>
      <c r="AN361">
        <f>IF(COUNT(O361,P361,Q361,R361,T361,V361,W361,X361,Y361,Z361,AA361,AC361)=0,"",TODAY()-MAX(O361,P361,Q361,R361,T361,V361,W361,X361,Y361,Z361,AA361,AC361))</f>
        <v/>
      </c>
      <c r="AO361">
        <f>IF(AJ361="","",IF(AND(T361&lt;&gt;"",U361&lt;&gt;"Active (verified)"),"GST: escalate (no tax advice)",IF(AND(IFERROR(VALUE(LEFT(AJ361,2)),0)&gt;=5,AH361&lt;&gt;"YES",ISNUMBER(AN361),AN361&gt;SETTINGS!$B$14),"STUCK in onboarding","")))</f>
        <v/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s="10" t="inlineStr"/>
      <c r="P362" s="10" t="inlineStr"/>
      <c r="Q362" s="10" t="inlineStr"/>
      <c r="R362" s="10" t="inlineStr"/>
      <c r="S362" t="inlineStr"/>
      <c r="T362" s="10" t="inlineStr"/>
      <c r="U362" t="inlineStr"/>
      <c r="V362" s="10" t="inlineStr"/>
      <c r="W362" s="10" t="inlineStr"/>
      <c r="X362" s="10" t="inlineStr"/>
      <c r="Y362" s="10" t="inlineStr"/>
      <c r="Z362" s="10" t="inlineStr"/>
      <c r="AA362" s="10" t="inlineStr"/>
      <c r="AB362" t="inlineStr"/>
      <c r="AC362" s="10" t="inlineStr"/>
      <c r="AD362" t="inlineStr"/>
      <c r="AE362" t="inlineStr"/>
      <c r="AF362" s="10" t="inlineStr"/>
      <c r="AG362" t="inlineStr"/>
      <c r="AH362">
        <f>IF(AND(B362="",C362=""),"",IF(AND(X362&lt;&gt;"",Y362&lt;&gt;"",Z362&lt;&gt;"",AA362&lt;&gt;"",AB362="Y"),"YES","no"))</f>
        <v/>
      </c>
      <c r="AI362" s="10">
        <f>IF(AH362="YES",MAX(X362,Y362,Z362,AA362),"")</f>
        <v/>
      </c>
      <c r="AJ362">
        <f>IF(AND(B362="",C362=""),"",IF(OR(S362="Not interested",S362="Opt-out / do not contact"),"X Declined / suppressed",IF(S362="Bounced / undeliverable","X Bounced — research",IF(AC362&lt;&gt;"","13 Transacting",IF(AH362="YES","12 ACTIVATED",IF(Z362&lt;&gt;"","11 Listing live",IF(Y362&lt;&gt;"","10 Profile complete",IF(X362&lt;&gt;"","9 Approved",IF(W362&lt;&gt;"","8 KYC submitted",IF(V362&lt;&gt;"","7 Registered",IF(T362&lt;&gt;"","5 Interested",IF(R362&lt;&gt;"","4 Responded",IF(O362&lt;&gt;"","2 Contacted","1 Not yet contacted")))))))))))))</f>
        <v/>
      </c>
      <c r="AK362" s="10">
        <f>IF(AF362&lt;&gt;"",AF362,IF(OR(O362="",R362&lt;&gt;"",LEFT(AJ362,1)="X"),"",IF(Q362&lt;&gt;"","",IF(P362&lt;&gt;"",P362+SETTINGS!$B$4,O362+SETTINGS!$B$3))))</f>
        <v/>
      </c>
      <c r="AL362">
        <f>IF(AJ362="","",IF(LEFT(AJ362,1)="X","None — do not contact",IF(AJ362="1 Not yet contacted","Verify route today, then send M1",IF(AND(R362="",Q362&lt;&gt;""),"Sequence complete — no contact before "&amp;TEXT(Q362+SETTINGS!$B$5,"yyyy-mm-dd"),IF(AND(R362="",P362&lt;&gt;""),"Send final note (M4)",IF(R362="","Send follow-up (M2)",IF(AJ362="12 ACTIVATED","7-day check-in; consent &amp; referral soft ask",IF(AJ362="13 Transacting","Repeat-activity support","Onboarding: move to next stage (see playbook §6)"))))))))</f>
        <v/>
      </c>
      <c r="AM362">
        <f>IF(ISNUMBER(AK362),IF(AK362&lt;=TODAY(),"DUE",""),"")</f>
        <v/>
      </c>
      <c r="AN362">
        <f>IF(COUNT(O362,P362,Q362,R362,T362,V362,W362,X362,Y362,Z362,AA362,AC362)=0,"",TODAY()-MAX(O362,P362,Q362,R362,T362,V362,W362,X362,Y362,Z362,AA362,AC362))</f>
        <v/>
      </c>
      <c r="AO362">
        <f>IF(AJ362="","",IF(AND(T362&lt;&gt;"",U362&lt;&gt;"Active (verified)"),"GST: escalate (no tax advice)",IF(AND(IFERROR(VALUE(LEFT(AJ362,2)),0)&gt;=5,AH362&lt;&gt;"YES",ISNUMBER(AN362),AN362&gt;SETTINGS!$B$14),"STUCK in onboarding","")))</f>
        <v/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s="10" t="inlineStr"/>
      <c r="P363" s="10" t="inlineStr"/>
      <c r="Q363" s="10" t="inlineStr"/>
      <c r="R363" s="10" t="inlineStr"/>
      <c r="S363" t="inlineStr"/>
      <c r="T363" s="10" t="inlineStr"/>
      <c r="U363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t="inlineStr"/>
      <c r="AC363" s="10" t="inlineStr"/>
      <c r="AD363" t="inlineStr"/>
      <c r="AE363" t="inlineStr"/>
      <c r="AF363" s="10" t="inlineStr"/>
      <c r="AG363" t="inlineStr"/>
      <c r="AH363">
        <f>IF(AND(B363="",C363=""),"",IF(AND(X363&lt;&gt;"",Y363&lt;&gt;"",Z363&lt;&gt;"",AA363&lt;&gt;"",AB363="Y"),"YES","no"))</f>
        <v/>
      </c>
      <c r="AI363" s="10">
        <f>IF(AH363="YES",MAX(X363,Y363,Z363,AA363),"")</f>
        <v/>
      </c>
      <c r="AJ363">
        <f>IF(AND(B363="",C363=""),"",IF(OR(S363="Not interested",S363="Opt-out / do not contact"),"X Declined / suppressed",IF(S363="Bounced / undeliverable","X Bounced — research",IF(AC363&lt;&gt;"","13 Transacting",IF(AH363="YES","12 ACTIVATED",IF(Z363&lt;&gt;"","11 Listing live",IF(Y363&lt;&gt;"","10 Profile complete",IF(X363&lt;&gt;"","9 Approved",IF(W363&lt;&gt;"","8 KYC submitted",IF(V363&lt;&gt;"","7 Registered",IF(T363&lt;&gt;"","5 Interested",IF(R363&lt;&gt;"","4 Responded",IF(O363&lt;&gt;"","2 Contacted","1 Not yet contacted")))))))))))))</f>
        <v/>
      </c>
      <c r="AK363" s="10">
        <f>IF(AF363&lt;&gt;"",AF363,IF(OR(O363="",R363&lt;&gt;"",LEFT(AJ363,1)="X"),"",IF(Q363&lt;&gt;"","",IF(P363&lt;&gt;"",P363+SETTINGS!$B$4,O363+SETTINGS!$B$3))))</f>
        <v/>
      </c>
      <c r="AL363">
        <f>IF(AJ363="","",IF(LEFT(AJ363,1)="X","None — do not contact",IF(AJ363="1 Not yet contacted","Verify route today, then send M1",IF(AND(R363="",Q363&lt;&gt;""),"Sequence complete — no contact before "&amp;TEXT(Q363+SETTINGS!$B$5,"yyyy-mm-dd"),IF(AND(R363="",P363&lt;&gt;""),"Send final note (M4)",IF(R363="","Send follow-up (M2)",IF(AJ363="12 ACTIVATED","7-day check-in; consent &amp; referral soft ask",IF(AJ363="13 Transacting","Repeat-activity support","Onboarding: move to next stage (see playbook §6)"))))))))</f>
        <v/>
      </c>
      <c r="AM363">
        <f>IF(ISNUMBER(AK363),IF(AK363&lt;=TODAY(),"DUE",""),"")</f>
        <v/>
      </c>
      <c r="AN363">
        <f>IF(COUNT(O363,P363,Q363,R363,T363,V363,W363,X363,Y363,Z363,AA363,AC363)=0,"",TODAY()-MAX(O363,P363,Q363,R363,T363,V363,W363,X363,Y363,Z363,AA363,AC363))</f>
        <v/>
      </c>
      <c r="AO363">
        <f>IF(AJ363="","",IF(AND(T363&lt;&gt;"",U363&lt;&gt;"Active (verified)"),"GST: escalate (no tax advice)",IF(AND(IFERROR(VALUE(LEFT(AJ363,2)),0)&gt;=5,AH363&lt;&gt;"YES",ISNUMBER(AN363),AN363&gt;SETTINGS!$B$14),"STUCK in onboarding","")))</f>
        <v/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s="10" t="inlineStr"/>
      <c r="P364" s="10" t="inlineStr"/>
      <c r="Q364" s="10" t="inlineStr"/>
      <c r="R364" s="10" t="inlineStr"/>
      <c r="S364" t="inlineStr"/>
      <c r="T364" s="10" t="inlineStr"/>
      <c r="U364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t="inlineStr"/>
      <c r="AC364" s="10" t="inlineStr"/>
      <c r="AD364" t="inlineStr"/>
      <c r="AE364" t="inlineStr"/>
      <c r="AF364" s="10" t="inlineStr"/>
      <c r="AG364" t="inlineStr"/>
      <c r="AH364">
        <f>IF(AND(B364="",C364=""),"",IF(AND(X364&lt;&gt;"",Y364&lt;&gt;"",Z364&lt;&gt;"",AA364&lt;&gt;"",AB364="Y"),"YES","no"))</f>
        <v/>
      </c>
      <c r="AI364" s="10">
        <f>IF(AH364="YES",MAX(X364,Y364,Z364,AA364),"")</f>
        <v/>
      </c>
      <c r="AJ364">
        <f>IF(AND(B364="",C364=""),"",IF(OR(S364="Not interested",S364="Opt-out / do not contact"),"X Declined / suppressed",IF(S364="Bounced / undeliverable","X Bounced — research",IF(AC364&lt;&gt;"","13 Transacting",IF(AH364="YES","12 ACTIVATED",IF(Z364&lt;&gt;"","11 Listing live",IF(Y364&lt;&gt;"","10 Profile complete",IF(X364&lt;&gt;"","9 Approved",IF(W364&lt;&gt;"","8 KYC submitted",IF(V364&lt;&gt;"","7 Registered",IF(T364&lt;&gt;"","5 Interested",IF(R364&lt;&gt;"","4 Responded",IF(O364&lt;&gt;"","2 Contacted","1 Not yet contacted")))))))))))))</f>
        <v/>
      </c>
      <c r="AK364" s="10">
        <f>IF(AF364&lt;&gt;"",AF364,IF(OR(O364="",R364&lt;&gt;"",LEFT(AJ364,1)="X"),"",IF(Q364&lt;&gt;"","",IF(P364&lt;&gt;"",P364+SETTINGS!$B$4,O364+SETTINGS!$B$3))))</f>
        <v/>
      </c>
      <c r="AL364">
        <f>IF(AJ364="","",IF(LEFT(AJ364,1)="X","None — do not contact",IF(AJ364="1 Not yet contacted","Verify route today, then send M1",IF(AND(R364="",Q364&lt;&gt;""),"Sequence complete — no contact before "&amp;TEXT(Q364+SETTINGS!$B$5,"yyyy-mm-dd"),IF(AND(R364="",P364&lt;&gt;""),"Send final note (M4)",IF(R364="","Send follow-up (M2)",IF(AJ364="12 ACTIVATED","7-day check-in; consent &amp; referral soft ask",IF(AJ364="13 Transacting","Repeat-activity support","Onboarding: move to next stage (see playbook §6)"))))))))</f>
        <v/>
      </c>
      <c r="AM364">
        <f>IF(ISNUMBER(AK364),IF(AK364&lt;=TODAY(),"DUE",""),"")</f>
        <v/>
      </c>
      <c r="AN364">
        <f>IF(COUNT(O364,P364,Q364,R364,T364,V364,W364,X364,Y364,Z364,AA364,AC364)=0,"",TODAY()-MAX(O364,P364,Q364,R364,T364,V364,W364,X364,Y364,Z364,AA364,AC364))</f>
        <v/>
      </c>
      <c r="AO364">
        <f>IF(AJ364="","",IF(AND(T364&lt;&gt;"",U364&lt;&gt;"Active (verified)"),"GST: escalate (no tax advice)",IF(AND(IFERROR(VALUE(LEFT(AJ364,2)),0)&gt;=5,AH364&lt;&gt;"YES",ISNUMBER(AN364),AN364&gt;SETTINGS!$B$14),"STUCK in onboarding","")))</f>
        <v/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s="10" t="inlineStr"/>
      <c r="P365" s="10" t="inlineStr"/>
      <c r="Q365" s="10" t="inlineStr"/>
      <c r="R365" s="10" t="inlineStr"/>
      <c r="S365" t="inlineStr"/>
      <c r="T365" s="10" t="inlineStr"/>
      <c r="U365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t="inlineStr"/>
      <c r="AC365" s="10" t="inlineStr"/>
      <c r="AD365" t="inlineStr"/>
      <c r="AE365" t="inlineStr"/>
      <c r="AF365" s="10" t="inlineStr"/>
      <c r="AG365" t="inlineStr"/>
      <c r="AH365">
        <f>IF(AND(B365="",C365=""),"",IF(AND(X365&lt;&gt;"",Y365&lt;&gt;"",Z365&lt;&gt;"",AA365&lt;&gt;"",AB365="Y"),"YES","no"))</f>
        <v/>
      </c>
      <c r="AI365" s="10">
        <f>IF(AH365="YES",MAX(X365,Y365,Z365,AA365),"")</f>
        <v/>
      </c>
      <c r="AJ365">
        <f>IF(AND(B365="",C365=""),"",IF(OR(S365="Not interested",S365="Opt-out / do not contact"),"X Declined / suppressed",IF(S365="Bounced / undeliverable","X Bounced — research",IF(AC365&lt;&gt;"","13 Transacting",IF(AH365="YES","12 ACTIVATED",IF(Z365&lt;&gt;"","11 Listing live",IF(Y365&lt;&gt;"","10 Profile complete",IF(X365&lt;&gt;"","9 Approved",IF(W365&lt;&gt;"","8 KYC submitted",IF(V365&lt;&gt;"","7 Registered",IF(T365&lt;&gt;"","5 Interested",IF(R365&lt;&gt;"","4 Responded",IF(O365&lt;&gt;"","2 Contacted","1 Not yet contacted")))))))))))))</f>
        <v/>
      </c>
      <c r="AK365" s="10">
        <f>IF(AF365&lt;&gt;"",AF365,IF(OR(O365="",R365&lt;&gt;"",LEFT(AJ365,1)="X"),"",IF(Q365&lt;&gt;"","",IF(P365&lt;&gt;"",P365+SETTINGS!$B$4,O365+SETTINGS!$B$3))))</f>
        <v/>
      </c>
      <c r="AL365">
        <f>IF(AJ365="","",IF(LEFT(AJ365,1)="X","None — do not contact",IF(AJ365="1 Not yet contacted","Verify route today, then send M1",IF(AND(R365="",Q365&lt;&gt;""),"Sequence complete — no contact before "&amp;TEXT(Q365+SETTINGS!$B$5,"yyyy-mm-dd"),IF(AND(R365="",P365&lt;&gt;""),"Send final note (M4)",IF(R365="","Send follow-up (M2)",IF(AJ365="12 ACTIVATED","7-day check-in; consent &amp; referral soft ask",IF(AJ365="13 Transacting","Repeat-activity support","Onboarding: move to next stage (see playbook §6)"))))))))</f>
        <v/>
      </c>
      <c r="AM365">
        <f>IF(ISNUMBER(AK365),IF(AK365&lt;=TODAY(),"DUE",""),"")</f>
        <v/>
      </c>
      <c r="AN365">
        <f>IF(COUNT(O365,P365,Q365,R365,T365,V365,W365,X365,Y365,Z365,AA365,AC365)=0,"",TODAY()-MAX(O365,P365,Q365,R365,T365,V365,W365,X365,Y365,Z365,AA365,AC365))</f>
        <v/>
      </c>
      <c r="AO365">
        <f>IF(AJ365="","",IF(AND(T365&lt;&gt;"",U365&lt;&gt;"Active (verified)"),"GST: escalate (no tax advice)",IF(AND(IFERROR(VALUE(LEFT(AJ365,2)),0)&gt;=5,AH365&lt;&gt;"YES",ISNUMBER(AN365),AN365&gt;SETTINGS!$B$14),"STUCK in onboarding","")))</f>
        <v/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s="10" t="inlineStr"/>
      <c r="P366" s="10" t="inlineStr"/>
      <c r="Q366" s="10" t="inlineStr"/>
      <c r="R366" s="10" t="inlineStr"/>
      <c r="S366" t="inlineStr"/>
      <c r="T366" s="10" t="inlineStr"/>
      <c r="U366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t="inlineStr"/>
      <c r="AC366" s="10" t="inlineStr"/>
      <c r="AD366" t="inlineStr"/>
      <c r="AE366" t="inlineStr"/>
      <c r="AF366" s="10" t="inlineStr"/>
      <c r="AG366" t="inlineStr"/>
      <c r="AH366">
        <f>IF(AND(B366="",C366=""),"",IF(AND(X366&lt;&gt;"",Y366&lt;&gt;"",Z366&lt;&gt;"",AA366&lt;&gt;"",AB366="Y"),"YES","no"))</f>
        <v/>
      </c>
      <c r="AI366" s="10">
        <f>IF(AH366="YES",MAX(X366,Y366,Z366,AA366),"")</f>
        <v/>
      </c>
      <c r="AJ366">
        <f>IF(AND(B366="",C366=""),"",IF(OR(S366="Not interested",S366="Opt-out / do not contact"),"X Declined / suppressed",IF(S366="Bounced / undeliverable","X Bounced — research",IF(AC366&lt;&gt;"","13 Transacting",IF(AH366="YES","12 ACTIVATED",IF(Z366&lt;&gt;"","11 Listing live",IF(Y366&lt;&gt;"","10 Profile complete",IF(X366&lt;&gt;"","9 Approved",IF(W366&lt;&gt;"","8 KYC submitted",IF(V366&lt;&gt;"","7 Registered",IF(T366&lt;&gt;"","5 Interested",IF(R366&lt;&gt;"","4 Responded",IF(O366&lt;&gt;"","2 Contacted","1 Not yet contacted")))))))))))))</f>
        <v/>
      </c>
      <c r="AK366" s="10">
        <f>IF(AF366&lt;&gt;"",AF366,IF(OR(O366="",R366&lt;&gt;"",LEFT(AJ366,1)="X"),"",IF(Q366&lt;&gt;"","",IF(P366&lt;&gt;"",P366+SETTINGS!$B$4,O366+SETTINGS!$B$3))))</f>
        <v/>
      </c>
      <c r="AL366">
        <f>IF(AJ366="","",IF(LEFT(AJ366,1)="X","None — do not contact",IF(AJ366="1 Not yet contacted","Verify route today, then send M1",IF(AND(R366="",Q366&lt;&gt;""),"Sequence complete — no contact before "&amp;TEXT(Q366+SETTINGS!$B$5,"yyyy-mm-dd"),IF(AND(R366="",P366&lt;&gt;""),"Send final note (M4)",IF(R366="","Send follow-up (M2)",IF(AJ366="12 ACTIVATED","7-day check-in; consent &amp; referral soft ask",IF(AJ366="13 Transacting","Repeat-activity support","Onboarding: move to next stage (see playbook §6)"))))))))</f>
        <v/>
      </c>
      <c r="AM366">
        <f>IF(ISNUMBER(AK366),IF(AK366&lt;=TODAY(),"DUE",""),"")</f>
        <v/>
      </c>
      <c r="AN366">
        <f>IF(COUNT(O366,P366,Q366,R366,T366,V366,W366,X366,Y366,Z366,AA366,AC366)=0,"",TODAY()-MAX(O366,P366,Q366,R366,T366,V366,W366,X366,Y366,Z366,AA366,AC366))</f>
        <v/>
      </c>
      <c r="AO366">
        <f>IF(AJ366="","",IF(AND(T366&lt;&gt;"",U366&lt;&gt;"Active (verified)"),"GST: escalate (no tax advice)",IF(AND(IFERROR(VALUE(LEFT(AJ366,2)),0)&gt;=5,AH366&lt;&gt;"YES",ISNUMBER(AN366),AN366&gt;SETTINGS!$B$14),"STUCK in onboarding","")))</f>
        <v/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s="10" t="inlineStr"/>
      <c r="P367" s="10" t="inlineStr"/>
      <c r="Q367" s="10" t="inlineStr"/>
      <c r="R367" s="10" t="inlineStr"/>
      <c r="S367" t="inlineStr"/>
      <c r="T367" s="10" t="inlineStr"/>
      <c r="U367" t="inlineStr"/>
      <c r="V367" s="10" t="inlineStr"/>
      <c r="W367" s="10" t="inlineStr"/>
      <c r="X367" s="10" t="inlineStr"/>
      <c r="Y367" s="10" t="inlineStr"/>
      <c r="Z367" s="10" t="inlineStr"/>
      <c r="AA367" s="10" t="inlineStr"/>
      <c r="AB367" t="inlineStr"/>
      <c r="AC367" s="10" t="inlineStr"/>
      <c r="AD367" t="inlineStr"/>
      <c r="AE367" t="inlineStr"/>
      <c r="AF367" s="10" t="inlineStr"/>
      <c r="AG367" t="inlineStr"/>
      <c r="AH367">
        <f>IF(AND(B367="",C367=""),"",IF(AND(X367&lt;&gt;"",Y367&lt;&gt;"",Z367&lt;&gt;"",AA367&lt;&gt;"",AB367="Y"),"YES","no"))</f>
        <v/>
      </c>
      <c r="AI367" s="10">
        <f>IF(AH367="YES",MAX(X367,Y367,Z367,AA367),"")</f>
        <v/>
      </c>
      <c r="AJ367">
        <f>IF(AND(B367="",C367=""),"",IF(OR(S367="Not interested",S367="Opt-out / do not contact"),"X Declined / suppressed",IF(S367="Bounced / undeliverable","X Bounced — research",IF(AC367&lt;&gt;"","13 Transacting",IF(AH367="YES","12 ACTIVATED",IF(Z367&lt;&gt;"","11 Listing live",IF(Y367&lt;&gt;"","10 Profile complete",IF(X367&lt;&gt;"","9 Approved",IF(W367&lt;&gt;"","8 KYC submitted",IF(V367&lt;&gt;"","7 Registered",IF(T367&lt;&gt;"","5 Interested",IF(R367&lt;&gt;"","4 Responded",IF(O367&lt;&gt;"","2 Contacted","1 Not yet contacted")))))))))))))</f>
        <v/>
      </c>
      <c r="AK367" s="10">
        <f>IF(AF367&lt;&gt;"",AF367,IF(OR(O367="",R367&lt;&gt;"",LEFT(AJ367,1)="X"),"",IF(Q367&lt;&gt;"","",IF(P367&lt;&gt;"",P367+SETTINGS!$B$4,O367+SETTINGS!$B$3))))</f>
        <v/>
      </c>
      <c r="AL367">
        <f>IF(AJ367="","",IF(LEFT(AJ367,1)="X","None — do not contact",IF(AJ367="1 Not yet contacted","Verify route today, then send M1",IF(AND(R367="",Q367&lt;&gt;""),"Sequence complete — no contact before "&amp;TEXT(Q367+SETTINGS!$B$5,"yyyy-mm-dd"),IF(AND(R367="",P367&lt;&gt;""),"Send final note (M4)",IF(R367="","Send follow-up (M2)",IF(AJ367="12 ACTIVATED","7-day check-in; consent &amp; referral soft ask",IF(AJ367="13 Transacting","Repeat-activity support","Onboarding: move to next stage (see playbook §6)"))))))))</f>
        <v/>
      </c>
      <c r="AM367">
        <f>IF(ISNUMBER(AK367),IF(AK367&lt;=TODAY(),"DUE",""),"")</f>
        <v/>
      </c>
      <c r="AN367">
        <f>IF(COUNT(O367,P367,Q367,R367,T367,V367,W367,X367,Y367,Z367,AA367,AC367)=0,"",TODAY()-MAX(O367,P367,Q367,R367,T367,V367,W367,X367,Y367,Z367,AA367,AC367))</f>
        <v/>
      </c>
      <c r="AO367">
        <f>IF(AJ367="","",IF(AND(T367&lt;&gt;"",U367&lt;&gt;"Active (verified)"),"GST: escalate (no tax advice)",IF(AND(IFERROR(VALUE(LEFT(AJ367,2)),0)&gt;=5,AH367&lt;&gt;"YES",ISNUMBER(AN367),AN367&gt;SETTINGS!$B$14),"STUCK in onboarding","")))</f>
        <v/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s="10" t="inlineStr"/>
      <c r="P368" s="10" t="inlineStr"/>
      <c r="Q368" s="10" t="inlineStr"/>
      <c r="R368" s="10" t="inlineStr"/>
      <c r="S368" t="inlineStr"/>
      <c r="T368" s="10" t="inlineStr"/>
      <c r="U368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t="inlineStr"/>
      <c r="AC368" s="10" t="inlineStr"/>
      <c r="AD368" t="inlineStr"/>
      <c r="AE368" t="inlineStr"/>
      <c r="AF368" s="10" t="inlineStr"/>
      <c r="AG368" t="inlineStr"/>
      <c r="AH368">
        <f>IF(AND(B368="",C368=""),"",IF(AND(X368&lt;&gt;"",Y368&lt;&gt;"",Z368&lt;&gt;"",AA368&lt;&gt;"",AB368="Y"),"YES","no"))</f>
        <v/>
      </c>
      <c r="AI368" s="10">
        <f>IF(AH368="YES",MAX(X368,Y368,Z368,AA368),"")</f>
        <v/>
      </c>
      <c r="AJ368">
        <f>IF(AND(B368="",C368=""),"",IF(OR(S368="Not interested",S368="Opt-out / do not contact"),"X Declined / suppressed",IF(S368="Bounced / undeliverable","X Bounced — research",IF(AC368&lt;&gt;"","13 Transacting",IF(AH368="YES","12 ACTIVATED",IF(Z368&lt;&gt;"","11 Listing live",IF(Y368&lt;&gt;"","10 Profile complete",IF(X368&lt;&gt;"","9 Approved",IF(W368&lt;&gt;"","8 KYC submitted",IF(V368&lt;&gt;"","7 Registered",IF(T368&lt;&gt;"","5 Interested",IF(R368&lt;&gt;"","4 Responded",IF(O368&lt;&gt;"","2 Contacted","1 Not yet contacted")))))))))))))</f>
        <v/>
      </c>
      <c r="AK368" s="10">
        <f>IF(AF368&lt;&gt;"",AF368,IF(OR(O368="",R368&lt;&gt;"",LEFT(AJ368,1)="X"),"",IF(Q368&lt;&gt;"","",IF(P368&lt;&gt;"",P368+SETTINGS!$B$4,O368+SETTINGS!$B$3))))</f>
        <v/>
      </c>
      <c r="AL368">
        <f>IF(AJ368="","",IF(LEFT(AJ368,1)="X","None — do not contact",IF(AJ368="1 Not yet contacted","Verify route today, then send M1",IF(AND(R368="",Q368&lt;&gt;""),"Sequence complete — no contact before "&amp;TEXT(Q368+SETTINGS!$B$5,"yyyy-mm-dd"),IF(AND(R368="",P368&lt;&gt;""),"Send final note (M4)",IF(R368="","Send follow-up (M2)",IF(AJ368="12 ACTIVATED","7-day check-in; consent &amp; referral soft ask",IF(AJ368="13 Transacting","Repeat-activity support","Onboarding: move to next stage (see playbook §6)"))))))))</f>
        <v/>
      </c>
      <c r="AM368">
        <f>IF(ISNUMBER(AK368),IF(AK368&lt;=TODAY(),"DUE",""),"")</f>
        <v/>
      </c>
      <c r="AN368">
        <f>IF(COUNT(O368,P368,Q368,R368,T368,V368,W368,X368,Y368,Z368,AA368,AC368)=0,"",TODAY()-MAX(O368,P368,Q368,R368,T368,V368,W368,X368,Y368,Z368,AA368,AC368))</f>
        <v/>
      </c>
      <c r="AO368">
        <f>IF(AJ368="","",IF(AND(T368&lt;&gt;"",U368&lt;&gt;"Active (verified)"),"GST: escalate (no tax advice)",IF(AND(IFERROR(VALUE(LEFT(AJ368,2)),0)&gt;=5,AH368&lt;&gt;"YES",ISNUMBER(AN368),AN368&gt;SETTINGS!$B$14),"STUCK in onboarding","")))</f>
        <v/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s="10" t="inlineStr"/>
      <c r="P369" s="10" t="inlineStr"/>
      <c r="Q369" s="10" t="inlineStr"/>
      <c r="R369" s="10" t="inlineStr"/>
      <c r="S369" t="inlineStr"/>
      <c r="T369" s="10" t="inlineStr"/>
      <c r="U369" t="inlineStr"/>
      <c r="V369" s="10" t="inlineStr"/>
      <c r="W369" s="10" t="inlineStr"/>
      <c r="X369" s="10" t="inlineStr"/>
      <c r="Y369" s="10" t="inlineStr"/>
      <c r="Z369" s="10" t="inlineStr"/>
      <c r="AA369" s="10" t="inlineStr"/>
      <c r="AB369" t="inlineStr"/>
      <c r="AC369" s="10" t="inlineStr"/>
      <c r="AD369" t="inlineStr"/>
      <c r="AE369" t="inlineStr"/>
      <c r="AF369" s="10" t="inlineStr"/>
      <c r="AG369" t="inlineStr"/>
      <c r="AH369">
        <f>IF(AND(B369="",C369=""),"",IF(AND(X369&lt;&gt;"",Y369&lt;&gt;"",Z369&lt;&gt;"",AA369&lt;&gt;"",AB369="Y"),"YES","no"))</f>
        <v/>
      </c>
      <c r="AI369" s="10">
        <f>IF(AH369="YES",MAX(X369,Y369,Z369,AA369),"")</f>
        <v/>
      </c>
      <c r="AJ369">
        <f>IF(AND(B369="",C369=""),"",IF(OR(S369="Not interested",S369="Opt-out / do not contact"),"X Declined / suppressed",IF(S369="Bounced / undeliverable","X Bounced — research",IF(AC369&lt;&gt;"","13 Transacting",IF(AH369="YES","12 ACTIVATED",IF(Z369&lt;&gt;"","11 Listing live",IF(Y369&lt;&gt;"","10 Profile complete",IF(X369&lt;&gt;"","9 Approved",IF(W369&lt;&gt;"","8 KYC submitted",IF(V369&lt;&gt;"","7 Registered",IF(T369&lt;&gt;"","5 Interested",IF(R369&lt;&gt;"","4 Responded",IF(O369&lt;&gt;"","2 Contacted","1 Not yet contacted")))))))))))))</f>
        <v/>
      </c>
      <c r="AK369" s="10">
        <f>IF(AF369&lt;&gt;"",AF369,IF(OR(O369="",R369&lt;&gt;"",LEFT(AJ369,1)="X"),"",IF(Q369&lt;&gt;"","",IF(P369&lt;&gt;"",P369+SETTINGS!$B$4,O369+SETTINGS!$B$3))))</f>
        <v/>
      </c>
      <c r="AL369">
        <f>IF(AJ369="","",IF(LEFT(AJ369,1)="X","None — do not contact",IF(AJ369="1 Not yet contacted","Verify route today, then send M1",IF(AND(R369="",Q369&lt;&gt;""),"Sequence complete — no contact before "&amp;TEXT(Q369+SETTINGS!$B$5,"yyyy-mm-dd"),IF(AND(R369="",P369&lt;&gt;""),"Send final note (M4)",IF(R369="","Send follow-up (M2)",IF(AJ369="12 ACTIVATED","7-day check-in; consent &amp; referral soft ask",IF(AJ369="13 Transacting","Repeat-activity support","Onboarding: move to next stage (see playbook §6)"))))))))</f>
        <v/>
      </c>
      <c r="AM369">
        <f>IF(ISNUMBER(AK369),IF(AK369&lt;=TODAY(),"DUE",""),"")</f>
        <v/>
      </c>
      <c r="AN369">
        <f>IF(COUNT(O369,P369,Q369,R369,T369,V369,W369,X369,Y369,Z369,AA369,AC369)=0,"",TODAY()-MAX(O369,P369,Q369,R369,T369,V369,W369,X369,Y369,Z369,AA369,AC369))</f>
        <v/>
      </c>
      <c r="AO369">
        <f>IF(AJ369="","",IF(AND(T369&lt;&gt;"",U369&lt;&gt;"Active (verified)"),"GST: escalate (no tax advice)",IF(AND(IFERROR(VALUE(LEFT(AJ369,2)),0)&gt;=5,AH369&lt;&gt;"YES",ISNUMBER(AN369),AN369&gt;SETTINGS!$B$14),"STUCK in onboarding","")))</f>
        <v/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s="10" t="inlineStr"/>
      <c r="P370" s="10" t="inlineStr"/>
      <c r="Q370" s="10" t="inlineStr"/>
      <c r="R370" s="10" t="inlineStr"/>
      <c r="S370" t="inlineStr"/>
      <c r="T370" s="10" t="inlineStr"/>
      <c r="U37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t="inlineStr"/>
      <c r="AC370" s="10" t="inlineStr"/>
      <c r="AD370" t="inlineStr"/>
      <c r="AE370" t="inlineStr"/>
      <c r="AF370" s="10" t="inlineStr"/>
      <c r="AG370" t="inlineStr"/>
      <c r="AH370">
        <f>IF(AND(B370="",C370=""),"",IF(AND(X370&lt;&gt;"",Y370&lt;&gt;"",Z370&lt;&gt;"",AA370&lt;&gt;"",AB370="Y"),"YES","no"))</f>
        <v/>
      </c>
      <c r="AI370" s="10">
        <f>IF(AH370="YES",MAX(X370,Y370,Z370,AA370),"")</f>
        <v/>
      </c>
      <c r="AJ370">
        <f>IF(AND(B370="",C370=""),"",IF(OR(S370="Not interested",S370="Opt-out / do not contact"),"X Declined / suppressed",IF(S370="Bounced / undeliverable","X Bounced — research",IF(AC370&lt;&gt;"","13 Transacting",IF(AH370="YES","12 ACTIVATED",IF(Z370&lt;&gt;"","11 Listing live",IF(Y370&lt;&gt;"","10 Profile complete",IF(X370&lt;&gt;"","9 Approved",IF(W370&lt;&gt;"","8 KYC submitted",IF(V370&lt;&gt;"","7 Registered",IF(T370&lt;&gt;"","5 Interested",IF(R370&lt;&gt;"","4 Responded",IF(O370&lt;&gt;"","2 Contacted","1 Not yet contacted")))))))))))))</f>
        <v/>
      </c>
      <c r="AK370" s="10">
        <f>IF(AF370&lt;&gt;"",AF370,IF(OR(O370="",R370&lt;&gt;"",LEFT(AJ370,1)="X"),"",IF(Q370&lt;&gt;"","",IF(P370&lt;&gt;"",P370+SETTINGS!$B$4,O370+SETTINGS!$B$3))))</f>
        <v/>
      </c>
      <c r="AL370">
        <f>IF(AJ370="","",IF(LEFT(AJ370,1)="X","None — do not contact",IF(AJ370="1 Not yet contacted","Verify route today, then send M1",IF(AND(R370="",Q370&lt;&gt;""),"Sequence complete — no contact before "&amp;TEXT(Q370+SETTINGS!$B$5,"yyyy-mm-dd"),IF(AND(R370="",P370&lt;&gt;""),"Send final note (M4)",IF(R370="","Send follow-up (M2)",IF(AJ370="12 ACTIVATED","7-day check-in; consent &amp; referral soft ask",IF(AJ370="13 Transacting","Repeat-activity support","Onboarding: move to next stage (see playbook §6)"))))))))</f>
        <v/>
      </c>
      <c r="AM370">
        <f>IF(ISNUMBER(AK370),IF(AK370&lt;=TODAY(),"DUE",""),"")</f>
        <v/>
      </c>
      <c r="AN370">
        <f>IF(COUNT(O370,P370,Q370,R370,T370,V370,W370,X370,Y370,Z370,AA370,AC370)=0,"",TODAY()-MAX(O370,P370,Q370,R370,T370,V370,W370,X370,Y370,Z370,AA370,AC370))</f>
        <v/>
      </c>
      <c r="AO370">
        <f>IF(AJ370="","",IF(AND(T370&lt;&gt;"",U370&lt;&gt;"Active (verified)"),"GST: escalate (no tax advice)",IF(AND(IFERROR(VALUE(LEFT(AJ370,2)),0)&gt;=5,AH370&lt;&gt;"YES",ISNUMBER(AN370),AN370&gt;SETTINGS!$B$14),"STUCK in onboarding","")))</f>
        <v/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s="10" t="inlineStr"/>
      <c r="P371" s="10" t="inlineStr"/>
      <c r="Q371" s="10" t="inlineStr"/>
      <c r="R371" s="10" t="inlineStr"/>
      <c r="S371" t="inlineStr"/>
      <c r="T371" s="10" t="inlineStr"/>
      <c r="U371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t="inlineStr"/>
      <c r="AC371" s="10" t="inlineStr"/>
      <c r="AD371" t="inlineStr"/>
      <c r="AE371" t="inlineStr"/>
      <c r="AF371" s="10" t="inlineStr"/>
      <c r="AG371" t="inlineStr"/>
      <c r="AH371">
        <f>IF(AND(B371="",C371=""),"",IF(AND(X371&lt;&gt;"",Y371&lt;&gt;"",Z371&lt;&gt;"",AA371&lt;&gt;"",AB371="Y"),"YES","no"))</f>
        <v/>
      </c>
      <c r="AI371" s="10">
        <f>IF(AH371="YES",MAX(X371,Y371,Z371,AA371),"")</f>
        <v/>
      </c>
      <c r="AJ371">
        <f>IF(AND(B371="",C371=""),"",IF(OR(S371="Not interested",S371="Opt-out / do not contact"),"X Declined / suppressed",IF(S371="Bounced / undeliverable","X Bounced — research",IF(AC371&lt;&gt;"","13 Transacting",IF(AH371="YES","12 ACTIVATED",IF(Z371&lt;&gt;"","11 Listing live",IF(Y371&lt;&gt;"","10 Profile complete",IF(X371&lt;&gt;"","9 Approved",IF(W371&lt;&gt;"","8 KYC submitted",IF(V371&lt;&gt;"","7 Registered",IF(T371&lt;&gt;"","5 Interested",IF(R371&lt;&gt;"","4 Responded",IF(O371&lt;&gt;"","2 Contacted","1 Not yet contacted")))))))))))))</f>
        <v/>
      </c>
      <c r="AK371" s="10">
        <f>IF(AF371&lt;&gt;"",AF371,IF(OR(O371="",R371&lt;&gt;"",LEFT(AJ371,1)="X"),"",IF(Q371&lt;&gt;"","",IF(P371&lt;&gt;"",P371+SETTINGS!$B$4,O371+SETTINGS!$B$3))))</f>
        <v/>
      </c>
      <c r="AL371">
        <f>IF(AJ371="","",IF(LEFT(AJ371,1)="X","None — do not contact",IF(AJ371="1 Not yet contacted","Verify route today, then send M1",IF(AND(R371="",Q371&lt;&gt;""),"Sequence complete — no contact before "&amp;TEXT(Q371+SETTINGS!$B$5,"yyyy-mm-dd"),IF(AND(R371="",P371&lt;&gt;""),"Send final note (M4)",IF(R371="","Send follow-up (M2)",IF(AJ371="12 ACTIVATED","7-day check-in; consent &amp; referral soft ask",IF(AJ371="13 Transacting","Repeat-activity support","Onboarding: move to next stage (see playbook §6)"))))))))</f>
        <v/>
      </c>
      <c r="AM371">
        <f>IF(ISNUMBER(AK371),IF(AK371&lt;=TODAY(),"DUE",""),"")</f>
        <v/>
      </c>
      <c r="AN371">
        <f>IF(COUNT(O371,P371,Q371,R371,T371,V371,W371,X371,Y371,Z371,AA371,AC371)=0,"",TODAY()-MAX(O371,P371,Q371,R371,T371,V371,W371,X371,Y371,Z371,AA371,AC371))</f>
        <v/>
      </c>
      <c r="AO371">
        <f>IF(AJ371="","",IF(AND(T371&lt;&gt;"",U371&lt;&gt;"Active (verified)"),"GST: escalate (no tax advice)",IF(AND(IFERROR(VALUE(LEFT(AJ371,2)),0)&gt;=5,AH371&lt;&gt;"YES",ISNUMBER(AN371),AN371&gt;SETTINGS!$B$14),"STUCK in onboarding","")))</f>
        <v/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s="10" t="inlineStr"/>
      <c r="P372" s="10" t="inlineStr"/>
      <c r="Q372" s="10" t="inlineStr"/>
      <c r="R372" s="10" t="inlineStr"/>
      <c r="S372" t="inlineStr"/>
      <c r="T372" s="10" t="inlineStr"/>
      <c r="U372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t="inlineStr"/>
      <c r="AC372" s="10" t="inlineStr"/>
      <c r="AD372" t="inlineStr"/>
      <c r="AE372" t="inlineStr"/>
      <c r="AF372" s="10" t="inlineStr"/>
      <c r="AG372" t="inlineStr"/>
      <c r="AH372">
        <f>IF(AND(B372="",C372=""),"",IF(AND(X372&lt;&gt;"",Y372&lt;&gt;"",Z372&lt;&gt;"",AA372&lt;&gt;"",AB372="Y"),"YES","no"))</f>
        <v/>
      </c>
      <c r="AI372" s="10">
        <f>IF(AH372="YES",MAX(X372,Y372,Z372,AA372),"")</f>
        <v/>
      </c>
      <c r="AJ372">
        <f>IF(AND(B372="",C372=""),"",IF(OR(S372="Not interested",S372="Opt-out / do not contact"),"X Declined / suppressed",IF(S372="Bounced / undeliverable","X Bounced — research",IF(AC372&lt;&gt;"","13 Transacting",IF(AH372="YES","12 ACTIVATED",IF(Z372&lt;&gt;"","11 Listing live",IF(Y372&lt;&gt;"","10 Profile complete",IF(X372&lt;&gt;"","9 Approved",IF(W372&lt;&gt;"","8 KYC submitted",IF(V372&lt;&gt;"","7 Registered",IF(T372&lt;&gt;"","5 Interested",IF(R372&lt;&gt;"","4 Responded",IF(O372&lt;&gt;"","2 Contacted","1 Not yet contacted")))))))))))))</f>
        <v/>
      </c>
      <c r="AK372" s="10">
        <f>IF(AF372&lt;&gt;"",AF372,IF(OR(O372="",R372&lt;&gt;"",LEFT(AJ372,1)="X"),"",IF(Q372&lt;&gt;"","",IF(P372&lt;&gt;"",P372+SETTINGS!$B$4,O372+SETTINGS!$B$3))))</f>
        <v/>
      </c>
      <c r="AL372">
        <f>IF(AJ372="","",IF(LEFT(AJ372,1)="X","None — do not contact",IF(AJ372="1 Not yet contacted","Verify route today, then send M1",IF(AND(R372="",Q372&lt;&gt;""),"Sequence complete — no contact before "&amp;TEXT(Q372+SETTINGS!$B$5,"yyyy-mm-dd"),IF(AND(R372="",P372&lt;&gt;""),"Send final note (M4)",IF(R372="","Send follow-up (M2)",IF(AJ372="12 ACTIVATED","7-day check-in; consent &amp; referral soft ask",IF(AJ372="13 Transacting","Repeat-activity support","Onboarding: move to next stage (see playbook §6)"))))))))</f>
        <v/>
      </c>
      <c r="AM372">
        <f>IF(ISNUMBER(AK372),IF(AK372&lt;=TODAY(),"DUE",""),"")</f>
        <v/>
      </c>
      <c r="AN372">
        <f>IF(COUNT(O372,P372,Q372,R372,T372,V372,W372,X372,Y372,Z372,AA372,AC372)=0,"",TODAY()-MAX(O372,P372,Q372,R372,T372,V372,W372,X372,Y372,Z372,AA372,AC372))</f>
        <v/>
      </c>
      <c r="AO372">
        <f>IF(AJ372="","",IF(AND(T372&lt;&gt;"",U372&lt;&gt;"Active (verified)"),"GST: escalate (no tax advice)",IF(AND(IFERROR(VALUE(LEFT(AJ372,2)),0)&gt;=5,AH372&lt;&gt;"YES",ISNUMBER(AN372),AN372&gt;SETTINGS!$B$14),"STUCK in onboarding","")))</f>
        <v/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s="10" t="inlineStr"/>
      <c r="P373" s="10" t="inlineStr"/>
      <c r="Q373" s="10" t="inlineStr"/>
      <c r="R373" s="10" t="inlineStr"/>
      <c r="S373" t="inlineStr"/>
      <c r="T373" s="10" t="inlineStr"/>
      <c r="U373" t="inlineStr"/>
      <c r="V373" s="10" t="inlineStr"/>
      <c r="W373" s="10" t="inlineStr"/>
      <c r="X373" s="10" t="inlineStr"/>
      <c r="Y373" s="10" t="inlineStr"/>
      <c r="Z373" s="10" t="inlineStr"/>
      <c r="AA373" s="10" t="inlineStr"/>
      <c r="AB373" t="inlineStr"/>
      <c r="AC373" s="10" t="inlineStr"/>
      <c r="AD373" t="inlineStr"/>
      <c r="AE373" t="inlineStr"/>
      <c r="AF373" s="10" t="inlineStr"/>
      <c r="AG373" t="inlineStr"/>
      <c r="AH373">
        <f>IF(AND(B373="",C373=""),"",IF(AND(X373&lt;&gt;"",Y373&lt;&gt;"",Z373&lt;&gt;"",AA373&lt;&gt;"",AB373="Y"),"YES","no"))</f>
        <v/>
      </c>
      <c r="AI373" s="10">
        <f>IF(AH373="YES",MAX(X373,Y373,Z373,AA373),"")</f>
        <v/>
      </c>
      <c r="AJ373">
        <f>IF(AND(B373="",C373=""),"",IF(OR(S373="Not interested",S373="Opt-out / do not contact"),"X Declined / suppressed",IF(S373="Bounced / undeliverable","X Bounced — research",IF(AC373&lt;&gt;"","13 Transacting",IF(AH373="YES","12 ACTIVATED",IF(Z373&lt;&gt;"","11 Listing live",IF(Y373&lt;&gt;"","10 Profile complete",IF(X373&lt;&gt;"","9 Approved",IF(W373&lt;&gt;"","8 KYC submitted",IF(V373&lt;&gt;"","7 Registered",IF(T373&lt;&gt;"","5 Interested",IF(R373&lt;&gt;"","4 Responded",IF(O373&lt;&gt;"","2 Contacted","1 Not yet contacted")))))))))))))</f>
        <v/>
      </c>
      <c r="AK373" s="10">
        <f>IF(AF373&lt;&gt;"",AF373,IF(OR(O373="",R373&lt;&gt;"",LEFT(AJ373,1)="X"),"",IF(Q373&lt;&gt;"","",IF(P373&lt;&gt;"",P373+SETTINGS!$B$4,O373+SETTINGS!$B$3))))</f>
        <v/>
      </c>
      <c r="AL373">
        <f>IF(AJ373="","",IF(LEFT(AJ373,1)="X","None — do not contact",IF(AJ373="1 Not yet contacted","Verify route today, then send M1",IF(AND(R373="",Q373&lt;&gt;""),"Sequence complete — no contact before "&amp;TEXT(Q373+SETTINGS!$B$5,"yyyy-mm-dd"),IF(AND(R373="",P373&lt;&gt;""),"Send final note (M4)",IF(R373="","Send follow-up (M2)",IF(AJ373="12 ACTIVATED","7-day check-in; consent &amp; referral soft ask",IF(AJ373="13 Transacting","Repeat-activity support","Onboarding: move to next stage (see playbook §6)"))))))))</f>
        <v/>
      </c>
      <c r="AM373">
        <f>IF(ISNUMBER(AK373),IF(AK373&lt;=TODAY(),"DUE",""),"")</f>
        <v/>
      </c>
      <c r="AN373">
        <f>IF(COUNT(O373,P373,Q373,R373,T373,V373,W373,X373,Y373,Z373,AA373,AC373)=0,"",TODAY()-MAX(O373,P373,Q373,R373,T373,V373,W373,X373,Y373,Z373,AA373,AC373))</f>
        <v/>
      </c>
      <c r="AO373">
        <f>IF(AJ373="","",IF(AND(T373&lt;&gt;"",U373&lt;&gt;"Active (verified)"),"GST: escalate (no tax advice)",IF(AND(IFERROR(VALUE(LEFT(AJ373,2)),0)&gt;=5,AH373&lt;&gt;"YES",ISNUMBER(AN373),AN373&gt;SETTINGS!$B$14),"STUCK in onboarding","")))</f>
        <v/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s="10" t="inlineStr"/>
      <c r="P374" s="10" t="inlineStr"/>
      <c r="Q374" s="10" t="inlineStr"/>
      <c r="R374" s="10" t="inlineStr"/>
      <c r="S374" t="inlineStr"/>
      <c r="T374" s="10" t="inlineStr"/>
      <c r="U374" t="inlineStr"/>
      <c r="V374" s="10" t="inlineStr"/>
      <c r="W374" s="10" t="inlineStr"/>
      <c r="X374" s="10" t="inlineStr"/>
      <c r="Y374" s="10" t="inlineStr"/>
      <c r="Z374" s="10" t="inlineStr"/>
      <c r="AA374" s="10" t="inlineStr"/>
      <c r="AB374" t="inlineStr"/>
      <c r="AC374" s="10" t="inlineStr"/>
      <c r="AD374" t="inlineStr"/>
      <c r="AE374" t="inlineStr"/>
      <c r="AF374" s="10" t="inlineStr"/>
      <c r="AG374" t="inlineStr"/>
      <c r="AH374">
        <f>IF(AND(B374="",C374=""),"",IF(AND(X374&lt;&gt;"",Y374&lt;&gt;"",Z374&lt;&gt;"",AA374&lt;&gt;"",AB374="Y"),"YES","no"))</f>
        <v/>
      </c>
      <c r="AI374" s="10">
        <f>IF(AH374="YES",MAX(X374,Y374,Z374,AA374),"")</f>
        <v/>
      </c>
      <c r="AJ374">
        <f>IF(AND(B374="",C374=""),"",IF(OR(S374="Not interested",S374="Opt-out / do not contact"),"X Declined / suppressed",IF(S374="Bounced / undeliverable","X Bounced — research",IF(AC374&lt;&gt;"","13 Transacting",IF(AH374="YES","12 ACTIVATED",IF(Z374&lt;&gt;"","11 Listing live",IF(Y374&lt;&gt;"","10 Profile complete",IF(X374&lt;&gt;"","9 Approved",IF(W374&lt;&gt;"","8 KYC submitted",IF(V374&lt;&gt;"","7 Registered",IF(T374&lt;&gt;"","5 Interested",IF(R374&lt;&gt;"","4 Responded",IF(O374&lt;&gt;"","2 Contacted","1 Not yet contacted")))))))))))))</f>
        <v/>
      </c>
      <c r="AK374" s="10">
        <f>IF(AF374&lt;&gt;"",AF374,IF(OR(O374="",R374&lt;&gt;"",LEFT(AJ374,1)="X"),"",IF(Q374&lt;&gt;"","",IF(P374&lt;&gt;"",P374+SETTINGS!$B$4,O374+SETTINGS!$B$3))))</f>
        <v/>
      </c>
      <c r="AL374">
        <f>IF(AJ374="","",IF(LEFT(AJ374,1)="X","None — do not contact",IF(AJ374="1 Not yet contacted","Verify route today, then send M1",IF(AND(R374="",Q374&lt;&gt;""),"Sequence complete — no contact before "&amp;TEXT(Q374+SETTINGS!$B$5,"yyyy-mm-dd"),IF(AND(R374="",P374&lt;&gt;""),"Send final note (M4)",IF(R374="","Send follow-up (M2)",IF(AJ374="12 ACTIVATED","7-day check-in; consent &amp; referral soft ask",IF(AJ374="13 Transacting","Repeat-activity support","Onboarding: move to next stage (see playbook §6)"))))))))</f>
        <v/>
      </c>
      <c r="AM374">
        <f>IF(ISNUMBER(AK374),IF(AK374&lt;=TODAY(),"DUE",""),"")</f>
        <v/>
      </c>
      <c r="AN374">
        <f>IF(COUNT(O374,P374,Q374,R374,T374,V374,W374,X374,Y374,Z374,AA374,AC374)=0,"",TODAY()-MAX(O374,P374,Q374,R374,T374,V374,W374,X374,Y374,Z374,AA374,AC374))</f>
        <v/>
      </c>
      <c r="AO374">
        <f>IF(AJ374="","",IF(AND(T374&lt;&gt;"",U374&lt;&gt;"Active (verified)"),"GST: escalate (no tax advice)",IF(AND(IFERROR(VALUE(LEFT(AJ374,2)),0)&gt;=5,AH374&lt;&gt;"YES",ISNUMBER(AN374),AN374&gt;SETTINGS!$B$14),"STUCK in onboarding","")))</f>
        <v/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s="10" t="inlineStr"/>
      <c r="P375" s="10" t="inlineStr"/>
      <c r="Q375" s="10" t="inlineStr"/>
      <c r="R375" s="10" t="inlineStr"/>
      <c r="S375" t="inlineStr"/>
      <c r="T375" s="10" t="inlineStr"/>
      <c r="U375" t="inlineStr"/>
      <c r="V375" s="10" t="inlineStr"/>
      <c r="W375" s="10" t="inlineStr"/>
      <c r="X375" s="10" t="inlineStr"/>
      <c r="Y375" s="10" t="inlineStr"/>
      <c r="Z375" s="10" t="inlineStr"/>
      <c r="AA375" s="10" t="inlineStr"/>
      <c r="AB375" t="inlineStr"/>
      <c r="AC375" s="10" t="inlineStr"/>
      <c r="AD375" t="inlineStr"/>
      <c r="AE375" t="inlineStr"/>
      <c r="AF375" s="10" t="inlineStr"/>
      <c r="AG375" t="inlineStr"/>
      <c r="AH375">
        <f>IF(AND(B375="",C375=""),"",IF(AND(X375&lt;&gt;"",Y375&lt;&gt;"",Z375&lt;&gt;"",AA375&lt;&gt;"",AB375="Y"),"YES","no"))</f>
        <v/>
      </c>
      <c r="AI375" s="10">
        <f>IF(AH375="YES",MAX(X375,Y375,Z375,AA375),"")</f>
        <v/>
      </c>
      <c r="AJ375">
        <f>IF(AND(B375="",C375=""),"",IF(OR(S375="Not interested",S375="Opt-out / do not contact"),"X Declined / suppressed",IF(S375="Bounced / undeliverable","X Bounced — research",IF(AC375&lt;&gt;"","13 Transacting",IF(AH375="YES","12 ACTIVATED",IF(Z375&lt;&gt;"","11 Listing live",IF(Y375&lt;&gt;"","10 Profile complete",IF(X375&lt;&gt;"","9 Approved",IF(W375&lt;&gt;"","8 KYC submitted",IF(V375&lt;&gt;"","7 Registered",IF(T375&lt;&gt;"","5 Interested",IF(R375&lt;&gt;"","4 Responded",IF(O375&lt;&gt;"","2 Contacted","1 Not yet contacted")))))))))))))</f>
        <v/>
      </c>
      <c r="AK375" s="10">
        <f>IF(AF375&lt;&gt;"",AF375,IF(OR(O375="",R375&lt;&gt;"",LEFT(AJ375,1)="X"),"",IF(Q375&lt;&gt;"","",IF(P375&lt;&gt;"",P375+SETTINGS!$B$4,O375+SETTINGS!$B$3))))</f>
        <v/>
      </c>
      <c r="AL375">
        <f>IF(AJ375="","",IF(LEFT(AJ375,1)="X","None — do not contact",IF(AJ375="1 Not yet contacted","Verify route today, then send M1",IF(AND(R375="",Q375&lt;&gt;""),"Sequence complete — no contact before "&amp;TEXT(Q375+SETTINGS!$B$5,"yyyy-mm-dd"),IF(AND(R375="",P375&lt;&gt;""),"Send final note (M4)",IF(R375="","Send follow-up (M2)",IF(AJ375="12 ACTIVATED","7-day check-in; consent &amp; referral soft ask",IF(AJ375="13 Transacting","Repeat-activity support","Onboarding: move to next stage (see playbook §6)"))))))))</f>
        <v/>
      </c>
      <c r="AM375">
        <f>IF(ISNUMBER(AK375),IF(AK375&lt;=TODAY(),"DUE",""),"")</f>
        <v/>
      </c>
      <c r="AN375">
        <f>IF(COUNT(O375,P375,Q375,R375,T375,V375,W375,X375,Y375,Z375,AA375,AC375)=0,"",TODAY()-MAX(O375,P375,Q375,R375,T375,V375,W375,X375,Y375,Z375,AA375,AC375))</f>
        <v/>
      </c>
      <c r="AO375">
        <f>IF(AJ375="","",IF(AND(T375&lt;&gt;"",U375&lt;&gt;"Active (verified)"),"GST: escalate (no tax advice)",IF(AND(IFERROR(VALUE(LEFT(AJ375,2)),0)&gt;=5,AH375&lt;&gt;"YES",ISNUMBER(AN375),AN375&gt;SETTINGS!$B$14),"STUCK in onboarding","")))</f>
        <v/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s="10" t="inlineStr"/>
      <c r="P376" s="10" t="inlineStr"/>
      <c r="Q376" s="10" t="inlineStr"/>
      <c r="R376" s="10" t="inlineStr"/>
      <c r="S376" t="inlineStr"/>
      <c r="T376" s="10" t="inlineStr"/>
      <c r="U376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t="inlineStr"/>
      <c r="AC376" s="10" t="inlineStr"/>
      <c r="AD376" t="inlineStr"/>
      <c r="AE376" t="inlineStr"/>
      <c r="AF376" s="10" t="inlineStr"/>
      <c r="AG376" t="inlineStr"/>
      <c r="AH376">
        <f>IF(AND(B376="",C376=""),"",IF(AND(X376&lt;&gt;"",Y376&lt;&gt;"",Z376&lt;&gt;"",AA376&lt;&gt;"",AB376="Y"),"YES","no"))</f>
        <v/>
      </c>
      <c r="AI376" s="10">
        <f>IF(AH376="YES",MAX(X376,Y376,Z376,AA376),"")</f>
        <v/>
      </c>
      <c r="AJ376">
        <f>IF(AND(B376="",C376=""),"",IF(OR(S376="Not interested",S376="Opt-out / do not contact"),"X Declined / suppressed",IF(S376="Bounced / undeliverable","X Bounced — research",IF(AC376&lt;&gt;"","13 Transacting",IF(AH376="YES","12 ACTIVATED",IF(Z376&lt;&gt;"","11 Listing live",IF(Y376&lt;&gt;"","10 Profile complete",IF(X376&lt;&gt;"","9 Approved",IF(W376&lt;&gt;"","8 KYC submitted",IF(V376&lt;&gt;"","7 Registered",IF(T376&lt;&gt;"","5 Interested",IF(R376&lt;&gt;"","4 Responded",IF(O376&lt;&gt;"","2 Contacted","1 Not yet contacted")))))))))))))</f>
        <v/>
      </c>
      <c r="AK376" s="10">
        <f>IF(AF376&lt;&gt;"",AF376,IF(OR(O376="",R376&lt;&gt;"",LEFT(AJ376,1)="X"),"",IF(Q376&lt;&gt;"","",IF(P376&lt;&gt;"",P376+SETTINGS!$B$4,O376+SETTINGS!$B$3))))</f>
        <v/>
      </c>
      <c r="AL376">
        <f>IF(AJ376="","",IF(LEFT(AJ376,1)="X","None — do not contact",IF(AJ376="1 Not yet contacted","Verify route today, then send M1",IF(AND(R376="",Q376&lt;&gt;""),"Sequence complete — no contact before "&amp;TEXT(Q376+SETTINGS!$B$5,"yyyy-mm-dd"),IF(AND(R376="",P376&lt;&gt;""),"Send final note (M4)",IF(R376="","Send follow-up (M2)",IF(AJ376="12 ACTIVATED","7-day check-in; consent &amp; referral soft ask",IF(AJ376="13 Transacting","Repeat-activity support","Onboarding: move to next stage (see playbook §6)"))))))))</f>
        <v/>
      </c>
      <c r="AM376">
        <f>IF(ISNUMBER(AK376),IF(AK376&lt;=TODAY(),"DUE",""),"")</f>
        <v/>
      </c>
      <c r="AN376">
        <f>IF(COUNT(O376,P376,Q376,R376,T376,V376,W376,X376,Y376,Z376,AA376,AC376)=0,"",TODAY()-MAX(O376,P376,Q376,R376,T376,V376,W376,X376,Y376,Z376,AA376,AC376))</f>
        <v/>
      </c>
      <c r="AO376">
        <f>IF(AJ376="","",IF(AND(T376&lt;&gt;"",U376&lt;&gt;"Active (verified)"),"GST: escalate (no tax advice)",IF(AND(IFERROR(VALUE(LEFT(AJ376,2)),0)&gt;=5,AH376&lt;&gt;"YES",ISNUMBER(AN376),AN376&gt;SETTINGS!$B$14),"STUCK in onboarding","")))</f>
        <v/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s="10" t="inlineStr"/>
      <c r="P377" s="10" t="inlineStr"/>
      <c r="Q377" s="10" t="inlineStr"/>
      <c r="R377" s="10" t="inlineStr"/>
      <c r="S377" t="inlineStr"/>
      <c r="T377" s="10" t="inlineStr"/>
      <c r="U377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t="inlineStr"/>
      <c r="AC377" s="10" t="inlineStr"/>
      <c r="AD377" t="inlineStr"/>
      <c r="AE377" t="inlineStr"/>
      <c r="AF377" s="10" t="inlineStr"/>
      <c r="AG377" t="inlineStr"/>
      <c r="AH377">
        <f>IF(AND(B377="",C377=""),"",IF(AND(X377&lt;&gt;"",Y377&lt;&gt;"",Z377&lt;&gt;"",AA377&lt;&gt;"",AB377="Y"),"YES","no"))</f>
        <v/>
      </c>
      <c r="AI377" s="10">
        <f>IF(AH377="YES",MAX(X377,Y377,Z377,AA377),"")</f>
        <v/>
      </c>
      <c r="AJ377">
        <f>IF(AND(B377="",C377=""),"",IF(OR(S377="Not interested",S377="Opt-out / do not contact"),"X Declined / suppressed",IF(S377="Bounced / undeliverable","X Bounced — research",IF(AC377&lt;&gt;"","13 Transacting",IF(AH377="YES","12 ACTIVATED",IF(Z377&lt;&gt;"","11 Listing live",IF(Y377&lt;&gt;"","10 Profile complete",IF(X377&lt;&gt;"","9 Approved",IF(W377&lt;&gt;"","8 KYC submitted",IF(V377&lt;&gt;"","7 Registered",IF(T377&lt;&gt;"","5 Interested",IF(R377&lt;&gt;"","4 Responded",IF(O377&lt;&gt;"","2 Contacted","1 Not yet contacted")))))))))))))</f>
        <v/>
      </c>
      <c r="AK377" s="10">
        <f>IF(AF377&lt;&gt;"",AF377,IF(OR(O377="",R377&lt;&gt;"",LEFT(AJ377,1)="X"),"",IF(Q377&lt;&gt;"","",IF(P377&lt;&gt;"",P377+SETTINGS!$B$4,O377+SETTINGS!$B$3))))</f>
        <v/>
      </c>
      <c r="AL377">
        <f>IF(AJ377="","",IF(LEFT(AJ377,1)="X","None — do not contact",IF(AJ377="1 Not yet contacted","Verify route today, then send M1",IF(AND(R377="",Q377&lt;&gt;""),"Sequence complete — no contact before "&amp;TEXT(Q377+SETTINGS!$B$5,"yyyy-mm-dd"),IF(AND(R377="",P377&lt;&gt;""),"Send final note (M4)",IF(R377="","Send follow-up (M2)",IF(AJ377="12 ACTIVATED","7-day check-in; consent &amp; referral soft ask",IF(AJ377="13 Transacting","Repeat-activity support","Onboarding: move to next stage (see playbook §6)"))))))))</f>
        <v/>
      </c>
      <c r="AM377">
        <f>IF(ISNUMBER(AK377),IF(AK377&lt;=TODAY(),"DUE",""),"")</f>
        <v/>
      </c>
      <c r="AN377">
        <f>IF(COUNT(O377,P377,Q377,R377,T377,V377,W377,X377,Y377,Z377,AA377,AC377)=0,"",TODAY()-MAX(O377,P377,Q377,R377,T377,V377,W377,X377,Y377,Z377,AA377,AC377))</f>
        <v/>
      </c>
      <c r="AO377">
        <f>IF(AJ377="","",IF(AND(T377&lt;&gt;"",U377&lt;&gt;"Active (verified)"),"GST: escalate (no tax advice)",IF(AND(IFERROR(VALUE(LEFT(AJ377,2)),0)&gt;=5,AH377&lt;&gt;"YES",ISNUMBER(AN377),AN377&gt;SETTINGS!$B$14),"STUCK in onboarding","")))</f>
        <v/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s="10" t="inlineStr"/>
      <c r="P378" s="10" t="inlineStr"/>
      <c r="Q378" s="10" t="inlineStr"/>
      <c r="R378" s="10" t="inlineStr"/>
      <c r="S378" t="inlineStr"/>
      <c r="T378" s="10" t="inlineStr"/>
      <c r="U378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t="inlineStr"/>
      <c r="AC378" s="10" t="inlineStr"/>
      <c r="AD378" t="inlineStr"/>
      <c r="AE378" t="inlineStr"/>
      <c r="AF378" s="10" t="inlineStr"/>
      <c r="AG378" t="inlineStr"/>
      <c r="AH378">
        <f>IF(AND(B378="",C378=""),"",IF(AND(X378&lt;&gt;"",Y378&lt;&gt;"",Z378&lt;&gt;"",AA378&lt;&gt;"",AB378="Y"),"YES","no"))</f>
        <v/>
      </c>
      <c r="AI378" s="10">
        <f>IF(AH378="YES",MAX(X378,Y378,Z378,AA378),"")</f>
        <v/>
      </c>
      <c r="AJ378">
        <f>IF(AND(B378="",C378=""),"",IF(OR(S378="Not interested",S378="Opt-out / do not contact"),"X Declined / suppressed",IF(S378="Bounced / undeliverable","X Bounced — research",IF(AC378&lt;&gt;"","13 Transacting",IF(AH378="YES","12 ACTIVATED",IF(Z378&lt;&gt;"","11 Listing live",IF(Y378&lt;&gt;"","10 Profile complete",IF(X378&lt;&gt;"","9 Approved",IF(W378&lt;&gt;"","8 KYC submitted",IF(V378&lt;&gt;"","7 Registered",IF(T378&lt;&gt;"","5 Interested",IF(R378&lt;&gt;"","4 Responded",IF(O378&lt;&gt;"","2 Contacted","1 Not yet contacted")))))))))))))</f>
        <v/>
      </c>
      <c r="AK378" s="10">
        <f>IF(AF378&lt;&gt;"",AF378,IF(OR(O378="",R378&lt;&gt;"",LEFT(AJ378,1)="X"),"",IF(Q378&lt;&gt;"","",IF(P378&lt;&gt;"",P378+SETTINGS!$B$4,O378+SETTINGS!$B$3))))</f>
        <v/>
      </c>
      <c r="AL378">
        <f>IF(AJ378="","",IF(LEFT(AJ378,1)="X","None — do not contact",IF(AJ378="1 Not yet contacted","Verify route today, then send M1",IF(AND(R378="",Q378&lt;&gt;""),"Sequence complete — no contact before "&amp;TEXT(Q378+SETTINGS!$B$5,"yyyy-mm-dd"),IF(AND(R378="",P378&lt;&gt;""),"Send final note (M4)",IF(R378="","Send follow-up (M2)",IF(AJ378="12 ACTIVATED","7-day check-in; consent &amp; referral soft ask",IF(AJ378="13 Transacting","Repeat-activity support","Onboarding: move to next stage (see playbook §6)"))))))))</f>
        <v/>
      </c>
      <c r="AM378">
        <f>IF(ISNUMBER(AK378),IF(AK378&lt;=TODAY(),"DUE",""),"")</f>
        <v/>
      </c>
      <c r="AN378">
        <f>IF(COUNT(O378,P378,Q378,R378,T378,V378,W378,X378,Y378,Z378,AA378,AC378)=0,"",TODAY()-MAX(O378,P378,Q378,R378,T378,V378,W378,X378,Y378,Z378,AA378,AC378))</f>
        <v/>
      </c>
      <c r="AO378">
        <f>IF(AJ378="","",IF(AND(T378&lt;&gt;"",U378&lt;&gt;"Active (verified)"),"GST: escalate (no tax advice)",IF(AND(IFERROR(VALUE(LEFT(AJ378,2)),0)&gt;=5,AH378&lt;&gt;"YES",ISNUMBER(AN378),AN378&gt;SETTINGS!$B$14),"STUCK in onboarding","")))</f>
        <v/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s="10" t="inlineStr"/>
      <c r="P379" s="10" t="inlineStr"/>
      <c r="Q379" s="10" t="inlineStr"/>
      <c r="R379" s="10" t="inlineStr"/>
      <c r="S379" t="inlineStr"/>
      <c r="T379" s="10" t="inlineStr"/>
      <c r="U379" t="inlineStr"/>
      <c r="V379" s="10" t="inlineStr"/>
      <c r="W379" s="10" t="inlineStr"/>
      <c r="X379" s="10" t="inlineStr"/>
      <c r="Y379" s="10" t="inlineStr"/>
      <c r="Z379" s="10" t="inlineStr"/>
      <c r="AA379" s="10" t="inlineStr"/>
      <c r="AB379" t="inlineStr"/>
      <c r="AC379" s="10" t="inlineStr"/>
      <c r="AD379" t="inlineStr"/>
      <c r="AE379" t="inlineStr"/>
      <c r="AF379" s="10" t="inlineStr"/>
      <c r="AG379" t="inlineStr"/>
      <c r="AH379">
        <f>IF(AND(B379="",C379=""),"",IF(AND(X379&lt;&gt;"",Y379&lt;&gt;"",Z379&lt;&gt;"",AA379&lt;&gt;"",AB379="Y"),"YES","no"))</f>
        <v/>
      </c>
      <c r="AI379" s="10">
        <f>IF(AH379="YES",MAX(X379,Y379,Z379,AA379),"")</f>
        <v/>
      </c>
      <c r="AJ379">
        <f>IF(AND(B379="",C379=""),"",IF(OR(S379="Not interested",S379="Opt-out / do not contact"),"X Declined / suppressed",IF(S379="Bounced / undeliverable","X Bounced — research",IF(AC379&lt;&gt;"","13 Transacting",IF(AH379="YES","12 ACTIVATED",IF(Z379&lt;&gt;"","11 Listing live",IF(Y379&lt;&gt;"","10 Profile complete",IF(X379&lt;&gt;"","9 Approved",IF(W379&lt;&gt;"","8 KYC submitted",IF(V379&lt;&gt;"","7 Registered",IF(T379&lt;&gt;"","5 Interested",IF(R379&lt;&gt;"","4 Responded",IF(O379&lt;&gt;"","2 Contacted","1 Not yet contacted")))))))))))))</f>
        <v/>
      </c>
      <c r="AK379" s="10">
        <f>IF(AF379&lt;&gt;"",AF379,IF(OR(O379="",R379&lt;&gt;"",LEFT(AJ379,1)="X"),"",IF(Q379&lt;&gt;"","",IF(P379&lt;&gt;"",P379+SETTINGS!$B$4,O379+SETTINGS!$B$3))))</f>
        <v/>
      </c>
      <c r="AL379">
        <f>IF(AJ379="","",IF(LEFT(AJ379,1)="X","None — do not contact",IF(AJ379="1 Not yet contacted","Verify route today, then send M1",IF(AND(R379="",Q379&lt;&gt;""),"Sequence complete — no contact before "&amp;TEXT(Q379+SETTINGS!$B$5,"yyyy-mm-dd"),IF(AND(R379="",P379&lt;&gt;""),"Send final note (M4)",IF(R379="","Send follow-up (M2)",IF(AJ379="12 ACTIVATED","7-day check-in; consent &amp; referral soft ask",IF(AJ379="13 Transacting","Repeat-activity support","Onboarding: move to next stage (see playbook §6)"))))))))</f>
        <v/>
      </c>
      <c r="AM379">
        <f>IF(ISNUMBER(AK379),IF(AK379&lt;=TODAY(),"DUE",""),"")</f>
        <v/>
      </c>
      <c r="AN379">
        <f>IF(COUNT(O379,P379,Q379,R379,T379,V379,W379,X379,Y379,Z379,AA379,AC379)=0,"",TODAY()-MAX(O379,P379,Q379,R379,T379,V379,W379,X379,Y379,Z379,AA379,AC379))</f>
        <v/>
      </c>
      <c r="AO379">
        <f>IF(AJ379="","",IF(AND(T379&lt;&gt;"",U379&lt;&gt;"Active (verified)"),"GST: escalate (no tax advice)",IF(AND(IFERROR(VALUE(LEFT(AJ379,2)),0)&gt;=5,AH379&lt;&gt;"YES",ISNUMBER(AN379),AN379&gt;SETTINGS!$B$14),"STUCK in onboarding","")))</f>
        <v/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s="10" t="inlineStr"/>
      <c r="P380" s="10" t="inlineStr"/>
      <c r="Q380" s="10" t="inlineStr"/>
      <c r="R380" s="10" t="inlineStr"/>
      <c r="S380" t="inlineStr"/>
      <c r="T380" s="10" t="inlineStr"/>
      <c r="U380" t="inlineStr"/>
      <c r="V380" s="10" t="inlineStr"/>
      <c r="W380" s="10" t="inlineStr"/>
      <c r="X380" s="10" t="inlineStr"/>
      <c r="Y380" s="10" t="inlineStr"/>
      <c r="Z380" s="10" t="inlineStr"/>
      <c r="AA380" s="10" t="inlineStr"/>
      <c r="AB380" t="inlineStr"/>
      <c r="AC380" s="10" t="inlineStr"/>
      <c r="AD380" t="inlineStr"/>
      <c r="AE380" t="inlineStr"/>
      <c r="AF380" s="10" t="inlineStr"/>
      <c r="AG380" t="inlineStr"/>
      <c r="AH380">
        <f>IF(AND(B380="",C380=""),"",IF(AND(X380&lt;&gt;"",Y380&lt;&gt;"",Z380&lt;&gt;"",AA380&lt;&gt;"",AB380="Y"),"YES","no"))</f>
        <v/>
      </c>
      <c r="AI380" s="10">
        <f>IF(AH380="YES",MAX(X380,Y380,Z380,AA380),"")</f>
        <v/>
      </c>
      <c r="AJ380">
        <f>IF(AND(B380="",C380=""),"",IF(OR(S380="Not interested",S380="Opt-out / do not contact"),"X Declined / suppressed",IF(S380="Bounced / undeliverable","X Bounced — research",IF(AC380&lt;&gt;"","13 Transacting",IF(AH380="YES","12 ACTIVATED",IF(Z380&lt;&gt;"","11 Listing live",IF(Y380&lt;&gt;"","10 Profile complete",IF(X380&lt;&gt;"","9 Approved",IF(W380&lt;&gt;"","8 KYC submitted",IF(V380&lt;&gt;"","7 Registered",IF(T380&lt;&gt;"","5 Interested",IF(R380&lt;&gt;"","4 Responded",IF(O380&lt;&gt;"","2 Contacted","1 Not yet contacted")))))))))))))</f>
        <v/>
      </c>
      <c r="AK380" s="10">
        <f>IF(AF380&lt;&gt;"",AF380,IF(OR(O380="",R380&lt;&gt;"",LEFT(AJ380,1)="X"),"",IF(Q380&lt;&gt;"","",IF(P380&lt;&gt;"",P380+SETTINGS!$B$4,O380+SETTINGS!$B$3))))</f>
        <v/>
      </c>
      <c r="AL380">
        <f>IF(AJ380="","",IF(LEFT(AJ380,1)="X","None — do not contact",IF(AJ380="1 Not yet contacted","Verify route today, then send M1",IF(AND(R380="",Q380&lt;&gt;""),"Sequence complete — no contact before "&amp;TEXT(Q380+SETTINGS!$B$5,"yyyy-mm-dd"),IF(AND(R380="",P380&lt;&gt;""),"Send final note (M4)",IF(R380="","Send follow-up (M2)",IF(AJ380="12 ACTIVATED","7-day check-in; consent &amp; referral soft ask",IF(AJ380="13 Transacting","Repeat-activity support","Onboarding: move to next stage (see playbook §6)"))))))))</f>
        <v/>
      </c>
      <c r="AM380">
        <f>IF(ISNUMBER(AK380),IF(AK380&lt;=TODAY(),"DUE",""),"")</f>
        <v/>
      </c>
      <c r="AN380">
        <f>IF(COUNT(O380,P380,Q380,R380,T380,V380,W380,X380,Y380,Z380,AA380,AC380)=0,"",TODAY()-MAX(O380,P380,Q380,R380,T380,V380,W380,X380,Y380,Z380,AA380,AC380))</f>
        <v/>
      </c>
      <c r="AO380">
        <f>IF(AJ380="","",IF(AND(T380&lt;&gt;"",U380&lt;&gt;"Active (verified)"),"GST: escalate (no tax advice)",IF(AND(IFERROR(VALUE(LEFT(AJ380,2)),0)&gt;=5,AH380&lt;&gt;"YES",ISNUMBER(AN380),AN380&gt;SETTINGS!$B$14),"STUCK in onboarding","")))</f>
        <v/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s="10" t="inlineStr"/>
      <c r="P381" s="10" t="inlineStr"/>
      <c r="Q381" s="10" t="inlineStr"/>
      <c r="R381" s="10" t="inlineStr"/>
      <c r="S381" t="inlineStr"/>
      <c r="T381" s="10" t="inlineStr"/>
      <c r="U381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t="inlineStr"/>
      <c r="AC381" s="10" t="inlineStr"/>
      <c r="AD381" t="inlineStr"/>
      <c r="AE381" t="inlineStr"/>
      <c r="AF381" s="10" t="inlineStr"/>
      <c r="AG381" t="inlineStr"/>
      <c r="AH381">
        <f>IF(AND(B381="",C381=""),"",IF(AND(X381&lt;&gt;"",Y381&lt;&gt;"",Z381&lt;&gt;"",AA381&lt;&gt;"",AB381="Y"),"YES","no"))</f>
        <v/>
      </c>
      <c r="AI381" s="10">
        <f>IF(AH381="YES",MAX(X381,Y381,Z381,AA381),"")</f>
        <v/>
      </c>
      <c r="AJ381">
        <f>IF(AND(B381="",C381=""),"",IF(OR(S381="Not interested",S381="Opt-out / do not contact"),"X Declined / suppressed",IF(S381="Bounced / undeliverable","X Bounced — research",IF(AC381&lt;&gt;"","13 Transacting",IF(AH381="YES","12 ACTIVATED",IF(Z381&lt;&gt;"","11 Listing live",IF(Y381&lt;&gt;"","10 Profile complete",IF(X381&lt;&gt;"","9 Approved",IF(W381&lt;&gt;"","8 KYC submitted",IF(V381&lt;&gt;"","7 Registered",IF(T381&lt;&gt;"","5 Interested",IF(R381&lt;&gt;"","4 Responded",IF(O381&lt;&gt;"","2 Contacted","1 Not yet contacted")))))))))))))</f>
        <v/>
      </c>
      <c r="AK381" s="10">
        <f>IF(AF381&lt;&gt;"",AF381,IF(OR(O381="",R381&lt;&gt;"",LEFT(AJ381,1)="X"),"",IF(Q381&lt;&gt;"","",IF(P381&lt;&gt;"",P381+SETTINGS!$B$4,O381+SETTINGS!$B$3))))</f>
        <v/>
      </c>
      <c r="AL381">
        <f>IF(AJ381="","",IF(LEFT(AJ381,1)="X","None — do not contact",IF(AJ381="1 Not yet contacted","Verify route today, then send M1",IF(AND(R381="",Q381&lt;&gt;""),"Sequence complete — no contact before "&amp;TEXT(Q381+SETTINGS!$B$5,"yyyy-mm-dd"),IF(AND(R381="",P381&lt;&gt;""),"Send final note (M4)",IF(R381="","Send follow-up (M2)",IF(AJ381="12 ACTIVATED","7-day check-in; consent &amp; referral soft ask",IF(AJ381="13 Transacting","Repeat-activity support","Onboarding: move to next stage (see playbook §6)"))))))))</f>
        <v/>
      </c>
      <c r="AM381">
        <f>IF(ISNUMBER(AK381),IF(AK381&lt;=TODAY(),"DUE",""),"")</f>
        <v/>
      </c>
      <c r="AN381">
        <f>IF(COUNT(O381,P381,Q381,R381,T381,V381,W381,X381,Y381,Z381,AA381,AC381)=0,"",TODAY()-MAX(O381,P381,Q381,R381,T381,V381,W381,X381,Y381,Z381,AA381,AC381))</f>
        <v/>
      </c>
      <c r="AO381">
        <f>IF(AJ381="","",IF(AND(T381&lt;&gt;"",U381&lt;&gt;"Active (verified)"),"GST: escalate (no tax advice)",IF(AND(IFERROR(VALUE(LEFT(AJ381,2)),0)&gt;=5,AH381&lt;&gt;"YES",ISNUMBER(AN381),AN381&gt;SETTINGS!$B$14),"STUCK in onboarding","")))</f>
        <v/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s="10" t="inlineStr"/>
      <c r="P382" s="10" t="inlineStr"/>
      <c r="Q382" s="10" t="inlineStr"/>
      <c r="R382" s="10" t="inlineStr"/>
      <c r="S382" t="inlineStr"/>
      <c r="T382" s="10" t="inlineStr"/>
      <c r="U382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t="inlineStr"/>
      <c r="AC382" s="10" t="inlineStr"/>
      <c r="AD382" t="inlineStr"/>
      <c r="AE382" t="inlineStr"/>
      <c r="AF382" s="10" t="inlineStr"/>
      <c r="AG382" t="inlineStr"/>
      <c r="AH382">
        <f>IF(AND(B382="",C382=""),"",IF(AND(X382&lt;&gt;"",Y382&lt;&gt;"",Z382&lt;&gt;"",AA382&lt;&gt;"",AB382="Y"),"YES","no"))</f>
        <v/>
      </c>
      <c r="AI382" s="10">
        <f>IF(AH382="YES",MAX(X382,Y382,Z382,AA382),"")</f>
        <v/>
      </c>
      <c r="AJ382">
        <f>IF(AND(B382="",C382=""),"",IF(OR(S382="Not interested",S382="Opt-out / do not contact"),"X Declined / suppressed",IF(S382="Bounced / undeliverable","X Bounced — research",IF(AC382&lt;&gt;"","13 Transacting",IF(AH382="YES","12 ACTIVATED",IF(Z382&lt;&gt;"","11 Listing live",IF(Y382&lt;&gt;"","10 Profile complete",IF(X382&lt;&gt;"","9 Approved",IF(W382&lt;&gt;"","8 KYC submitted",IF(V382&lt;&gt;"","7 Registered",IF(T382&lt;&gt;"","5 Interested",IF(R382&lt;&gt;"","4 Responded",IF(O382&lt;&gt;"","2 Contacted","1 Not yet contacted")))))))))))))</f>
        <v/>
      </c>
      <c r="AK382" s="10">
        <f>IF(AF382&lt;&gt;"",AF382,IF(OR(O382="",R382&lt;&gt;"",LEFT(AJ382,1)="X"),"",IF(Q382&lt;&gt;"","",IF(P382&lt;&gt;"",P382+SETTINGS!$B$4,O382+SETTINGS!$B$3))))</f>
        <v/>
      </c>
      <c r="AL382">
        <f>IF(AJ382="","",IF(LEFT(AJ382,1)="X","None — do not contact",IF(AJ382="1 Not yet contacted","Verify route today, then send M1",IF(AND(R382="",Q382&lt;&gt;""),"Sequence complete — no contact before "&amp;TEXT(Q382+SETTINGS!$B$5,"yyyy-mm-dd"),IF(AND(R382="",P382&lt;&gt;""),"Send final note (M4)",IF(R382="","Send follow-up (M2)",IF(AJ382="12 ACTIVATED","7-day check-in; consent &amp; referral soft ask",IF(AJ382="13 Transacting","Repeat-activity support","Onboarding: move to next stage (see playbook §6)"))))))))</f>
        <v/>
      </c>
      <c r="AM382">
        <f>IF(ISNUMBER(AK382),IF(AK382&lt;=TODAY(),"DUE",""),"")</f>
        <v/>
      </c>
      <c r="AN382">
        <f>IF(COUNT(O382,P382,Q382,R382,T382,V382,W382,X382,Y382,Z382,AA382,AC382)=0,"",TODAY()-MAX(O382,P382,Q382,R382,T382,V382,W382,X382,Y382,Z382,AA382,AC382))</f>
        <v/>
      </c>
      <c r="AO382">
        <f>IF(AJ382="","",IF(AND(T382&lt;&gt;"",U382&lt;&gt;"Active (verified)"),"GST: escalate (no tax advice)",IF(AND(IFERROR(VALUE(LEFT(AJ382,2)),0)&gt;=5,AH382&lt;&gt;"YES",ISNUMBER(AN382),AN382&gt;SETTINGS!$B$14),"STUCK in onboarding","")))</f>
        <v/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s="10" t="inlineStr"/>
      <c r="P383" s="10" t="inlineStr"/>
      <c r="Q383" s="10" t="inlineStr"/>
      <c r="R383" s="10" t="inlineStr"/>
      <c r="S383" t="inlineStr"/>
      <c r="T383" s="10" t="inlineStr"/>
      <c r="U383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t="inlineStr"/>
      <c r="AC383" s="10" t="inlineStr"/>
      <c r="AD383" t="inlineStr"/>
      <c r="AE383" t="inlineStr"/>
      <c r="AF383" s="10" t="inlineStr"/>
      <c r="AG383" t="inlineStr"/>
      <c r="AH383">
        <f>IF(AND(B383="",C383=""),"",IF(AND(X383&lt;&gt;"",Y383&lt;&gt;"",Z383&lt;&gt;"",AA383&lt;&gt;"",AB383="Y"),"YES","no"))</f>
        <v/>
      </c>
      <c r="AI383" s="10">
        <f>IF(AH383="YES",MAX(X383,Y383,Z383,AA383),"")</f>
        <v/>
      </c>
      <c r="AJ383">
        <f>IF(AND(B383="",C383=""),"",IF(OR(S383="Not interested",S383="Opt-out / do not contact"),"X Declined / suppressed",IF(S383="Bounced / undeliverable","X Bounced — research",IF(AC383&lt;&gt;"","13 Transacting",IF(AH383="YES","12 ACTIVATED",IF(Z383&lt;&gt;"","11 Listing live",IF(Y383&lt;&gt;"","10 Profile complete",IF(X383&lt;&gt;"","9 Approved",IF(W383&lt;&gt;"","8 KYC submitted",IF(V383&lt;&gt;"","7 Registered",IF(T383&lt;&gt;"","5 Interested",IF(R383&lt;&gt;"","4 Responded",IF(O383&lt;&gt;"","2 Contacted","1 Not yet contacted")))))))))))))</f>
        <v/>
      </c>
      <c r="AK383" s="10">
        <f>IF(AF383&lt;&gt;"",AF383,IF(OR(O383="",R383&lt;&gt;"",LEFT(AJ383,1)="X"),"",IF(Q383&lt;&gt;"","",IF(P383&lt;&gt;"",P383+SETTINGS!$B$4,O383+SETTINGS!$B$3))))</f>
        <v/>
      </c>
      <c r="AL383">
        <f>IF(AJ383="","",IF(LEFT(AJ383,1)="X","None — do not contact",IF(AJ383="1 Not yet contacted","Verify route today, then send M1",IF(AND(R383="",Q383&lt;&gt;""),"Sequence complete — no contact before "&amp;TEXT(Q383+SETTINGS!$B$5,"yyyy-mm-dd"),IF(AND(R383="",P383&lt;&gt;""),"Send final note (M4)",IF(R383="","Send follow-up (M2)",IF(AJ383="12 ACTIVATED","7-day check-in; consent &amp; referral soft ask",IF(AJ383="13 Transacting","Repeat-activity support","Onboarding: move to next stage (see playbook §6)"))))))))</f>
        <v/>
      </c>
      <c r="AM383">
        <f>IF(ISNUMBER(AK383),IF(AK383&lt;=TODAY(),"DUE",""),"")</f>
        <v/>
      </c>
      <c r="AN383">
        <f>IF(COUNT(O383,P383,Q383,R383,T383,V383,W383,X383,Y383,Z383,AA383,AC383)=0,"",TODAY()-MAX(O383,P383,Q383,R383,T383,V383,W383,X383,Y383,Z383,AA383,AC383))</f>
        <v/>
      </c>
      <c r="AO383">
        <f>IF(AJ383="","",IF(AND(T383&lt;&gt;"",U383&lt;&gt;"Active (verified)"),"GST: escalate (no tax advice)",IF(AND(IFERROR(VALUE(LEFT(AJ383,2)),0)&gt;=5,AH383&lt;&gt;"YES",ISNUMBER(AN383),AN383&gt;SETTINGS!$B$14),"STUCK in onboarding","")))</f>
        <v/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s="10" t="inlineStr"/>
      <c r="P384" s="10" t="inlineStr"/>
      <c r="Q384" s="10" t="inlineStr"/>
      <c r="R384" s="10" t="inlineStr"/>
      <c r="S384" t="inlineStr"/>
      <c r="T384" s="10" t="inlineStr"/>
      <c r="U384" t="inlineStr"/>
      <c r="V384" s="10" t="inlineStr"/>
      <c r="W384" s="10" t="inlineStr"/>
      <c r="X384" s="10" t="inlineStr"/>
      <c r="Y384" s="10" t="inlineStr"/>
      <c r="Z384" s="10" t="inlineStr"/>
      <c r="AA384" s="10" t="inlineStr"/>
      <c r="AB384" t="inlineStr"/>
      <c r="AC384" s="10" t="inlineStr"/>
      <c r="AD384" t="inlineStr"/>
      <c r="AE384" t="inlineStr"/>
      <c r="AF384" s="10" t="inlineStr"/>
      <c r="AG384" t="inlineStr"/>
      <c r="AH384">
        <f>IF(AND(B384="",C384=""),"",IF(AND(X384&lt;&gt;"",Y384&lt;&gt;"",Z384&lt;&gt;"",AA384&lt;&gt;"",AB384="Y"),"YES","no"))</f>
        <v/>
      </c>
      <c r="AI384" s="10">
        <f>IF(AH384="YES",MAX(X384,Y384,Z384,AA384),"")</f>
        <v/>
      </c>
      <c r="AJ384">
        <f>IF(AND(B384="",C384=""),"",IF(OR(S384="Not interested",S384="Opt-out / do not contact"),"X Declined / suppressed",IF(S384="Bounced / undeliverable","X Bounced — research",IF(AC384&lt;&gt;"","13 Transacting",IF(AH384="YES","12 ACTIVATED",IF(Z384&lt;&gt;"","11 Listing live",IF(Y384&lt;&gt;"","10 Profile complete",IF(X384&lt;&gt;"","9 Approved",IF(W384&lt;&gt;"","8 KYC submitted",IF(V384&lt;&gt;"","7 Registered",IF(T384&lt;&gt;"","5 Interested",IF(R384&lt;&gt;"","4 Responded",IF(O384&lt;&gt;"","2 Contacted","1 Not yet contacted")))))))))))))</f>
        <v/>
      </c>
      <c r="AK384" s="10">
        <f>IF(AF384&lt;&gt;"",AF384,IF(OR(O384="",R384&lt;&gt;"",LEFT(AJ384,1)="X"),"",IF(Q384&lt;&gt;"","",IF(P384&lt;&gt;"",P384+SETTINGS!$B$4,O384+SETTINGS!$B$3))))</f>
        <v/>
      </c>
      <c r="AL384">
        <f>IF(AJ384="","",IF(LEFT(AJ384,1)="X","None — do not contact",IF(AJ384="1 Not yet contacted","Verify route today, then send M1",IF(AND(R384="",Q384&lt;&gt;""),"Sequence complete — no contact before "&amp;TEXT(Q384+SETTINGS!$B$5,"yyyy-mm-dd"),IF(AND(R384="",P384&lt;&gt;""),"Send final note (M4)",IF(R384="","Send follow-up (M2)",IF(AJ384="12 ACTIVATED","7-day check-in; consent &amp; referral soft ask",IF(AJ384="13 Transacting","Repeat-activity support","Onboarding: move to next stage (see playbook §6)"))))))))</f>
        <v/>
      </c>
      <c r="AM384">
        <f>IF(ISNUMBER(AK384),IF(AK384&lt;=TODAY(),"DUE",""),"")</f>
        <v/>
      </c>
      <c r="AN384">
        <f>IF(COUNT(O384,P384,Q384,R384,T384,V384,W384,X384,Y384,Z384,AA384,AC384)=0,"",TODAY()-MAX(O384,P384,Q384,R384,T384,V384,W384,X384,Y384,Z384,AA384,AC384))</f>
        <v/>
      </c>
      <c r="AO384">
        <f>IF(AJ384="","",IF(AND(T384&lt;&gt;"",U384&lt;&gt;"Active (verified)"),"GST: escalate (no tax advice)",IF(AND(IFERROR(VALUE(LEFT(AJ384,2)),0)&gt;=5,AH384&lt;&gt;"YES",ISNUMBER(AN384),AN384&gt;SETTINGS!$B$14),"STUCK in onboarding","")))</f>
        <v/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s="10" t="inlineStr"/>
      <c r="P385" s="10" t="inlineStr"/>
      <c r="Q385" s="10" t="inlineStr"/>
      <c r="R385" s="10" t="inlineStr"/>
      <c r="S385" t="inlineStr"/>
      <c r="T385" s="10" t="inlineStr"/>
      <c r="U385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t="inlineStr"/>
      <c r="AC385" s="10" t="inlineStr"/>
      <c r="AD385" t="inlineStr"/>
      <c r="AE385" t="inlineStr"/>
      <c r="AF385" s="10" t="inlineStr"/>
      <c r="AG385" t="inlineStr"/>
      <c r="AH385">
        <f>IF(AND(B385="",C385=""),"",IF(AND(X385&lt;&gt;"",Y385&lt;&gt;"",Z385&lt;&gt;"",AA385&lt;&gt;"",AB385="Y"),"YES","no"))</f>
        <v/>
      </c>
      <c r="AI385" s="10">
        <f>IF(AH385="YES",MAX(X385,Y385,Z385,AA385),"")</f>
        <v/>
      </c>
      <c r="AJ385">
        <f>IF(AND(B385="",C385=""),"",IF(OR(S385="Not interested",S385="Opt-out / do not contact"),"X Declined / suppressed",IF(S385="Bounced / undeliverable","X Bounced — research",IF(AC385&lt;&gt;"","13 Transacting",IF(AH385="YES","12 ACTIVATED",IF(Z385&lt;&gt;"","11 Listing live",IF(Y385&lt;&gt;"","10 Profile complete",IF(X385&lt;&gt;"","9 Approved",IF(W385&lt;&gt;"","8 KYC submitted",IF(V385&lt;&gt;"","7 Registered",IF(T385&lt;&gt;"","5 Interested",IF(R385&lt;&gt;"","4 Responded",IF(O385&lt;&gt;"","2 Contacted","1 Not yet contacted")))))))))))))</f>
        <v/>
      </c>
      <c r="AK385" s="10">
        <f>IF(AF385&lt;&gt;"",AF385,IF(OR(O385="",R385&lt;&gt;"",LEFT(AJ385,1)="X"),"",IF(Q385&lt;&gt;"","",IF(P385&lt;&gt;"",P385+SETTINGS!$B$4,O385+SETTINGS!$B$3))))</f>
        <v/>
      </c>
      <c r="AL385">
        <f>IF(AJ385="","",IF(LEFT(AJ385,1)="X","None — do not contact",IF(AJ385="1 Not yet contacted","Verify route today, then send M1",IF(AND(R385="",Q385&lt;&gt;""),"Sequence complete — no contact before "&amp;TEXT(Q385+SETTINGS!$B$5,"yyyy-mm-dd"),IF(AND(R385="",P385&lt;&gt;""),"Send final note (M4)",IF(R385="","Send follow-up (M2)",IF(AJ385="12 ACTIVATED","7-day check-in; consent &amp; referral soft ask",IF(AJ385="13 Transacting","Repeat-activity support","Onboarding: move to next stage (see playbook §6)"))))))))</f>
        <v/>
      </c>
      <c r="AM385">
        <f>IF(ISNUMBER(AK385),IF(AK385&lt;=TODAY(),"DUE",""),"")</f>
        <v/>
      </c>
      <c r="AN385">
        <f>IF(COUNT(O385,P385,Q385,R385,T385,V385,W385,X385,Y385,Z385,AA385,AC385)=0,"",TODAY()-MAX(O385,P385,Q385,R385,T385,V385,W385,X385,Y385,Z385,AA385,AC385))</f>
        <v/>
      </c>
      <c r="AO385">
        <f>IF(AJ385="","",IF(AND(T385&lt;&gt;"",U385&lt;&gt;"Active (verified)"),"GST: escalate (no tax advice)",IF(AND(IFERROR(VALUE(LEFT(AJ385,2)),0)&gt;=5,AH385&lt;&gt;"YES",ISNUMBER(AN385),AN385&gt;SETTINGS!$B$14),"STUCK in onboarding","")))</f>
        <v/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s="10" t="inlineStr"/>
      <c r="P386" s="10" t="inlineStr"/>
      <c r="Q386" s="10" t="inlineStr"/>
      <c r="R386" s="10" t="inlineStr"/>
      <c r="S386" t="inlineStr"/>
      <c r="T386" s="10" t="inlineStr"/>
      <c r="U386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t="inlineStr"/>
      <c r="AC386" s="10" t="inlineStr"/>
      <c r="AD386" t="inlineStr"/>
      <c r="AE386" t="inlineStr"/>
      <c r="AF386" s="10" t="inlineStr"/>
      <c r="AG386" t="inlineStr"/>
      <c r="AH386">
        <f>IF(AND(B386="",C386=""),"",IF(AND(X386&lt;&gt;"",Y386&lt;&gt;"",Z386&lt;&gt;"",AA386&lt;&gt;"",AB386="Y"),"YES","no"))</f>
        <v/>
      </c>
      <c r="AI386" s="10">
        <f>IF(AH386="YES",MAX(X386,Y386,Z386,AA386),"")</f>
        <v/>
      </c>
      <c r="AJ386">
        <f>IF(AND(B386="",C386=""),"",IF(OR(S386="Not interested",S386="Opt-out / do not contact"),"X Declined / suppressed",IF(S386="Bounced / undeliverable","X Bounced — research",IF(AC386&lt;&gt;"","13 Transacting",IF(AH386="YES","12 ACTIVATED",IF(Z386&lt;&gt;"","11 Listing live",IF(Y386&lt;&gt;"","10 Profile complete",IF(X386&lt;&gt;"","9 Approved",IF(W386&lt;&gt;"","8 KYC submitted",IF(V386&lt;&gt;"","7 Registered",IF(T386&lt;&gt;"","5 Interested",IF(R386&lt;&gt;"","4 Responded",IF(O386&lt;&gt;"","2 Contacted","1 Not yet contacted")))))))))))))</f>
        <v/>
      </c>
      <c r="AK386" s="10">
        <f>IF(AF386&lt;&gt;"",AF386,IF(OR(O386="",R386&lt;&gt;"",LEFT(AJ386,1)="X"),"",IF(Q386&lt;&gt;"","",IF(P386&lt;&gt;"",P386+SETTINGS!$B$4,O386+SETTINGS!$B$3))))</f>
        <v/>
      </c>
      <c r="AL386">
        <f>IF(AJ386="","",IF(LEFT(AJ386,1)="X","None — do not contact",IF(AJ386="1 Not yet contacted","Verify route today, then send M1",IF(AND(R386="",Q386&lt;&gt;""),"Sequence complete — no contact before "&amp;TEXT(Q386+SETTINGS!$B$5,"yyyy-mm-dd"),IF(AND(R386="",P386&lt;&gt;""),"Send final note (M4)",IF(R386="","Send follow-up (M2)",IF(AJ386="12 ACTIVATED","7-day check-in; consent &amp; referral soft ask",IF(AJ386="13 Transacting","Repeat-activity support","Onboarding: move to next stage (see playbook §6)"))))))))</f>
        <v/>
      </c>
      <c r="AM386">
        <f>IF(ISNUMBER(AK386),IF(AK386&lt;=TODAY(),"DUE",""),"")</f>
        <v/>
      </c>
      <c r="AN386">
        <f>IF(COUNT(O386,P386,Q386,R386,T386,V386,W386,X386,Y386,Z386,AA386,AC386)=0,"",TODAY()-MAX(O386,P386,Q386,R386,T386,V386,W386,X386,Y386,Z386,AA386,AC386))</f>
        <v/>
      </c>
      <c r="AO386">
        <f>IF(AJ386="","",IF(AND(T386&lt;&gt;"",U386&lt;&gt;"Active (verified)"),"GST: escalate (no tax advice)",IF(AND(IFERROR(VALUE(LEFT(AJ386,2)),0)&gt;=5,AH386&lt;&gt;"YES",ISNUMBER(AN386),AN386&gt;SETTINGS!$B$14),"STUCK in onboarding","")))</f>
        <v/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s="10" t="inlineStr"/>
      <c r="P387" s="10" t="inlineStr"/>
      <c r="Q387" s="10" t="inlineStr"/>
      <c r="R387" s="10" t="inlineStr"/>
      <c r="S387" t="inlineStr"/>
      <c r="T387" s="10" t="inlineStr"/>
      <c r="U387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t="inlineStr"/>
      <c r="AC387" s="10" t="inlineStr"/>
      <c r="AD387" t="inlineStr"/>
      <c r="AE387" t="inlineStr"/>
      <c r="AF387" s="10" t="inlineStr"/>
      <c r="AG387" t="inlineStr"/>
      <c r="AH387">
        <f>IF(AND(B387="",C387=""),"",IF(AND(X387&lt;&gt;"",Y387&lt;&gt;"",Z387&lt;&gt;"",AA387&lt;&gt;"",AB387="Y"),"YES","no"))</f>
        <v/>
      </c>
      <c r="AI387" s="10">
        <f>IF(AH387="YES",MAX(X387,Y387,Z387,AA387),"")</f>
        <v/>
      </c>
      <c r="AJ387">
        <f>IF(AND(B387="",C387=""),"",IF(OR(S387="Not interested",S387="Opt-out / do not contact"),"X Declined / suppressed",IF(S387="Bounced / undeliverable","X Bounced — research",IF(AC387&lt;&gt;"","13 Transacting",IF(AH387="YES","12 ACTIVATED",IF(Z387&lt;&gt;"","11 Listing live",IF(Y387&lt;&gt;"","10 Profile complete",IF(X387&lt;&gt;"","9 Approved",IF(W387&lt;&gt;"","8 KYC submitted",IF(V387&lt;&gt;"","7 Registered",IF(T387&lt;&gt;"","5 Interested",IF(R387&lt;&gt;"","4 Responded",IF(O387&lt;&gt;"","2 Contacted","1 Not yet contacted")))))))))))))</f>
        <v/>
      </c>
      <c r="AK387" s="10">
        <f>IF(AF387&lt;&gt;"",AF387,IF(OR(O387="",R387&lt;&gt;"",LEFT(AJ387,1)="X"),"",IF(Q387&lt;&gt;"","",IF(P387&lt;&gt;"",P387+SETTINGS!$B$4,O387+SETTINGS!$B$3))))</f>
        <v/>
      </c>
      <c r="AL387">
        <f>IF(AJ387="","",IF(LEFT(AJ387,1)="X","None — do not contact",IF(AJ387="1 Not yet contacted","Verify route today, then send M1",IF(AND(R387="",Q387&lt;&gt;""),"Sequence complete — no contact before "&amp;TEXT(Q387+SETTINGS!$B$5,"yyyy-mm-dd"),IF(AND(R387="",P387&lt;&gt;""),"Send final note (M4)",IF(R387="","Send follow-up (M2)",IF(AJ387="12 ACTIVATED","7-day check-in; consent &amp; referral soft ask",IF(AJ387="13 Transacting","Repeat-activity support","Onboarding: move to next stage (see playbook §6)"))))))))</f>
        <v/>
      </c>
      <c r="AM387">
        <f>IF(ISNUMBER(AK387),IF(AK387&lt;=TODAY(),"DUE",""),"")</f>
        <v/>
      </c>
      <c r="AN387">
        <f>IF(COUNT(O387,P387,Q387,R387,T387,V387,W387,X387,Y387,Z387,AA387,AC387)=0,"",TODAY()-MAX(O387,P387,Q387,R387,T387,V387,W387,X387,Y387,Z387,AA387,AC387))</f>
        <v/>
      </c>
      <c r="AO387">
        <f>IF(AJ387="","",IF(AND(T387&lt;&gt;"",U387&lt;&gt;"Active (verified)"),"GST: escalate (no tax advice)",IF(AND(IFERROR(VALUE(LEFT(AJ387,2)),0)&gt;=5,AH387&lt;&gt;"YES",ISNUMBER(AN387),AN387&gt;SETTINGS!$B$14),"STUCK in onboarding","")))</f>
        <v/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s="10" t="inlineStr"/>
      <c r="P388" s="10" t="inlineStr"/>
      <c r="Q388" s="10" t="inlineStr"/>
      <c r="R388" s="10" t="inlineStr"/>
      <c r="S388" t="inlineStr"/>
      <c r="T388" s="10" t="inlineStr"/>
      <c r="U388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t="inlineStr"/>
      <c r="AC388" s="10" t="inlineStr"/>
      <c r="AD388" t="inlineStr"/>
      <c r="AE388" t="inlineStr"/>
      <c r="AF388" s="10" t="inlineStr"/>
      <c r="AG388" t="inlineStr"/>
      <c r="AH388">
        <f>IF(AND(B388="",C388=""),"",IF(AND(X388&lt;&gt;"",Y388&lt;&gt;"",Z388&lt;&gt;"",AA388&lt;&gt;"",AB388="Y"),"YES","no"))</f>
        <v/>
      </c>
      <c r="AI388" s="10">
        <f>IF(AH388="YES",MAX(X388,Y388,Z388,AA388),"")</f>
        <v/>
      </c>
      <c r="AJ388">
        <f>IF(AND(B388="",C388=""),"",IF(OR(S388="Not interested",S388="Opt-out / do not contact"),"X Declined / suppressed",IF(S388="Bounced / undeliverable","X Bounced — research",IF(AC388&lt;&gt;"","13 Transacting",IF(AH388="YES","12 ACTIVATED",IF(Z388&lt;&gt;"","11 Listing live",IF(Y388&lt;&gt;"","10 Profile complete",IF(X388&lt;&gt;"","9 Approved",IF(W388&lt;&gt;"","8 KYC submitted",IF(V388&lt;&gt;"","7 Registered",IF(T388&lt;&gt;"","5 Interested",IF(R388&lt;&gt;"","4 Responded",IF(O388&lt;&gt;"","2 Contacted","1 Not yet contacted")))))))))))))</f>
        <v/>
      </c>
      <c r="AK388" s="10">
        <f>IF(AF388&lt;&gt;"",AF388,IF(OR(O388="",R388&lt;&gt;"",LEFT(AJ388,1)="X"),"",IF(Q388&lt;&gt;"","",IF(P388&lt;&gt;"",P388+SETTINGS!$B$4,O388+SETTINGS!$B$3))))</f>
        <v/>
      </c>
      <c r="AL388">
        <f>IF(AJ388="","",IF(LEFT(AJ388,1)="X","None — do not contact",IF(AJ388="1 Not yet contacted","Verify route today, then send M1",IF(AND(R388="",Q388&lt;&gt;""),"Sequence complete — no contact before "&amp;TEXT(Q388+SETTINGS!$B$5,"yyyy-mm-dd"),IF(AND(R388="",P388&lt;&gt;""),"Send final note (M4)",IF(R388="","Send follow-up (M2)",IF(AJ388="12 ACTIVATED","7-day check-in; consent &amp; referral soft ask",IF(AJ388="13 Transacting","Repeat-activity support","Onboarding: move to next stage (see playbook §6)"))))))))</f>
        <v/>
      </c>
      <c r="AM388">
        <f>IF(ISNUMBER(AK388),IF(AK388&lt;=TODAY(),"DUE",""),"")</f>
        <v/>
      </c>
      <c r="AN388">
        <f>IF(COUNT(O388,P388,Q388,R388,T388,V388,W388,X388,Y388,Z388,AA388,AC388)=0,"",TODAY()-MAX(O388,P388,Q388,R388,T388,V388,W388,X388,Y388,Z388,AA388,AC388))</f>
        <v/>
      </c>
      <c r="AO388">
        <f>IF(AJ388="","",IF(AND(T388&lt;&gt;"",U388&lt;&gt;"Active (verified)"),"GST: escalate (no tax advice)",IF(AND(IFERROR(VALUE(LEFT(AJ388,2)),0)&gt;=5,AH388&lt;&gt;"YES",ISNUMBER(AN388),AN388&gt;SETTINGS!$B$14),"STUCK in onboarding","")))</f>
        <v/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s="10" t="inlineStr"/>
      <c r="P389" s="10" t="inlineStr"/>
      <c r="Q389" s="10" t="inlineStr"/>
      <c r="R389" s="10" t="inlineStr"/>
      <c r="S389" t="inlineStr"/>
      <c r="T389" s="10" t="inlineStr"/>
      <c r="U389" t="inlineStr"/>
      <c r="V389" s="10" t="inlineStr"/>
      <c r="W389" s="10" t="inlineStr"/>
      <c r="X389" s="10" t="inlineStr"/>
      <c r="Y389" s="10" t="inlineStr"/>
      <c r="Z389" s="10" t="inlineStr"/>
      <c r="AA389" s="10" t="inlineStr"/>
      <c r="AB389" t="inlineStr"/>
      <c r="AC389" s="10" t="inlineStr"/>
      <c r="AD389" t="inlineStr"/>
      <c r="AE389" t="inlineStr"/>
      <c r="AF389" s="10" t="inlineStr"/>
      <c r="AG389" t="inlineStr"/>
      <c r="AH389">
        <f>IF(AND(B389="",C389=""),"",IF(AND(X389&lt;&gt;"",Y389&lt;&gt;"",Z389&lt;&gt;"",AA389&lt;&gt;"",AB389="Y"),"YES","no"))</f>
        <v/>
      </c>
      <c r="AI389" s="10">
        <f>IF(AH389="YES",MAX(X389,Y389,Z389,AA389),"")</f>
        <v/>
      </c>
      <c r="AJ389">
        <f>IF(AND(B389="",C389=""),"",IF(OR(S389="Not interested",S389="Opt-out / do not contact"),"X Declined / suppressed",IF(S389="Bounced / undeliverable","X Bounced — research",IF(AC389&lt;&gt;"","13 Transacting",IF(AH389="YES","12 ACTIVATED",IF(Z389&lt;&gt;"","11 Listing live",IF(Y389&lt;&gt;"","10 Profile complete",IF(X389&lt;&gt;"","9 Approved",IF(W389&lt;&gt;"","8 KYC submitted",IF(V389&lt;&gt;"","7 Registered",IF(T389&lt;&gt;"","5 Interested",IF(R389&lt;&gt;"","4 Responded",IF(O389&lt;&gt;"","2 Contacted","1 Not yet contacted")))))))))))))</f>
        <v/>
      </c>
      <c r="AK389" s="10">
        <f>IF(AF389&lt;&gt;"",AF389,IF(OR(O389="",R389&lt;&gt;"",LEFT(AJ389,1)="X"),"",IF(Q389&lt;&gt;"","",IF(P389&lt;&gt;"",P389+SETTINGS!$B$4,O389+SETTINGS!$B$3))))</f>
        <v/>
      </c>
      <c r="AL389">
        <f>IF(AJ389="","",IF(LEFT(AJ389,1)="X","None — do not contact",IF(AJ389="1 Not yet contacted","Verify route today, then send M1",IF(AND(R389="",Q389&lt;&gt;""),"Sequence complete — no contact before "&amp;TEXT(Q389+SETTINGS!$B$5,"yyyy-mm-dd"),IF(AND(R389="",P389&lt;&gt;""),"Send final note (M4)",IF(R389="","Send follow-up (M2)",IF(AJ389="12 ACTIVATED","7-day check-in; consent &amp; referral soft ask",IF(AJ389="13 Transacting","Repeat-activity support","Onboarding: move to next stage (see playbook §6)"))))))))</f>
        <v/>
      </c>
      <c r="AM389">
        <f>IF(ISNUMBER(AK389),IF(AK389&lt;=TODAY(),"DUE",""),"")</f>
        <v/>
      </c>
      <c r="AN389">
        <f>IF(COUNT(O389,P389,Q389,R389,T389,V389,W389,X389,Y389,Z389,AA389,AC389)=0,"",TODAY()-MAX(O389,P389,Q389,R389,T389,V389,W389,X389,Y389,Z389,AA389,AC389))</f>
        <v/>
      </c>
      <c r="AO389">
        <f>IF(AJ389="","",IF(AND(T389&lt;&gt;"",U389&lt;&gt;"Active (verified)"),"GST: escalate (no tax advice)",IF(AND(IFERROR(VALUE(LEFT(AJ389,2)),0)&gt;=5,AH389&lt;&gt;"YES",ISNUMBER(AN389),AN389&gt;SETTINGS!$B$14),"STUCK in onboarding","")))</f>
        <v/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s="10" t="inlineStr"/>
      <c r="P390" s="10" t="inlineStr"/>
      <c r="Q390" s="10" t="inlineStr"/>
      <c r="R390" s="10" t="inlineStr"/>
      <c r="S390" t="inlineStr"/>
      <c r="T390" s="10" t="inlineStr"/>
      <c r="U39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t="inlineStr"/>
      <c r="AC390" s="10" t="inlineStr"/>
      <c r="AD390" t="inlineStr"/>
      <c r="AE390" t="inlineStr"/>
      <c r="AF390" s="10" t="inlineStr"/>
      <c r="AG390" t="inlineStr"/>
      <c r="AH390">
        <f>IF(AND(B390="",C390=""),"",IF(AND(X390&lt;&gt;"",Y390&lt;&gt;"",Z390&lt;&gt;"",AA390&lt;&gt;"",AB390="Y"),"YES","no"))</f>
        <v/>
      </c>
      <c r="AI390" s="10">
        <f>IF(AH390="YES",MAX(X390,Y390,Z390,AA390),"")</f>
        <v/>
      </c>
      <c r="AJ390">
        <f>IF(AND(B390="",C390=""),"",IF(OR(S390="Not interested",S390="Opt-out / do not contact"),"X Declined / suppressed",IF(S390="Bounced / undeliverable","X Bounced — research",IF(AC390&lt;&gt;"","13 Transacting",IF(AH390="YES","12 ACTIVATED",IF(Z390&lt;&gt;"","11 Listing live",IF(Y390&lt;&gt;"","10 Profile complete",IF(X390&lt;&gt;"","9 Approved",IF(W390&lt;&gt;"","8 KYC submitted",IF(V390&lt;&gt;"","7 Registered",IF(T390&lt;&gt;"","5 Interested",IF(R390&lt;&gt;"","4 Responded",IF(O390&lt;&gt;"","2 Contacted","1 Not yet contacted")))))))))))))</f>
        <v/>
      </c>
      <c r="AK390" s="10">
        <f>IF(AF390&lt;&gt;"",AF390,IF(OR(O390="",R390&lt;&gt;"",LEFT(AJ390,1)="X"),"",IF(Q390&lt;&gt;"","",IF(P390&lt;&gt;"",P390+SETTINGS!$B$4,O390+SETTINGS!$B$3))))</f>
        <v/>
      </c>
      <c r="AL390">
        <f>IF(AJ390="","",IF(LEFT(AJ390,1)="X","None — do not contact",IF(AJ390="1 Not yet contacted","Verify route today, then send M1",IF(AND(R390="",Q390&lt;&gt;""),"Sequence complete — no contact before "&amp;TEXT(Q390+SETTINGS!$B$5,"yyyy-mm-dd"),IF(AND(R390="",P390&lt;&gt;""),"Send final note (M4)",IF(R390="","Send follow-up (M2)",IF(AJ390="12 ACTIVATED","7-day check-in; consent &amp; referral soft ask",IF(AJ390="13 Transacting","Repeat-activity support","Onboarding: move to next stage (see playbook §6)"))))))))</f>
        <v/>
      </c>
      <c r="AM390">
        <f>IF(ISNUMBER(AK390),IF(AK390&lt;=TODAY(),"DUE",""),"")</f>
        <v/>
      </c>
      <c r="AN390">
        <f>IF(COUNT(O390,P390,Q390,R390,T390,V390,W390,X390,Y390,Z390,AA390,AC390)=0,"",TODAY()-MAX(O390,P390,Q390,R390,T390,V390,W390,X390,Y390,Z390,AA390,AC390))</f>
        <v/>
      </c>
      <c r="AO390">
        <f>IF(AJ390="","",IF(AND(T390&lt;&gt;"",U390&lt;&gt;"Active (verified)"),"GST: escalate (no tax advice)",IF(AND(IFERROR(VALUE(LEFT(AJ390,2)),0)&gt;=5,AH390&lt;&gt;"YES",ISNUMBER(AN390),AN390&gt;SETTINGS!$B$14),"STUCK in onboarding","")))</f>
        <v/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s="10" t="inlineStr"/>
      <c r="P391" s="10" t="inlineStr"/>
      <c r="Q391" s="10" t="inlineStr"/>
      <c r="R391" s="10" t="inlineStr"/>
      <c r="S391" t="inlineStr"/>
      <c r="T391" s="10" t="inlineStr"/>
      <c r="U391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t="inlineStr"/>
      <c r="AC391" s="10" t="inlineStr"/>
      <c r="AD391" t="inlineStr"/>
      <c r="AE391" t="inlineStr"/>
      <c r="AF391" s="10" t="inlineStr"/>
      <c r="AG391" t="inlineStr"/>
      <c r="AH391">
        <f>IF(AND(B391="",C391=""),"",IF(AND(X391&lt;&gt;"",Y391&lt;&gt;"",Z391&lt;&gt;"",AA391&lt;&gt;"",AB391="Y"),"YES","no"))</f>
        <v/>
      </c>
      <c r="AI391" s="10">
        <f>IF(AH391="YES",MAX(X391,Y391,Z391,AA391),"")</f>
        <v/>
      </c>
      <c r="AJ391">
        <f>IF(AND(B391="",C391=""),"",IF(OR(S391="Not interested",S391="Opt-out / do not contact"),"X Declined / suppressed",IF(S391="Bounced / undeliverable","X Bounced — research",IF(AC391&lt;&gt;"","13 Transacting",IF(AH391="YES","12 ACTIVATED",IF(Z391&lt;&gt;"","11 Listing live",IF(Y391&lt;&gt;"","10 Profile complete",IF(X391&lt;&gt;"","9 Approved",IF(W391&lt;&gt;"","8 KYC submitted",IF(V391&lt;&gt;"","7 Registered",IF(T391&lt;&gt;"","5 Interested",IF(R391&lt;&gt;"","4 Responded",IF(O391&lt;&gt;"","2 Contacted","1 Not yet contacted")))))))))))))</f>
        <v/>
      </c>
      <c r="AK391" s="10">
        <f>IF(AF391&lt;&gt;"",AF391,IF(OR(O391="",R391&lt;&gt;"",LEFT(AJ391,1)="X"),"",IF(Q391&lt;&gt;"","",IF(P391&lt;&gt;"",P391+SETTINGS!$B$4,O391+SETTINGS!$B$3))))</f>
        <v/>
      </c>
      <c r="AL391">
        <f>IF(AJ391="","",IF(LEFT(AJ391,1)="X","None — do not contact",IF(AJ391="1 Not yet contacted","Verify route today, then send M1",IF(AND(R391="",Q391&lt;&gt;""),"Sequence complete — no contact before "&amp;TEXT(Q391+SETTINGS!$B$5,"yyyy-mm-dd"),IF(AND(R391="",P391&lt;&gt;""),"Send final note (M4)",IF(R391="","Send follow-up (M2)",IF(AJ391="12 ACTIVATED","7-day check-in; consent &amp; referral soft ask",IF(AJ391="13 Transacting","Repeat-activity support","Onboarding: move to next stage (see playbook §6)"))))))))</f>
        <v/>
      </c>
      <c r="AM391">
        <f>IF(ISNUMBER(AK391),IF(AK391&lt;=TODAY(),"DUE",""),"")</f>
        <v/>
      </c>
      <c r="AN391">
        <f>IF(COUNT(O391,P391,Q391,R391,T391,V391,W391,X391,Y391,Z391,AA391,AC391)=0,"",TODAY()-MAX(O391,P391,Q391,R391,T391,V391,W391,X391,Y391,Z391,AA391,AC391))</f>
        <v/>
      </c>
      <c r="AO391">
        <f>IF(AJ391="","",IF(AND(T391&lt;&gt;"",U391&lt;&gt;"Active (verified)"),"GST: escalate (no tax advice)",IF(AND(IFERROR(VALUE(LEFT(AJ391,2)),0)&gt;=5,AH391&lt;&gt;"YES",ISNUMBER(AN391),AN391&gt;SETTINGS!$B$14),"STUCK in onboarding","")))</f>
        <v/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s="10" t="inlineStr"/>
      <c r="P392" s="10" t="inlineStr"/>
      <c r="Q392" s="10" t="inlineStr"/>
      <c r="R392" s="10" t="inlineStr"/>
      <c r="S392" t="inlineStr"/>
      <c r="T392" s="10" t="inlineStr"/>
      <c r="U392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t="inlineStr"/>
      <c r="AC392" s="10" t="inlineStr"/>
      <c r="AD392" t="inlineStr"/>
      <c r="AE392" t="inlineStr"/>
      <c r="AF392" s="10" t="inlineStr"/>
      <c r="AG392" t="inlineStr"/>
      <c r="AH392">
        <f>IF(AND(B392="",C392=""),"",IF(AND(X392&lt;&gt;"",Y392&lt;&gt;"",Z392&lt;&gt;"",AA392&lt;&gt;"",AB392="Y"),"YES","no"))</f>
        <v/>
      </c>
      <c r="AI392" s="10">
        <f>IF(AH392="YES",MAX(X392,Y392,Z392,AA392),"")</f>
        <v/>
      </c>
      <c r="AJ392">
        <f>IF(AND(B392="",C392=""),"",IF(OR(S392="Not interested",S392="Opt-out / do not contact"),"X Declined / suppressed",IF(S392="Bounced / undeliverable","X Bounced — research",IF(AC392&lt;&gt;"","13 Transacting",IF(AH392="YES","12 ACTIVATED",IF(Z392&lt;&gt;"","11 Listing live",IF(Y392&lt;&gt;"","10 Profile complete",IF(X392&lt;&gt;"","9 Approved",IF(W392&lt;&gt;"","8 KYC submitted",IF(V392&lt;&gt;"","7 Registered",IF(T392&lt;&gt;"","5 Interested",IF(R392&lt;&gt;"","4 Responded",IF(O392&lt;&gt;"","2 Contacted","1 Not yet contacted")))))))))))))</f>
        <v/>
      </c>
      <c r="AK392" s="10">
        <f>IF(AF392&lt;&gt;"",AF392,IF(OR(O392="",R392&lt;&gt;"",LEFT(AJ392,1)="X"),"",IF(Q392&lt;&gt;"","",IF(P392&lt;&gt;"",P392+SETTINGS!$B$4,O392+SETTINGS!$B$3))))</f>
        <v/>
      </c>
      <c r="AL392">
        <f>IF(AJ392="","",IF(LEFT(AJ392,1)="X","None — do not contact",IF(AJ392="1 Not yet contacted","Verify route today, then send M1",IF(AND(R392="",Q392&lt;&gt;""),"Sequence complete — no contact before "&amp;TEXT(Q392+SETTINGS!$B$5,"yyyy-mm-dd"),IF(AND(R392="",P392&lt;&gt;""),"Send final note (M4)",IF(R392="","Send follow-up (M2)",IF(AJ392="12 ACTIVATED","7-day check-in; consent &amp; referral soft ask",IF(AJ392="13 Transacting","Repeat-activity support","Onboarding: move to next stage (see playbook §6)"))))))))</f>
        <v/>
      </c>
      <c r="AM392">
        <f>IF(ISNUMBER(AK392),IF(AK392&lt;=TODAY(),"DUE",""),"")</f>
        <v/>
      </c>
      <c r="AN392">
        <f>IF(COUNT(O392,P392,Q392,R392,T392,V392,W392,X392,Y392,Z392,AA392,AC392)=0,"",TODAY()-MAX(O392,P392,Q392,R392,T392,V392,W392,X392,Y392,Z392,AA392,AC392))</f>
        <v/>
      </c>
      <c r="AO392">
        <f>IF(AJ392="","",IF(AND(T392&lt;&gt;"",U392&lt;&gt;"Active (verified)"),"GST: escalate (no tax advice)",IF(AND(IFERROR(VALUE(LEFT(AJ392,2)),0)&gt;=5,AH392&lt;&gt;"YES",ISNUMBER(AN392),AN392&gt;SETTINGS!$B$14),"STUCK in onboarding","")))</f>
        <v/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s="10" t="inlineStr"/>
      <c r="P393" s="10" t="inlineStr"/>
      <c r="Q393" s="10" t="inlineStr"/>
      <c r="R393" s="10" t="inlineStr"/>
      <c r="S393" t="inlineStr"/>
      <c r="T393" s="10" t="inlineStr"/>
      <c r="U393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t="inlineStr"/>
      <c r="AC393" s="10" t="inlineStr"/>
      <c r="AD393" t="inlineStr"/>
      <c r="AE393" t="inlineStr"/>
      <c r="AF393" s="10" t="inlineStr"/>
      <c r="AG393" t="inlineStr"/>
      <c r="AH393">
        <f>IF(AND(B393="",C393=""),"",IF(AND(X393&lt;&gt;"",Y393&lt;&gt;"",Z393&lt;&gt;"",AA393&lt;&gt;"",AB393="Y"),"YES","no"))</f>
        <v/>
      </c>
      <c r="AI393" s="10">
        <f>IF(AH393="YES",MAX(X393,Y393,Z393,AA393),"")</f>
        <v/>
      </c>
      <c r="AJ393">
        <f>IF(AND(B393="",C393=""),"",IF(OR(S393="Not interested",S393="Opt-out / do not contact"),"X Declined / suppressed",IF(S393="Bounced / undeliverable","X Bounced — research",IF(AC393&lt;&gt;"","13 Transacting",IF(AH393="YES","12 ACTIVATED",IF(Z393&lt;&gt;"","11 Listing live",IF(Y393&lt;&gt;"","10 Profile complete",IF(X393&lt;&gt;"","9 Approved",IF(W393&lt;&gt;"","8 KYC submitted",IF(V393&lt;&gt;"","7 Registered",IF(T393&lt;&gt;"","5 Interested",IF(R393&lt;&gt;"","4 Responded",IF(O393&lt;&gt;"","2 Contacted","1 Not yet contacted")))))))))))))</f>
        <v/>
      </c>
      <c r="AK393" s="10">
        <f>IF(AF393&lt;&gt;"",AF393,IF(OR(O393="",R393&lt;&gt;"",LEFT(AJ393,1)="X"),"",IF(Q393&lt;&gt;"","",IF(P393&lt;&gt;"",P393+SETTINGS!$B$4,O393+SETTINGS!$B$3))))</f>
        <v/>
      </c>
      <c r="AL393">
        <f>IF(AJ393="","",IF(LEFT(AJ393,1)="X","None — do not contact",IF(AJ393="1 Not yet contacted","Verify route today, then send M1",IF(AND(R393="",Q393&lt;&gt;""),"Sequence complete — no contact before "&amp;TEXT(Q393+SETTINGS!$B$5,"yyyy-mm-dd"),IF(AND(R393="",P393&lt;&gt;""),"Send final note (M4)",IF(R393="","Send follow-up (M2)",IF(AJ393="12 ACTIVATED","7-day check-in; consent &amp; referral soft ask",IF(AJ393="13 Transacting","Repeat-activity support","Onboarding: move to next stage (see playbook §6)"))))))))</f>
        <v/>
      </c>
      <c r="AM393">
        <f>IF(ISNUMBER(AK393),IF(AK393&lt;=TODAY(),"DUE",""),"")</f>
        <v/>
      </c>
      <c r="AN393">
        <f>IF(COUNT(O393,P393,Q393,R393,T393,V393,W393,X393,Y393,Z393,AA393,AC393)=0,"",TODAY()-MAX(O393,P393,Q393,R393,T393,V393,W393,X393,Y393,Z393,AA393,AC393))</f>
        <v/>
      </c>
      <c r="AO393">
        <f>IF(AJ393="","",IF(AND(T393&lt;&gt;"",U393&lt;&gt;"Active (verified)"),"GST: escalate (no tax advice)",IF(AND(IFERROR(VALUE(LEFT(AJ393,2)),0)&gt;=5,AH393&lt;&gt;"YES",ISNUMBER(AN393),AN393&gt;SETTINGS!$B$14),"STUCK in onboarding","")))</f>
        <v/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s="10" t="inlineStr"/>
      <c r="P394" s="10" t="inlineStr"/>
      <c r="Q394" s="10" t="inlineStr"/>
      <c r="R394" s="10" t="inlineStr"/>
      <c r="S394" t="inlineStr"/>
      <c r="T394" s="10" t="inlineStr"/>
      <c r="U394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t="inlineStr"/>
      <c r="AC394" s="10" t="inlineStr"/>
      <c r="AD394" t="inlineStr"/>
      <c r="AE394" t="inlineStr"/>
      <c r="AF394" s="10" t="inlineStr"/>
      <c r="AG394" t="inlineStr"/>
      <c r="AH394">
        <f>IF(AND(B394="",C394=""),"",IF(AND(X394&lt;&gt;"",Y394&lt;&gt;"",Z394&lt;&gt;"",AA394&lt;&gt;"",AB394="Y"),"YES","no"))</f>
        <v/>
      </c>
      <c r="AI394" s="10">
        <f>IF(AH394="YES",MAX(X394,Y394,Z394,AA394),"")</f>
        <v/>
      </c>
      <c r="AJ394">
        <f>IF(AND(B394="",C394=""),"",IF(OR(S394="Not interested",S394="Opt-out / do not contact"),"X Declined / suppressed",IF(S394="Bounced / undeliverable","X Bounced — research",IF(AC394&lt;&gt;"","13 Transacting",IF(AH394="YES","12 ACTIVATED",IF(Z394&lt;&gt;"","11 Listing live",IF(Y394&lt;&gt;"","10 Profile complete",IF(X394&lt;&gt;"","9 Approved",IF(W394&lt;&gt;"","8 KYC submitted",IF(V394&lt;&gt;"","7 Registered",IF(T394&lt;&gt;"","5 Interested",IF(R394&lt;&gt;"","4 Responded",IF(O394&lt;&gt;"","2 Contacted","1 Not yet contacted")))))))))))))</f>
        <v/>
      </c>
      <c r="AK394" s="10">
        <f>IF(AF394&lt;&gt;"",AF394,IF(OR(O394="",R394&lt;&gt;"",LEFT(AJ394,1)="X"),"",IF(Q394&lt;&gt;"","",IF(P394&lt;&gt;"",P394+SETTINGS!$B$4,O394+SETTINGS!$B$3))))</f>
        <v/>
      </c>
      <c r="AL394">
        <f>IF(AJ394="","",IF(LEFT(AJ394,1)="X","None — do not contact",IF(AJ394="1 Not yet contacted","Verify route today, then send M1",IF(AND(R394="",Q394&lt;&gt;""),"Sequence complete — no contact before "&amp;TEXT(Q394+SETTINGS!$B$5,"yyyy-mm-dd"),IF(AND(R394="",P394&lt;&gt;""),"Send final note (M4)",IF(R394="","Send follow-up (M2)",IF(AJ394="12 ACTIVATED","7-day check-in; consent &amp; referral soft ask",IF(AJ394="13 Transacting","Repeat-activity support","Onboarding: move to next stage (see playbook §6)"))))))))</f>
        <v/>
      </c>
      <c r="AM394">
        <f>IF(ISNUMBER(AK394),IF(AK394&lt;=TODAY(),"DUE",""),"")</f>
        <v/>
      </c>
      <c r="AN394">
        <f>IF(COUNT(O394,P394,Q394,R394,T394,V394,W394,X394,Y394,Z394,AA394,AC394)=0,"",TODAY()-MAX(O394,P394,Q394,R394,T394,V394,W394,X394,Y394,Z394,AA394,AC394))</f>
        <v/>
      </c>
      <c r="AO394">
        <f>IF(AJ394="","",IF(AND(T394&lt;&gt;"",U394&lt;&gt;"Active (verified)"),"GST: escalate (no tax advice)",IF(AND(IFERROR(VALUE(LEFT(AJ394,2)),0)&gt;=5,AH394&lt;&gt;"YES",ISNUMBER(AN394),AN394&gt;SETTINGS!$B$14),"STUCK in onboarding","")))</f>
        <v/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s="10" t="inlineStr"/>
      <c r="P395" s="10" t="inlineStr"/>
      <c r="Q395" s="10" t="inlineStr"/>
      <c r="R395" s="10" t="inlineStr"/>
      <c r="S395" t="inlineStr"/>
      <c r="T395" s="10" t="inlineStr"/>
      <c r="U395" t="inlineStr"/>
      <c r="V395" s="10" t="inlineStr"/>
      <c r="W395" s="10" t="inlineStr"/>
      <c r="X395" s="10" t="inlineStr"/>
      <c r="Y395" s="10" t="inlineStr"/>
      <c r="Z395" s="10" t="inlineStr"/>
      <c r="AA395" s="10" t="inlineStr"/>
      <c r="AB395" t="inlineStr"/>
      <c r="AC395" s="10" t="inlineStr"/>
      <c r="AD395" t="inlineStr"/>
      <c r="AE395" t="inlineStr"/>
      <c r="AF395" s="10" t="inlineStr"/>
      <c r="AG395" t="inlineStr"/>
      <c r="AH395">
        <f>IF(AND(B395="",C395=""),"",IF(AND(X395&lt;&gt;"",Y395&lt;&gt;"",Z395&lt;&gt;"",AA395&lt;&gt;"",AB395="Y"),"YES","no"))</f>
        <v/>
      </c>
      <c r="AI395" s="10">
        <f>IF(AH395="YES",MAX(X395,Y395,Z395,AA395),"")</f>
        <v/>
      </c>
      <c r="AJ395">
        <f>IF(AND(B395="",C395=""),"",IF(OR(S395="Not interested",S395="Opt-out / do not contact"),"X Declined / suppressed",IF(S395="Bounced / undeliverable","X Bounced — research",IF(AC395&lt;&gt;"","13 Transacting",IF(AH395="YES","12 ACTIVATED",IF(Z395&lt;&gt;"","11 Listing live",IF(Y395&lt;&gt;"","10 Profile complete",IF(X395&lt;&gt;"","9 Approved",IF(W395&lt;&gt;"","8 KYC submitted",IF(V395&lt;&gt;"","7 Registered",IF(T395&lt;&gt;"","5 Interested",IF(R395&lt;&gt;"","4 Responded",IF(O395&lt;&gt;"","2 Contacted","1 Not yet contacted")))))))))))))</f>
        <v/>
      </c>
      <c r="AK395" s="10">
        <f>IF(AF395&lt;&gt;"",AF395,IF(OR(O395="",R395&lt;&gt;"",LEFT(AJ395,1)="X"),"",IF(Q395&lt;&gt;"","",IF(P395&lt;&gt;"",P395+SETTINGS!$B$4,O395+SETTINGS!$B$3))))</f>
        <v/>
      </c>
      <c r="AL395">
        <f>IF(AJ395="","",IF(LEFT(AJ395,1)="X","None — do not contact",IF(AJ395="1 Not yet contacted","Verify route today, then send M1",IF(AND(R395="",Q395&lt;&gt;""),"Sequence complete — no contact before "&amp;TEXT(Q395+SETTINGS!$B$5,"yyyy-mm-dd"),IF(AND(R395="",P395&lt;&gt;""),"Send final note (M4)",IF(R395="","Send follow-up (M2)",IF(AJ395="12 ACTIVATED","7-day check-in; consent &amp; referral soft ask",IF(AJ395="13 Transacting","Repeat-activity support","Onboarding: move to next stage (see playbook §6)"))))))))</f>
        <v/>
      </c>
      <c r="AM395">
        <f>IF(ISNUMBER(AK395),IF(AK395&lt;=TODAY(),"DUE",""),"")</f>
        <v/>
      </c>
      <c r="AN395">
        <f>IF(COUNT(O395,P395,Q395,R395,T395,V395,W395,X395,Y395,Z395,AA395,AC395)=0,"",TODAY()-MAX(O395,P395,Q395,R395,T395,V395,W395,X395,Y395,Z395,AA395,AC395))</f>
        <v/>
      </c>
      <c r="AO395">
        <f>IF(AJ395="","",IF(AND(T395&lt;&gt;"",U395&lt;&gt;"Active (verified)"),"GST: escalate (no tax advice)",IF(AND(IFERROR(VALUE(LEFT(AJ395,2)),0)&gt;=5,AH395&lt;&gt;"YES",ISNUMBER(AN395),AN395&gt;SETTINGS!$B$14),"STUCK in onboarding","")))</f>
        <v/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s="10" t="inlineStr"/>
      <c r="P396" s="10" t="inlineStr"/>
      <c r="Q396" s="10" t="inlineStr"/>
      <c r="R396" s="10" t="inlineStr"/>
      <c r="S396" t="inlineStr"/>
      <c r="T396" s="10" t="inlineStr"/>
      <c r="U396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t="inlineStr"/>
      <c r="AC396" s="10" t="inlineStr"/>
      <c r="AD396" t="inlineStr"/>
      <c r="AE396" t="inlineStr"/>
      <c r="AF396" s="10" t="inlineStr"/>
      <c r="AG396" t="inlineStr"/>
      <c r="AH396">
        <f>IF(AND(B396="",C396=""),"",IF(AND(X396&lt;&gt;"",Y396&lt;&gt;"",Z396&lt;&gt;"",AA396&lt;&gt;"",AB396="Y"),"YES","no"))</f>
        <v/>
      </c>
      <c r="AI396" s="10">
        <f>IF(AH396="YES",MAX(X396,Y396,Z396,AA396),"")</f>
        <v/>
      </c>
      <c r="AJ396">
        <f>IF(AND(B396="",C396=""),"",IF(OR(S396="Not interested",S396="Opt-out / do not contact"),"X Declined / suppressed",IF(S396="Bounced / undeliverable","X Bounced — research",IF(AC396&lt;&gt;"","13 Transacting",IF(AH396="YES","12 ACTIVATED",IF(Z396&lt;&gt;"","11 Listing live",IF(Y396&lt;&gt;"","10 Profile complete",IF(X396&lt;&gt;"","9 Approved",IF(W396&lt;&gt;"","8 KYC submitted",IF(V396&lt;&gt;"","7 Registered",IF(T396&lt;&gt;"","5 Interested",IF(R396&lt;&gt;"","4 Responded",IF(O396&lt;&gt;"","2 Contacted","1 Not yet contacted")))))))))))))</f>
        <v/>
      </c>
      <c r="AK396" s="10">
        <f>IF(AF396&lt;&gt;"",AF396,IF(OR(O396="",R396&lt;&gt;"",LEFT(AJ396,1)="X"),"",IF(Q396&lt;&gt;"","",IF(P396&lt;&gt;"",P396+SETTINGS!$B$4,O396+SETTINGS!$B$3))))</f>
        <v/>
      </c>
      <c r="AL396">
        <f>IF(AJ396="","",IF(LEFT(AJ396,1)="X","None — do not contact",IF(AJ396="1 Not yet contacted","Verify route today, then send M1",IF(AND(R396="",Q396&lt;&gt;""),"Sequence complete — no contact before "&amp;TEXT(Q396+SETTINGS!$B$5,"yyyy-mm-dd"),IF(AND(R396="",P396&lt;&gt;""),"Send final note (M4)",IF(R396="","Send follow-up (M2)",IF(AJ396="12 ACTIVATED","7-day check-in; consent &amp; referral soft ask",IF(AJ396="13 Transacting","Repeat-activity support","Onboarding: move to next stage (see playbook §6)"))))))))</f>
        <v/>
      </c>
      <c r="AM396">
        <f>IF(ISNUMBER(AK396),IF(AK396&lt;=TODAY(),"DUE",""),"")</f>
        <v/>
      </c>
      <c r="AN396">
        <f>IF(COUNT(O396,P396,Q396,R396,T396,V396,W396,X396,Y396,Z396,AA396,AC396)=0,"",TODAY()-MAX(O396,P396,Q396,R396,T396,V396,W396,X396,Y396,Z396,AA396,AC396))</f>
        <v/>
      </c>
      <c r="AO396">
        <f>IF(AJ396="","",IF(AND(T396&lt;&gt;"",U396&lt;&gt;"Active (verified)"),"GST: escalate (no tax advice)",IF(AND(IFERROR(VALUE(LEFT(AJ396,2)),0)&gt;=5,AH396&lt;&gt;"YES",ISNUMBER(AN396),AN396&gt;SETTINGS!$B$14),"STUCK in onboarding","")))</f>
        <v/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s="10" t="inlineStr"/>
      <c r="P397" s="10" t="inlineStr"/>
      <c r="Q397" s="10" t="inlineStr"/>
      <c r="R397" s="10" t="inlineStr"/>
      <c r="S397" t="inlineStr"/>
      <c r="T397" s="10" t="inlineStr"/>
      <c r="U397" t="inlineStr"/>
      <c r="V397" s="10" t="inlineStr"/>
      <c r="W397" s="10" t="inlineStr"/>
      <c r="X397" s="10" t="inlineStr"/>
      <c r="Y397" s="10" t="inlineStr"/>
      <c r="Z397" s="10" t="inlineStr"/>
      <c r="AA397" s="10" t="inlineStr"/>
      <c r="AB397" t="inlineStr"/>
      <c r="AC397" s="10" t="inlineStr"/>
      <c r="AD397" t="inlineStr"/>
      <c r="AE397" t="inlineStr"/>
      <c r="AF397" s="10" t="inlineStr"/>
      <c r="AG397" t="inlineStr"/>
      <c r="AH397">
        <f>IF(AND(B397="",C397=""),"",IF(AND(X397&lt;&gt;"",Y397&lt;&gt;"",Z397&lt;&gt;"",AA397&lt;&gt;"",AB397="Y"),"YES","no"))</f>
        <v/>
      </c>
      <c r="AI397" s="10">
        <f>IF(AH397="YES",MAX(X397,Y397,Z397,AA397),"")</f>
        <v/>
      </c>
      <c r="AJ397">
        <f>IF(AND(B397="",C397=""),"",IF(OR(S397="Not interested",S397="Opt-out / do not contact"),"X Declined / suppressed",IF(S397="Bounced / undeliverable","X Bounced — research",IF(AC397&lt;&gt;"","13 Transacting",IF(AH397="YES","12 ACTIVATED",IF(Z397&lt;&gt;"","11 Listing live",IF(Y397&lt;&gt;"","10 Profile complete",IF(X397&lt;&gt;"","9 Approved",IF(W397&lt;&gt;"","8 KYC submitted",IF(V397&lt;&gt;"","7 Registered",IF(T397&lt;&gt;"","5 Interested",IF(R397&lt;&gt;"","4 Responded",IF(O397&lt;&gt;"","2 Contacted","1 Not yet contacted")))))))))))))</f>
        <v/>
      </c>
      <c r="AK397" s="10">
        <f>IF(AF397&lt;&gt;"",AF397,IF(OR(O397="",R397&lt;&gt;"",LEFT(AJ397,1)="X"),"",IF(Q397&lt;&gt;"","",IF(P397&lt;&gt;"",P397+SETTINGS!$B$4,O397+SETTINGS!$B$3))))</f>
        <v/>
      </c>
      <c r="AL397">
        <f>IF(AJ397="","",IF(LEFT(AJ397,1)="X","None — do not contact",IF(AJ397="1 Not yet contacted","Verify route today, then send M1",IF(AND(R397="",Q397&lt;&gt;""),"Sequence complete — no contact before "&amp;TEXT(Q397+SETTINGS!$B$5,"yyyy-mm-dd"),IF(AND(R397="",P397&lt;&gt;""),"Send final note (M4)",IF(R397="","Send follow-up (M2)",IF(AJ397="12 ACTIVATED","7-day check-in; consent &amp; referral soft ask",IF(AJ397="13 Transacting","Repeat-activity support","Onboarding: move to next stage (see playbook §6)"))))))))</f>
        <v/>
      </c>
      <c r="AM397">
        <f>IF(ISNUMBER(AK397),IF(AK397&lt;=TODAY(),"DUE",""),"")</f>
        <v/>
      </c>
      <c r="AN397">
        <f>IF(COUNT(O397,P397,Q397,R397,T397,V397,W397,X397,Y397,Z397,AA397,AC397)=0,"",TODAY()-MAX(O397,P397,Q397,R397,T397,V397,W397,X397,Y397,Z397,AA397,AC397))</f>
        <v/>
      </c>
      <c r="AO397">
        <f>IF(AJ397="","",IF(AND(T397&lt;&gt;"",U397&lt;&gt;"Active (verified)"),"GST: escalate (no tax advice)",IF(AND(IFERROR(VALUE(LEFT(AJ397,2)),0)&gt;=5,AH397&lt;&gt;"YES",ISNUMBER(AN397),AN397&gt;SETTINGS!$B$14),"STUCK in onboarding","")))</f>
        <v/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s="10" t="inlineStr"/>
      <c r="P398" s="10" t="inlineStr"/>
      <c r="Q398" s="10" t="inlineStr"/>
      <c r="R398" s="10" t="inlineStr"/>
      <c r="S398" t="inlineStr"/>
      <c r="T398" s="10" t="inlineStr"/>
      <c r="U398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t="inlineStr"/>
      <c r="AC398" s="10" t="inlineStr"/>
      <c r="AD398" t="inlineStr"/>
      <c r="AE398" t="inlineStr"/>
      <c r="AF398" s="10" t="inlineStr"/>
      <c r="AG398" t="inlineStr"/>
      <c r="AH398">
        <f>IF(AND(B398="",C398=""),"",IF(AND(X398&lt;&gt;"",Y398&lt;&gt;"",Z398&lt;&gt;"",AA398&lt;&gt;"",AB398="Y"),"YES","no"))</f>
        <v/>
      </c>
      <c r="AI398" s="10">
        <f>IF(AH398="YES",MAX(X398,Y398,Z398,AA398),"")</f>
        <v/>
      </c>
      <c r="AJ398">
        <f>IF(AND(B398="",C398=""),"",IF(OR(S398="Not interested",S398="Opt-out / do not contact"),"X Declined / suppressed",IF(S398="Bounced / undeliverable","X Bounced — research",IF(AC398&lt;&gt;"","13 Transacting",IF(AH398="YES","12 ACTIVATED",IF(Z398&lt;&gt;"","11 Listing live",IF(Y398&lt;&gt;"","10 Profile complete",IF(X398&lt;&gt;"","9 Approved",IF(W398&lt;&gt;"","8 KYC submitted",IF(V398&lt;&gt;"","7 Registered",IF(T398&lt;&gt;"","5 Interested",IF(R398&lt;&gt;"","4 Responded",IF(O398&lt;&gt;"","2 Contacted","1 Not yet contacted")))))))))))))</f>
        <v/>
      </c>
      <c r="AK398" s="10">
        <f>IF(AF398&lt;&gt;"",AF398,IF(OR(O398="",R398&lt;&gt;"",LEFT(AJ398,1)="X"),"",IF(Q398&lt;&gt;"","",IF(P398&lt;&gt;"",P398+SETTINGS!$B$4,O398+SETTINGS!$B$3))))</f>
        <v/>
      </c>
      <c r="AL398">
        <f>IF(AJ398="","",IF(LEFT(AJ398,1)="X","None — do not contact",IF(AJ398="1 Not yet contacted","Verify route today, then send M1",IF(AND(R398="",Q398&lt;&gt;""),"Sequence complete — no contact before "&amp;TEXT(Q398+SETTINGS!$B$5,"yyyy-mm-dd"),IF(AND(R398="",P398&lt;&gt;""),"Send final note (M4)",IF(R398="","Send follow-up (M2)",IF(AJ398="12 ACTIVATED","7-day check-in; consent &amp; referral soft ask",IF(AJ398="13 Transacting","Repeat-activity support","Onboarding: move to next stage (see playbook §6)"))))))))</f>
        <v/>
      </c>
      <c r="AM398">
        <f>IF(ISNUMBER(AK398),IF(AK398&lt;=TODAY(),"DUE",""),"")</f>
        <v/>
      </c>
      <c r="AN398">
        <f>IF(COUNT(O398,P398,Q398,R398,T398,V398,W398,X398,Y398,Z398,AA398,AC398)=0,"",TODAY()-MAX(O398,P398,Q398,R398,T398,V398,W398,X398,Y398,Z398,AA398,AC398))</f>
        <v/>
      </c>
      <c r="AO398">
        <f>IF(AJ398="","",IF(AND(T398&lt;&gt;"",U398&lt;&gt;"Active (verified)"),"GST: escalate (no tax advice)",IF(AND(IFERROR(VALUE(LEFT(AJ398,2)),0)&gt;=5,AH398&lt;&gt;"YES",ISNUMBER(AN398),AN398&gt;SETTINGS!$B$14),"STUCK in onboarding","")))</f>
        <v/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s="10" t="inlineStr"/>
      <c r="P399" s="10" t="inlineStr"/>
      <c r="Q399" s="10" t="inlineStr"/>
      <c r="R399" s="10" t="inlineStr"/>
      <c r="S399" t="inlineStr"/>
      <c r="T399" s="10" t="inlineStr"/>
      <c r="U399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t="inlineStr"/>
      <c r="AC399" s="10" t="inlineStr"/>
      <c r="AD399" t="inlineStr"/>
      <c r="AE399" t="inlineStr"/>
      <c r="AF399" s="10" t="inlineStr"/>
      <c r="AG399" t="inlineStr"/>
      <c r="AH399">
        <f>IF(AND(B399="",C399=""),"",IF(AND(X399&lt;&gt;"",Y399&lt;&gt;"",Z399&lt;&gt;"",AA399&lt;&gt;"",AB399="Y"),"YES","no"))</f>
        <v/>
      </c>
      <c r="AI399" s="10">
        <f>IF(AH399="YES",MAX(X399,Y399,Z399,AA399),"")</f>
        <v/>
      </c>
      <c r="AJ399">
        <f>IF(AND(B399="",C399=""),"",IF(OR(S399="Not interested",S399="Opt-out / do not contact"),"X Declined / suppressed",IF(S399="Bounced / undeliverable","X Bounced — research",IF(AC399&lt;&gt;"","13 Transacting",IF(AH399="YES","12 ACTIVATED",IF(Z399&lt;&gt;"","11 Listing live",IF(Y399&lt;&gt;"","10 Profile complete",IF(X399&lt;&gt;"","9 Approved",IF(W399&lt;&gt;"","8 KYC submitted",IF(V399&lt;&gt;"","7 Registered",IF(T399&lt;&gt;"","5 Interested",IF(R399&lt;&gt;"","4 Responded",IF(O399&lt;&gt;"","2 Contacted","1 Not yet contacted")))))))))))))</f>
        <v/>
      </c>
      <c r="AK399" s="10">
        <f>IF(AF399&lt;&gt;"",AF399,IF(OR(O399="",R399&lt;&gt;"",LEFT(AJ399,1)="X"),"",IF(Q399&lt;&gt;"","",IF(P399&lt;&gt;"",P399+SETTINGS!$B$4,O399+SETTINGS!$B$3))))</f>
        <v/>
      </c>
      <c r="AL399">
        <f>IF(AJ399="","",IF(LEFT(AJ399,1)="X","None — do not contact",IF(AJ399="1 Not yet contacted","Verify route today, then send M1",IF(AND(R399="",Q399&lt;&gt;""),"Sequence complete — no contact before "&amp;TEXT(Q399+SETTINGS!$B$5,"yyyy-mm-dd"),IF(AND(R399="",P399&lt;&gt;""),"Send final note (M4)",IF(R399="","Send follow-up (M2)",IF(AJ399="12 ACTIVATED","7-day check-in; consent &amp; referral soft ask",IF(AJ399="13 Transacting","Repeat-activity support","Onboarding: move to next stage (see playbook §6)"))))))))</f>
        <v/>
      </c>
      <c r="AM399">
        <f>IF(ISNUMBER(AK399),IF(AK399&lt;=TODAY(),"DUE",""),"")</f>
        <v/>
      </c>
      <c r="AN399">
        <f>IF(COUNT(O399,P399,Q399,R399,T399,V399,W399,X399,Y399,Z399,AA399,AC399)=0,"",TODAY()-MAX(O399,P399,Q399,R399,T399,V399,W399,X399,Y399,Z399,AA399,AC399))</f>
        <v/>
      </c>
      <c r="AO399">
        <f>IF(AJ399="","",IF(AND(T399&lt;&gt;"",U399&lt;&gt;"Active (verified)"),"GST: escalate (no tax advice)",IF(AND(IFERROR(VALUE(LEFT(AJ399,2)),0)&gt;=5,AH399&lt;&gt;"YES",ISNUMBER(AN399),AN399&gt;SETTINGS!$B$14),"STUCK in onboarding","")))</f>
        <v/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s="10" t="inlineStr"/>
      <c r="P400" s="10" t="inlineStr"/>
      <c r="Q400" s="10" t="inlineStr"/>
      <c r="R400" s="10" t="inlineStr"/>
      <c r="S400" t="inlineStr"/>
      <c r="T400" s="10" t="inlineStr"/>
      <c r="U40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t="inlineStr"/>
      <c r="AC400" s="10" t="inlineStr"/>
      <c r="AD400" t="inlineStr"/>
      <c r="AE400" t="inlineStr"/>
      <c r="AF400" s="10" t="inlineStr"/>
      <c r="AG400" t="inlineStr"/>
      <c r="AH400">
        <f>IF(AND(B400="",C400=""),"",IF(AND(X400&lt;&gt;"",Y400&lt;&gt;"",Z400&lt;&gt;"",AA400&lt;&gt;"",AB400="Y"),"YES","no"))</f>
        <v/>
      </c>
      <c r="AI400" s="10">
        <f>IF(AH400="YES",MAX(X400,Y400,Z400,AA400),"")</f>
        <v/>
      </c>
      <c r="AJ400">
        <f>IF(AND(B400="",C400=""),"",IF(OR(S400="Not interested",S400="Opt-out / do not contact"),"X Declined / suppressed",IF(S400="Bounced / undeliverable","X Bounced — research",IF(AC400&lt;&gt;"","13 Transacting",IF(AH400="YES","12 ACTIVATED",IF(Z400&lt;&gt;"","11 Listing live",IF(Y400&lt;&gt;"","10 Profile complete",IF(X400&lt;&gt;"","9 Approved",IF(W400&lt;&gt;"","8 KYC submitted",IF(V400&lt;&gt;"","7 Registered",IF(T400&lt;&gt;"","5 Interested",IF(R400&lt;&gt;"","4 Responded",IF(O400&lt;&gt;"","2 Contacted","1 Not yet contacted")))))))))))))</f>
        <v/>
      </c>
      <c r="AK400" s="10">
        <f>IF(AF400&lt;&gt;"",AF400,IF(OR(O400="",R400&lt;&gt;"",LEFT(AJ400,1)="X"),"",IF(Q400&lt;&gt;"","",IF(P400&lt;&gt;"",P400+SETTINGS!$B$4,O400+SETTINGS!$B$3))))</f>
        <v/>
      </c>
      <c r="AL400">
        <f>IF(AJ400="","",IF(LEFT(AJ400,1)="X","None — do not contact",IF(AJ400="1 Not yet contacted","Verify route today, then send M1",IF(AND(R400="",Q400&lt;&gt;""),"Sequence complete — no contact before "&amp;TEXT(Q400+SETTINGS!$B$5,"yyyy-mm-dd"),IF(AND(R400="",P400&lt;&gt;""),"Send final note (M4)",IF(R400="","Send follow-up (M2)",IF(AJ400="12 ACTIVATED","7-day check-in; consent &amp; referral soft ask",IF(AJ400="13 Transacting","Repeat-activity support","Onboarding: move to next stage (see playbook §6)"))))))))</f>
        <v/>
      </c>
      <c r="AM400">
        <f>IF(ISNUMBER(AK400),IF(AK400&lt;=TODAY(),"DUE",""),"")</f>
        <v/>
      </c>
      <c r="AN400">
        <f>IF(COUNT(O400,P400,Q400,R400,T400,V400,W400,X400,Y400,Z400,AA400,AC400)=0,"",TODAY()-MAX(O400,P400,Q400,R400,T400,V400,W400,X400,Y400,Z400,AA400,AC400))</f>
        <v/>
      </c>
      <c r="AO400">
        <f>IF(AJ400="","",IF(AND(T400&lt;&gt;"",U400&lt;&gt;"Active (verified)"),"GST: escalate (no tax advice)",IF(AND(IFERROR(VALUE(LEFT(AJ400,2)),0)&gt;=5,AH400&lt;&gt;"YES",ISNUMBER(AN400),AN400&gt;SETTINGS!$B$14),"STUCK in onboarding","")))</f>
        <v/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s="10" t="inlineStr"/>
      <c r="P401" s="10" t="inlineStr"/>
      <c r="Q401" s="10" t="inlineStr"/>
      <c r="R401" s="10" t="inlineStr"/>
      <c r="S401" t="inlineStr"/>
      <c r="T401" s="10" t="inlineStr"/>
      <c r="U401" t="inlineStr"/>
      <c r="V401" s="10" t="inlineStr"/>
      <c r="W401" s="10" t="inlineStr"/>
      <c r="X401" s="10" t="inlineStr"/>
      <c r="Y401" s="10" t="inlineStr"/>
      <c r="Z401" s="10" t="inlineStr"/>
      <c r="AA401" s="10" t="inlineStr"/>
      <c r="AB401" t="inlineStr"/>
      <c r="AC401" s="10" t="inlineStr"/>
      <c r="AD401" t="inlineStr"/>
      <c r="AE401" t="inlineStr"/>
      <c r="AF401" s="10" t="inlineStr"/>
      <c r="AG401" t="inlineStr"/>
      <c r="AH401">
        <f>IF(AND(B401="",C401=""),"",IF(AND(X401&lt;&gt;"",Y401&lt;&gt;"",Z401&lt;&gt;"",AA401&lt;&gt;"",AB401="Y"),"YES","no"))</f>
        <v/>
      </c>
      <c r="AI401" s="10">
        <f>IF(AH401="YES",MAX(X401,Y401,Z401,AA401),"")</f>
        <v/>
      </c>
      <c r="AJ401">
        <f>IF(AND(B401="",C401=""),"",IF(OR(S401="Not interested",S401="Opt-out / do not contact"),"X Declined / suppressed",IF(S401="Bounced / undeliverable","X Bounced — research",IF(AC401&lt;&gt;"","13 Transacting",IF(AH401="YES","12 ACTIVATED",IF(Z401&lt;&gt;"","11 Listing live",IF(Y401&lt;&gt;"","10 Profile complete",IF(X401&lt;&gt;"","9 Approved",IF(W401&lt;&gt;"","8 KYC submitted",IF(V401&lt;&gt;"","7 Registered",IF(T401&lt;&gt;"","5 Interested",IF(R401&lt;&gt;"","4 Responded",IF(O401&lt;&gt;"","2 Contacted","1 Not yet contacted")))))))))))))</f>
        <v/>
      </c>
      <c r="AK401" s="10">
        <f>IF(AF401&lt;&gt;"",AF401,IF(OR(O401="",R401&lt;&gt;"",LEFT(AJ401,1)="X"),"",IF(Q401&lt;&gt;"","",IF(P401&lt;&gt;"",P401+SETTINGS!$B$4,O401+SETTINGS!$B$3))))</f>
        <v/>
      </c>
      <c r="AL401">
        <f>IF(AJ401="","",IF(LEFT(AJ401,1)="X","None — do not contact",IF(AJ401="1 Not yet contacted","Verify route today, then send M1",IF(AND(R401="",Q401&lt;&gt;""),"Sequence complete — no contact before "&amp;TEXT(Q401+SETTINGS!$B$5,"yyyy-mm-dd"),IF(AND(R401="",P401&lt;&gt;""),"Send final note (M4)",IF(R401="","Send follow-up (M2)",IF(AJ401="12 ACTIVATED","7-day check-in; consent &amp; referral soft ask",IF(AJ401="13 Transacting","Repeat-activity support","Onboarding: move to next stage (see playbook §6)"))))))))</f>
        <v/>
      </c>
      <c r="AM401">
        <f>IF(ISNUMBER(AK401),IF(AK401&lt;=TODAY(),"DUE",""),"")</f>
        <v/>
      </c>
      <c r="AN401">
        <f>IF(COUNT(O401,P401,Q401,R401,T401,V401,W401,X401,Y401,Z401,AA401,AC401)=0,"",TODAY()-MAX(O401,P401,Q401,R401,T401,V401,W401,X401,Y401,Z401,AA401,AC401))</f>
        <v/>
      </c>
      <c r="AO401">
        <f>IF(AJ401="","",IF(AND(T401&lt;&gt;"",U401&lt;&gt;"Active (verified)"),"GST: escalate (no tax advice)",IF(AND(IFERROR(VALUE(LEFT(AJ401,2)),0)&gt;=5,AH401&lt;&gt;"YES",ISNUMBER(AN401),AN401&gt;SETTINGS!$B$14),"STUCK in onboarding","")))</f>
        <v/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s="10" t="inlineStr"/>
      <c r="P402" s="10" t="inlineStr"/>
      <c r="Q402" s="10" t="inlineStr"/>
      <c r="R402" s="10" t="inlineStr"/>
      <c r="S402" t="inlineStr"/>
      <c r="T402" s="10" t="inlineStr"/>
      <c r="U402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t="inlineStr"/>
      <c r="AC402" s="10" t="inlineStr"/>
      <c r="AD402" t="inlineStr"/>
      <c r="AE402" t="inlineStr"/>
      <c r="AF402" s="10" t="inlineStr"/>
      <c r="AG402" t="inlineStr"/>
      <c r="AH402">
        <f>IF(AND(B402="",C402=""),"",IF(AND(X402&lt;&gt;"",Y402&lt;&gt;"",Z402&lt;&gt;"",AA402&lt;&gt;"",AB402="Y"),"YES","no"))</f>
        <v/>
      </c>
      <c r="AI402" s="10">
        <f>IF(AH402="YES",MAX(X402,Y402,Z402,AA402),"")</f>
        <v/>
      </c>
      <c r="AJ402">
        <f>IF(AND(B402="",C402=""),"",IF(OR(S402="Not interested",S402="Opt-out / do not contact"),"X Declined / suppressed",IF(S402="Bounced / undeliverable","X Bounced — research",IF(AC402&lt;&gt;"","13 Transacting",IF(AH402="YES","12 ACTIVATED",IF(Z402&lt;&gt;"","11 Listing live",IF(Y402&lt;&gt;"","10 Profile complete",IF(X402&lt;&gt;"","9 Approved",IF(W402&lt;&gt;"","8 KYC submitted",IF(V402&lt;&gt;"","7 Registered",IF(T402&lt;&gt;"","5 Interested",IF(R402&lt;&gt;"","4 Responded",IF(O402&lt;&gt;"","2 Contacted","1 Not yet contacted")))))))))))))</f>
        <v/>
      </c>
      <c r="AK402" s="10">
        <f>IF(AF402&lt;&gt;"",AF402,IF(OR(O402="",R402&lt;&gt;"",LEFT(AJ402,1)="X"),"",IF(Q402&lt;&gt;"","",IF(P402&lt;&gt;"",P402+SETTINGS!$B$4,O402+SETTINGS!$B$3))))</f>
        <v/>
      </c>
      <c r="AL402">
        <f>IF(AJ402="","",IF(LEFT(AJ402,1)="X","None — do not contact",IF(AJ402="1 Not yet contacted","Verify route today, then send M1",IF(AND(R402="",Q402&lt;&gt;""),"Sequence complete — no contact before "&amp;TEXT(Q402+SETTINGS!$B$5,"yyyy-mm-dd"),IF(AND(R402="",P402&lt;&gt;""),"Send final note (M4)",IF(R402="","Send follow-up (M2)",IF(AJ402="12 ACTIVATED","7-day check-in; consent &amp; referral soft ask",IF(AJ402="13 Transacting","Repeat-activity support","Onboarding: move to next stage (see playbook §6)"))))))))</f>
        <v/>
      </c>
      <c r="AM402">
        <f>IF(ISNUMBER(AK402),IF(AK402&lt;=TODAY(),"DUE",""),"")</f>
        <v/>
      </c>
      <c r="AN402">
        <f>IF(COUNT(O402,P402,Q402,R402,T402,V402,W402,X402,Y402,Z402,AA402,AC402)=0,"",TODAY()-MAX(O402,P402,Q402,R402,T402,V402,W402,X402,Y402,Z402,AA402,AC402))</f>
        <v/>
      </c>
      <c r="AO402">
        <f>IF(AJ402="","",IF(AND(T402&lt;&gt;"",U402&lt;&gt;"Active (verified)"),"GST: escalate (no tax advice)",IF(AND(IFERROR(VALUE(LEFT(AJ402,2)),0)&gt;=5,AH402&lt;&gt;"YES",ISNUMBER(AN402),AN402&gt;SETTINGS!$B$14),"STUCK in onboarding","")))</f>
        <v/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s="10" t="inlineStr"/>
      <c r="P403" s="10" t="inlineStr"/>
      <c r="Q403" s="10" t="inlineStr"/>
      <c r="R403" s="10" t="inlineStr"/>
      <c r="S403" t="inlineStr"/>
      <c r="T403" s="10" t="inlineStr"/>
      <c r="U403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t="inlineStr"/>
      <c r="AC403" s="10" t="inlineStr"/>
      <c r="AD403" t="inlineStr"/>
      <c r="AE403" t="inlineStr"/>
      <c r="AF403" s="10" t="inlineStr"/>
      <c r="AG403" t="inlineStr"/>
      <c r="AH403">
        <f>IF(AND(B403="",C403=""),"",IF(AND(X403&lt;&gt;"",Y403&lt;&gt;"",Z403&lt;&gt;"",AA403&lt;&gt;"",AB403="Y"),"YES","no"))</f>
        <v/>
      </c>
      <c r="AI403" s="10">
        <f>IF(AH403="YES",MAX(X403,Y403,Z403,AA403),"")</f>
        <v/>
      </c>
      <c r="AJ403">
        <f>IF(AND(B403="",C403=""),"",IF(OR(S403="Not interested",S403="Opt-out / do not contact"),"X Declined / suppressed",IF(S403="Bounced / undeliverable","X Bounced — research",IF(AC403&lt;&gt;"","13 Transacting",IF(AH403="YES","12 ACTIVATED",IF(Z403&lt;&gt;"","11 Listing live",IF(Y403&lt;&gt;"","10 Profile complete",IF(X403&lt;&gt;"","9 Approved",IF(W403&lt;&gt;"","8 KYC submitted",IF(V403&lt;&gt;"","7 Registered",IF(T403&lt;&gt;"","5 Interested",IF(R403&lt;&gt;"","4 Responded",IF(O403&lt;&gt;"","2 Contacted","1 Not yet contacted")))))))))))))</f>
        <v/>
      </c>
      <c r="AK403" s="10">
        <f>IF(AF403&lt;&gt;"",AF403,IF(OR(O403="",R403&lt;&gt;"",LEFT(AJ403,1)="X"),"",IF(Q403&lt;&gt;"","",IF(P403&lt;&gt;"",P403+SETTINGS!$B$4,O403+SETTINGS!$B$3))))</f>
        <v/>
      </c>
      <c r="AL403">
        <f>IF(AJ403="","",IF(LEFT(AJ403,1)="X","None — do not contact",IF(AJ403="1 Not yet contacted","Verify route today, then send M1",IF(AND(R403="",Q403&lt;&gt;""),"Sequence complete — no contact before "&amp;TEXT(Q403+SETTINGS!$B$5,"yyyy-mm-dd"),IF(AND(R403="",P403&lt;&gt;""),"Send final note (M4)",IF(R403="","Send follow-up (M2)",IF(AJ403="12 ACTIVATED","7-day check-in; consent &amp; referral soft ask",IF(AJ403="13 Transacting","Repeat-activity support","Onboarding: move to next stage (see playbook §6)"))))))))</f>
        <v/>
      </c>
      <c r="AM403">
        <f>IF(ISNUMBER(AK403),IF(AK403&lt;=TODAY(),"DUE",""),"")</f>
        <v/>
      </c>
      <c r="AN403">
        <f>IF(COUNT(O403,P403,Q403,R403,T403,V403,W403,X403,Y403,Z403,AA403,AC403)=0,"",TODAY()-MAX(O403,P403,Q403,R403,T403,V403,W403,X403,Y403,Z403,AA403,AC403))</f>
        <v/>
      </c>
      <c r="AO403">
        <f>IF(AJ403="","",IF(AND(T403&lt;&gt;"",U403&lt;&gt;"Active (verified)"),"GST: escalate (no tax advice)",IF(AND(IFERROR(VALUE(LEFT(AJ403,2)),0)&gt;=5,AH403&lt;&gt;"YES",ISNUMBER(AN403),AN403&gt;SETTINGS!$B$14),"STUCK in onboarding","")))</f>
        <v/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s="10" t="inlineStr"/>
      <c r="P404" s="10" t="inlineStr"/>
      <c r="Q404" s="10" t="inlineStr"/>
      <c r="R404" s="10" t="inlineStr"/>
      <c r="S404" t="inlineStr"/>
      <c r="T404" s="10" t="inlineStr"/>
      <c r="U404" t="inlineStr"/>
      <c r="V404" s="10" t="inlineStr"/>
      <c r="W404" s="10" t="inlineStr"/>
      <c r="X404" s="10" t="inlineStr"/>
      <c r="Y404" s="10" t="inlineStr"/>
      <c r="Z404" s="10" t="inlineStr"/>
      <c r="AA404" s="10" t="inlineStr"/>
      <c r="AB404" t="inlineStr"/>
      <c r="AC404" s="10" t="inlineStr"/>
      <c r="AD404" t="inlineStr"/>
      <c r="AE404" t="inlineStr"/>
      <c r="AF404" s="10" t="inlineStr"/>
      <c r="AG404" t="inlineStr"/>
      <c r="AH404">
        <f>IF(AND(B404="",C404=""),"",IF(AND(X404&lt;&gt;"",Y404&lt;&gt;"",Z404&lt;&gt;"",AA404&lt;&gt;"",AB404="Y"),"YES","no"))</f>
        <v/>
      </c>
      <c r="AI404" s="10">
        <f>IF(AH404="YES",MAX(X404,Y404,Z404,AA404),"")</f>
        <v/>
      </c>
      <c r="AJ404">
        <f>IF(AND(B404="",C404=""),"",IF(OR(S404="Not interested",S404="Opt-out / do not contact"),"X Declined / suppressed",IF(S404="Bounced / undeliverable","X Bounced — research",IF(AC404&lt;&gt;"","13 Transacting",IF(AH404="YES","12 ACTIVATED",IF(Z404&lt;&gt;"","11 Listing live",IF(Y404&lt;&gt;"","10 Profile complete",IF(X404&lt;&gt;"","9 Approved",IF(W404&lt;&gt;"","8 KYC submitted",IF(V404&lt;&gt;"","7 Registered",IF(T404&lt;&gt;"","5 Interested",IF(R404&lt;&gt;"","4 Responded",IF(O404&lt;&gt;"","2 Contacted","1 Not yet contacted")))))))))))))</f>
        <v/>
      </c>
      <c r="AK404" s="10">
        <f>IF(AF404&lt;&gt;"",AF404,IF(OR(O404="",R404&lt;&gt;"",LEFT(AJ404,1)="X"),"",IF(Q404&lt;&gt;"","",IF(P404&lt;&gt;"",P404+SETTINGS!$B$4,O404+SETTINGS!$B$3))))</f>
        <v/>
      </c>
      <c r="AL404">
        <f>IF(AJ404="","",IF(LEFT(AJ404,1)="X","None — do not contact",IF(AJ404="1 Not yet contacted","Verify route today, then send M1",IF(AND(R404="",Q404&lt;&gt;""),"Sequence complete — no contact before "&amp;TEXT(Q404+SETTINGS!$B$5,"yyyy-mm-dd"),IF(AND(R404="",P404&lt;&gt;""),"Send final note (M4)",IF(R404="","Send follow-up (M2)",IF(AJ404="12 ACTIVATED","7-day check-in; consent &amp; referral soft ask",IF(AJ404="13 Transacting","Repeat-activity support","Onboarding: move to next stage (see playbook §6)"))))))))</f>
        <v/>
      </c>
      <c r="AM404">
        <f>IF(ISNUMBER(AK404),IF(AK404&lt;=TODAY(),"DUE",""),"")</f>
        <v/>
      </c>
      <c r="AN404">
        <f>IF(COUNT(O404,P404,Q404,R404,T404,V404,W404,X404,Y404,Z404,AA404,AC404)=0,"",TODAY()-MAX(O404,P404,Q404,R404,T404,V404,W404,X404,Y404,Z404,AA404,AC404))</f>
        <v/>
      </c>
      <c r="AO404">
        <f>IF(AJ404="","",IF(AND(T404&lt;&gt;"",U404&lt;&gt;"Active (verified)"),"GST: escalate (no tax advice)",IF(AND(IFERROR(VALUE(LEFT(AJ404,2)),0)&gt;=5,AH404&lt;&gt;"YES",ISNUMBER(AN404),AN404&gt;SETTINGS!$B$14),"STUCK in onboarding","")))</f>
        <v/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s="10" t="inlineStr"/>
      <c r="P405" s="10" t="inlineStr"/>
      <c r="Q405" s="10" t="inlineStr"/>
      <c r="R405" s="10" t="inlineStr"/>
      <c r="S405" t="inlineStr"/>
      <c r="T405" s="10" t="inlineStr"/>
      <c r="U405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t="inlineStr"/>
      <c r="AC405" s="10" t="inlineStr"/>
      <c r="AD405" t="inlineStr"/>
      <c r="AE405" t="inlineStr"/>
      <c r="AF405" s="10" t="inlineStr"/>
      <c r="AG405" t="inlineStr"/>
      <c r="AH405">
        <f>IF(AND(B405="",C405=""),"",IF(AND(X405&lt;&gt;"",Y405&lt;&gt;"",Z405&lt;&gt;"",AA405&lt;&gt;"",AB405="Y"),"YES","no"))</f>
        <v/>
      </c>
      <c r="AI405" s="10">
        <f>IF(AH405="YES",MAX(X405,Y405,Z405,AA405),"")</f>
        <v/>
      </c>
      <c r="AJ405">
        <f>IF(AND(B405="",C405=""),"",IF(OR(S405="Not interested",S405="Opt-out / do not contact"),"X Declined / suppressed",IF(S405="Bounced / undeliverable","X Bounced — research",IF(AC405&lt;&gt;"","13 Transacting",IF(AH405="YES","12 ACTIVATED",IF(Z405&lt;&gt;"","11 Listing live",IF(Y405&lt;&gt;"","10 Profile complete",IF(X405&lt;&gt;"","9 Approved",IF(W405&lt;&gt;"","8 KYC submitted",IF(V405&lt;&gt;"","7 Registered",IF(T405&lt;&gt;"","5 Interested",IF(R405&lt;&gt;"","4 Responded",IF(O405&lt;&gt;"","2 Contacted","1 Not yet contacted")))))))))))))</f>
        <v/>
      </c>
      <c r="AK405" s="10">
        <f>IF(AF405&lt;&gt;"",AF405,IF(OR(O405="",R405&lt;&gt;"",LEFT(AJ405,1)="X"),"",IF(Q405&lt;&gt;"","",IF(P405&lt;&gt;"",P405+SETTINGS!$B$4,O405+SETTINGS!$B$3))))</f>
        <v/>
      </c>
      <c r="AL405">
        <f>IF(AJ405="","",IF(LEFT(AJ405,1)="X","None — do not contact",IF(AJ405="1 Not yet contacted","Verify route today, then send M1",IF(AND(R405="",Q405&lt;&gt;""),"Sequence complete — no contact before "&amp;TEXT(Q405+SETTINGS!$B$5,"yyyy-mm-dd"),IF(AND(R405="",P405&lt;&gt;""),"Send final note (M4)",IF(R405="","Send follow-up (M2)",IF(AJ405="12 ACTIVATED","7-day check-in; consent &amp; referral soft ask",IF(AJ405="13 Transacting","Repeat-activity support","Onboarding: move to next stage (see playbook §6)"))))))))</f>
        <v/>
      </c>
      <c r="AM405">
        <f>IF(ISNUMBER(AK405),IF(AK405&lt;=TODAY(),"DUE",""),"")</f>
        <v/>
      </c>
      <c r="AN405">
        <f>IF(COUNT(O405,P405,Q405,R405,T405,V405,W405,X405,Y405,Z405,AA405,AC405)=0,"",TODAY()-MAX(O405,P405,Q405,R405,T405,V405,W405,X405,Y405,Z405,AA405,AC405))</f>
        <v/>
      </c>
      <c r="AO405">
        <f>IF(AJ405="","",IF(AND(T405&lt;&gt;"",U405&lt;&gt;"Active (verified)"),"GST: escalate (no tax advice)",IF(AND(IFERROR(VALUE(LEFT(AJ405,2)),0)&gt;=5,AH405&lt;&gt;"YES",ISNUMBER(AN405),AN405&gt;SETTINGS!$B$14),"STUCK in onboarding","")))</f>
        <v/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s="10" t="inlineStr"/>
      <c r="P406" s="10" t="inlineStr"/>
      <c r="Q406" s="10" t="inlineStr"/>
      <c r="R406" s="10" t="inlineStr"/>
      <c r="S406" t="inlineStr"/>
      <c r="T406" s="10" t="inlineStr"/>
      <c r="U406" t="inlineStr"/>
      <c r="V406" s="10" t="inlineStr"/>
      <c r="W406" s="10" t="inlineStr"/>
      <c r="X406" s="10" t="inlineStr"/>
      <c r="Y406" s="10" t="inlineStr"/>
      <c r="Z406" s="10" t="inlineStr"/>
      <c r="AA406" s="10" t="inlineStr"/>
      <c r="AB406" t="inlineStr"/>
      <c r="AC406" s="10" t="inlineStr"/>
      <c r="AD406" t="inlineStr"/>
      <c r="AE406" t="inlineStr"/>
      <c r="AF406" s="10" t="inlineStr"/>
      <c r="AG406" t="inlineStr"/>
      <c r="AH406">
        <f>IF(AND(B406="",C406=""),"",IF(AND(X406&lt;&gt;"",Y406&lt;&gt;"",Z406&lt;&gt;"",AA406&lt;&gt;"",AB406="Y"),"YES","no"))</f>
        <v/>
      </c>
      <c r="AI406" s="10">
        <f>IF(AH406="YES",MAX(X406,Y406,Z406,AA406),"")</f>
        <v/>
      </c>
      <c r="AJ406">
        <f>IF(AND(B406="",C406=""),"",IF(OR(S406="Not interested",S406="Opt-out / do not contact"),"X Declined / suppressed",IF(S406="Bounced / undeliverable","X Bounced — research",IF(AC406&lt;&gt;"","13 Transacting",IF(AH406="YES","12 ACTIVATED",IF(Z406&lt;&gt;"","11 Listing live",IF(Y406&lt;&gt;"","10 Profile complete",IF(X406&lt;&gt;"","9 Approved",IF(W406&lt;&gt;"","8 KYC submitted",IF(V406&lt;&gt;"","7 Registered",IF(T406&lt;&gt;"","5 Interested",IF(R406&lt;&gt;"","4 Responded",IF(O406&lt;&gt;"","2 Contacted","1 Not yet contacted")))))))))))))</f>
        <v/>
      </c>
      <c r="AK406" s="10">
        <f>IF(AF406&lt;&gt;"",AF406,IF(OR(O406="",R406&lt;&gt;"",LEFT(AJ406,1)="X"),"",IF(Q406&lt;&gt;"","",IF(P406&lt;&gt;"",P406+SETTINGS!$B$4,O406+SETTINGS!$B$3))))</f>
        <v/>
      </c>
      <c r="AL406">
        <f>IF(AJ406="","",IF(LEFT(AJ406,1)="X","None — do not contact",IF(AJ406="1 Not yet contacted","Verify route today, then send M1",IF(AND(R406="",Q406&lt;&gt;""),"Sequence complete — no contact before "&amp;TEXT(Q406+SETTINGS!$B$5,"yyyy-mm-dd"),IF(AND(R406="",P406&lt;&gt;""),"Send final note (M4)",IF(R406="","Send follow-up (M2)",IF(AJ406="12 ACTIVATED","7-day check-in; consent &amp; referral soft ask",IF(AJ406="13 Transacting","Repeat-activity support","Onboarding: move to next stage (see playbook §6)"))))))))</f>
        <v/>
      </c>
      <c r="AM406">
        <f>IF(ISNUMBER(AK406),IF(AK406&lt;=TODAY(),"DUE",""),"")</f>
        <v/>
      </c>
      <c r="AN406">
        <f>IF(COUNT(O406,P406,Q406,R406,T406,V406,W406,X406,Y406,Z406,AA406,AC406)=0,"",TODAY()-MAX(O406,P406,Q406,R406,T406,V406,W406,X406,Y406,Z406,AA406,AC406))</f>
        <v/>
      </c>
      <c r="AO406">
        <f>IF(AJ406="","",IF(AND(T406&lt;&gt;"",U406&lt;&gt;"Active (verified)"),"GST: escalate (no tax advice)",IF(AND(IFERROR(VALUE(LEFT(AJ406,2)),0)&gt;=5,AH406&lt;&gt;"YES",ISNUMBER(AN406),AN406&gt;SETTINGS!$B$14),"STUCK in onboarding","")))</f>
        <v/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s="10" t="inlineStr"/>
      <c r="P407" s="10" t="inlineStr"/>
      <c r="Q407" s="10" t="inlineStr"/>
      <c r="R407" s="10" t="inlineStr"/>
      <c r="S407" t="inlineStr"/>
      <c r="T407" s="10" t="inlineStr"/>
      <c r="U407" t="inlineStr"/>
      <c r="V407" s="10" t="inlineStr"/>
      <c r="W407" s="10" t="inlineStr"/>
      <c r="X407" s="10" t="inlineStr"/>
      <c r="Y407" s="10" t="inlineStr"/>
      <c r="Z407" s="10" t="inlineStr"/>
      <c r="AA407" s="10" t="inlineStr"/>
      <c r="AB407" t="inlineStr"/>
      <c r="AC407" s="10" t="inlineStr"/>
      <c r="AD407" t="inlineStr"/>
      <c r="AE407" t="inlineStr"/>
      <c r="AF407" s="10" t="inlineStr"/>
      <c r="AG407" t="inlineStr"/>
      <c r="AH407">
        <f>IF(AND(B407="",C407=""),"",IF(AND(X407&lt;&gt;"",Y407&lt;&gt;"",Z407&lt;&gt;"",AA407&lt;&gt;"",AB407="Y"),"YES","no"))</f>
        <v/>
      </c>
      <c r="AI407" s="10">
        <f>IF(AH407="YES",MAX(X407,Y407,Z407,AA407),"")</f>
        <v/>
      </c>
      <c r="AJ407">
        <f>IF(AND(B407="",C407=""),"",IF(OR(S407="Not interested",S407="Opt-out / do not contact"),"X Declined / suppressed",IF(S407="Bounced / undeliverable","X Bounced — research",IF(AC407&lt;&gt;"","13 Transacting",IF(AH407="YES","12 ACTIVATED",IF(Z407&lt;&gt;"","11 Listing live",IF(Y407&lt;&gt;"","10 Profile complete",IF(X407&lt;&gt;"","9 Approved",IF(W407&lt;&gt;"","8 KYC submitted",IF(V407&lt;&gt;"","7 Registered",IF(T407&lt;&gt;"","5 Interested",IF(R407&lt;&gt;"","4 Responded",IF(O407&lt;&gt;"","2 Contacted","1 Not yet contacted")))))))))))))</f>
        <v/>
      </c>
      <c r="AK407" s="10">
        <f>IF(AF407&lt;&gt;"",AF407,IF(OR(O407="",R407&lt;&gt;"",LEFT(AJ407,1)="X"),"",IF(Q407&lt;&gt;"","",IF(P407&lt;&gt;"",P407+SETTINGS!$B$4,O407+SETTINGS!$B$3))))</f>
        <v/>
      </c>
      <c r="AL407">
        <f>IF(AJ407="","",IF(LEFT(AJ407,1)="X","None — do not contact",IF(AJ407="1 Not yet contacted","Verify route today, then send M1",IF(AND(R407="",Q407&lt;&gt;""),"Sequence complete — no contact before "&amp;TEXT(Q407+SETTINGS!$B$5,"yyyy-mm-dd"),IF(AND(R407="",P407&lt;&gt;""),"Send final note (M4)",IF(R407="","Send follow-up (M2)",IF(AJ407="12 ACTIVATED","7-day check-in; consent &amp; referral soft ask",IF(AJ407="13 Transacting","Repeat-activity support","Onboarding: move to next stage (see playbook §6)"))))))))</f>
        <v/>
      </c>
      <c r="AM407">
        <f>IF(ISNUMBER(AK407),IF(AK407&lt;=TODAY(),"DUE",""),"")</f>
        <v/>
      </c>
      <c r="AN407">
        <f>IF(COUNT(O407,P407,Q407,R407,T407,V407,W407,X407,Y407,Z407,AA407,AC407)=0,"",TODAY()-MAX(O407,P407,Q407,R407,T407,V407,W407,X407,Y407,Z407,AA407,AC407))</f>
        <v/>
      </c>
      <c r="AO407">
        <f>IF(AJ407="","",IF(AND(T407&lt;&gt;"",U407&lt;&gt;"Active (verified)"),"GST: escalate (no tax advice)",IF(AND(IFERROR(VALUE(LEFT(AJ407,2)),0)&gt;=5,AH407&lt;&gt;"YES",ISNUMBER(AN407),AN407&gt;SETTINGS!$B$14),"STUCK in onboarding","")))</f>
        <v/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s="10" t="inlineStr"/>
      <c r="P408" s="10" t="inlineStr"/>
      <c r="Q408" s="10" t="inlineStr"/>
      <c r="R408" s="10" t="inlineStr"/>
      <c r="S408" t="inlineStr"/>
      <c r="T408" s="10" t="inlineStr"/>
      <c r="U408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t="inlineStr"/>
      <c r="AC408" s="10" t="inlineStr"/>
      <c r="AD408" t="inlineStr"/>
      <c r="AE408" t="inlineStr"/>
      <c r="AF408" s="10" t="inlineStr"/>
      <c r="AG408" t="inlineStr"/>
      <c r="AH408">
        <f>IF(AND(B408="",C408=""),"",IF(AND(X408&lt;&gt;"",Y408&lt;&gt;"",Z408&lt;&gt;"",AA408&lt;&gt;"",AB408="Y"),"YES","no"))</f>
        <v/>
      </c>
      <c r="AI408" s="10">
        <f>IF(AH408="YES",MAX(X408,Y408,Z408,AA408),"")</f>
        <v/>
      </c>
      <c r="AJ408">
        <f>IF(AND(B408="",C408=""),"",IF(OR(S408="Not interested",S408="Opt-out / do not contact"),"X Declined / suppressed",IF(S408="Bounced / undeliverable","X Bounced — research",IF(AC408&lt;&gt;"","13 Transacting",IF(AH408="YES","12 ACTIVATED",IF(Z408&lt;&gt;"","11 Listing live",IF(Y408&lt;&gt;"","10 Profile complete",IF(X408&lt;&gt;"","9 Approved",IF(W408&lt;&gt;"","8 KYC submitted",IF(V408&lt;&gt;"","7 Registered",IF(T408&lt;&gt;"","5 Interested",IF(R408&lt;&gt;"","4 Responded",IF(O408&lt;&gt;"","2 Contacted","1 Not yet contacted")))))))))))))</f>
        <v/>
      </c>
      <c r="AK408" s="10">
        <f>IF(AF408&lt;&gt;"",AF408,IF(OR(O408="",R408&lt;&gt;"",LEFT(AJ408,1)="X"),"",IF(Q408&lt;&gt;"","",IF(P408&lt;&gt;"",P408+SETTINGS!$B$4,O408+SETTINGS!$B$3))))</f>
        <v/>
      </c>
      <c r="AL408">
        <f>IF(AJ408="","",IF(LEFT(AJ408,1)="X","None — do not contact",IF(AJ408="1 Not yet contacted","Verify route today, then send M1",IF(AND(R408="",Q408&lt;&gt;""),"Sequence complete — no contact before "&amp;TEXT(Q408+SETTINGS!$B$5,"yyyy-mm-dd"),IF(AND(R408="",P408&lt;&gt;""),"Send final note (M4)",IF(R408="","Send follow-up (M2)",IF(AJ408="12 ACTIVATED","7-day check-in; consent &amp; referral soft ask",IF(AJ408="13 Transacting","Repeat-activity support","Onboarding: move to next stage (see playbook §6)"))))))))</f>
        <v/>
      </c>
      <c r="AM408">
        <f>IF(ISNUMBER(AK408),IF(AK408&lt;=TODAY(),"DUE",""),"")</f>
        <v/>
      </c>
      <c r="AN408">
        <f>IF(COUNT(O408,P408,Q408,R408,T408,V408,W408,X408,Y408,Z408,AA408,AC408)=0,"",TODAY()-MAX(O408,P408,Q408,R408,T408,V408,W408,X408,Y408,Z408,AA408,AC408))</f>
        <v/>
      </c>
      <c r="AO408">
        <f>IF(AJ408="","",IF(AND(T408&lt;&gt;"",U408&lt;&gt;"Active (verified)"),"GST: escalate (no tax advice)",IF(AND(IFERROR(VALUE(LEFT(AJ408,2)),0)&gt;=5,AH408&lt;&gt;"YES",ISNUMBER(AN408),AN408&gt;SETTINGS!$B$14),"STUCK in onboarding","")))</f>
        <v/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s="10" t="inlineStr"/>
      <c r="P409" s="10" t="inlineStr"/>
      <c r="Q409" s="10" t="inlineStr"/>
      <c r="R409" s="10" t="inlineStr"/>
      <c r="S409" t="inlineStr"/>
      <c r="T409" s="10" t="inlineStr"/>
      <c r="U409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t="inlineStr"/>
      <c r="AC409" s="10" t="inlineStr"/>
      <c r="AD409" t="inlineStr"/>
      <c r="AE409" t="inlineStr"/>
      <c r="AF409" s="10" t="inlineStr"/>
      <c r="AG409" t="inlineStr"/>
      <c r="AH409">
        <f>IF(AND(B409="",C409=""),"",IF(AND(X409&lt;&gt;"",Y409&lt;&gt;"",Z409&lt;&gt;"",AA409&lt;&gt;"",AB409="Y"),"YES","no"))</f>
        <v/>
      </c>
      <c r="AI409" s="10">
        <f>IF(AH409="YES",MAX(X409,Y409,Z409,AA409),"")</f>
        <v/>
      </c>
      <c r="AJ409">
        <f>IF(AND(B409="",C409=""),"",IF(OR(S409="Not interested",S409="Opt-out / do not contact"),"X Declined / suppressed",IF(S409="Bounced / undeliverable","X Bounced — research",IF(AC409&lt;&gt;"","13 Transacting",IF(AH409="YES","12 ACTIVATED",IF(Z409&lt;&gt;"","11 Listing live",IF(Y409&lt;&gt;"","10 Profile complete",IF(X409&lt;&gt;"","9 Approved",IF(W409&lt;&gt;"","8 KYC submitted",IF(V409&lt;&gt;"","7 Registered",IF(T409&lt;&gt;"","5 Interested",IF(R409&lt;&gt;"","4 Responded",IF(O409&lt;&gt;"","2 Contacted","1 Not yet contacted")))))))))))))</f>
        <v/>
      </c>
      <c r="AK409" s="10">
        <f>IF(AF409&lt;&gt;"",AF409,IF(OR(O409="",R409&lt;&gt;"",LEFT(AJ409,1)="X"),"",IF(Q409&lt;&gt;"","",IF(P409&lt;&gt;"",P409+SETTINGS!$B$4,O409+SETTINGS!$B$3))))</f>
        <v/>
      </c>
      <c r="AL409">
        <f>IF(AJ409="","",IF(LEFT(AJ409,1)="X","None — do not contact",IF(AJ409="1 Not yet contacted","Verify route today, then send M1",IF(AND(R409="",Q409&lt;&gt;""),"Sequence complete — no contact before "&amp;TEXT(Q409+SETTINGS!$B$5,"yyyy-mm-dd"),IF(AND(R409="",P409&lt;&gt;""),"Send final note (M4)",IF(R409="","Send follow-up (M2)",IF(AJ409="12 ACTIVATED","7-day check-in; consent &amp; referral soft ask",IF(AJ409="13 Transacting","Repeat-activity support","Onboarding: move to next stage (see playbook §6)"))))))))</f>
        <v/>
      </c>
      <c r="AM409">
        <f>IF(ISNUMBER(AK409),IF(AK409&lt;=TODAY(),"DUE",""),"")</f>
        <v/>
      </c>
      <c r="AN409">
        <f>IF(COUNT(O409,P409,Q409,R409,T409,V409,W409,X409,Y409,Z409,AA409,AC409)=0,"",TODAY()-MAX(O409,P409,Q409,R409,T409,V409,W409,X409,Y409,Z409,AA409,AC409))</f>
        <v/>
      </c>
      <c r="AO409">
        <f>IF(AJ409="","",IF(AND(T409&lt;&gt;"",U409&lt;&gt;"Active (verified)"),"GST: escalate (no tax advice)",IF(AND(IFERROR(VALUE(LEFT(AJ409,2)),0)&gt;=5,AH409&lt;&gt;"YES",ISNUMBER(AN409),AN409&gt;SETTINGS!$B$14),"STUCK in onboarding","")))</f>
        <v/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s="10" t="inlineStr"/>
      <c r="P410" s="10" t="inlineStr"/>
      <c r="Q410" s="10" t="inlineStr"/>
      <c r="R410" s="10" t="inlineStr"/>
      <c r="S410" t="inlineStr"/>
      <c r="T410" s="10" t="inlineStr"/>
      <c r="U4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t="inlineStr"/>
      <c r="AC410" s="10" t="inlineStr"/>
      <c r="AD410" t="inlineStr"/>
      <c r="AE410" t="inlineStr"/>
      <c r="AF410" s="10" t="inlineStr"/>
      <c r="AG410" t="inlineStr"/>
      <c r="AH410">
        <f>IF(AND(B410="",C410=""),"",IF(AND(X410&lt;&gt;"",Y410&lt;&gt;"",Z410&lt;&gt;"",AA410&lt;&gt;"",AB410="Y"),"YES","no"))</f>
        <v/>
      </c>
      <c r="AI410" s="10">
        <f>IF(AH410="YES",MAX(X410,Y410,Z410,AA410),"")</f>
        <v/>
      </c>
      <c r="AJ410">
        <f>IF(AND(B410="",C410=""),"",IF(OR(S410="Not interested",S410="Opt-out / do not contact"),"X Declined / suppressed",IF(S410="Bounced / undeliverable","X Bounced — research",IF(AC410&lt;&gt;"","13 Transacting",IF(AH410="YES","12 ACTIVATED",IF(Z410&lt;&gt;"","11 Listing live",IF(Y410&lt;&gt;"","10 Profile complete",IF(X410&lt;&gt;"","9 Approved",IF(W410&lt;&gt;"","8 KYC submitted",IF(V410&lt;&gt;"","7 Registered",IF(T410&lt;&gt;"","5 Interested",IF(R410&lt;&gt;"","4 Responded",IF(O410&lt;&gt;"","2 Contacted","1 Not yet contacted")))))))))))))</f>
        <v/>
      </c>
      <c r="AK410" s="10">
        <f>IF(AF410&lt;&gt;"",AF410,IF(OR(O410="",R410&lt;&gt;"",LEFT(AJ410,1)="X"),"",IF(Q410&lt;&gt;"","",IF(P410&lt;&gt;"",P410+SETTINGS!$B$4,O410+SETTINGS!$B$3))))</f>
        <v/>
      </c>
      <c r="AL410">
        <f>IF(AJ410="","",IF(LEFT(AJ410,1)="X","None — do not contact",IF(AJ410="1 Not yet contacted","Verify route today, then send M1",IF(AND(R410="",Q410&lt;&gt;""),"Sequence complete — no contact before "&amp;TEXT(Q410+SETTINGS!$B$5,"yyyy-mm-dd"),IF(AND(R410="",P410&lt;&gt;""),"Send final note (M4)",IF(R410="","Send follow-up (M2)",IF(AJ410="12 ACTIVATED","7-day check-in; consent &amp; referral soft ask",IF(AJ410="13 Transacting","Repeat-activity support","Onboarding: move to next stage (see playbook §6)"))))))))</f>
        <v/>
      </c>
      <c r="AM410">
        <f>IF(ISNUMBER(AK410),IF(AK410&lt;=TODAY(),"DUE",""),"")</f>
        <v/>
      </c>
      <c r="AN410">
        <f>IF(COUNT(O410,P410,Q410,R410,T410,V410,W410,X410,Y410,Z410,AA410,AC410)=0,"",TODAY()-MAX(O410,P410,Q410,R410,T410,V410,W410,X410,Y410,Z410,AA410,AC410))</f>
        <v/>
      </c>
      <c r="AO410">
        <f>IF(AJ410="","",IF(AND(T410&lt;&gt;"",U410&lt;&gt;"Active (verified)"),"GST: escalate (no tax advice)",IF(AND(IFERROR(VALUE(LEFT(AJ410,2)),0)&gt;=5,AH410&lt;&gt;"YES",ISNUMBER(AN410),AN410&gt;SETTINGS!$B$14),"STUCK in onboarding","")))</f>
        <v/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s="10" t="inlineStr"/>
      <c r="P411" s="10" t="inlineStr"/>
      <c r="Q411" s="10" t="inlineStr"/>
      <c r="R411" s="10" t="inlineStr"/>
      <c r="S411" t="inlineStr"/>
      <c r="T411" s="10" t="inlineStr"/>
      <c r="U411" t="inlineStr"/>
      <c r="V411" s="10" t="inlineStr"/>
      <c r="W411" s="10" t="inlineStr"/>
      <c r="X411" s="10" t="inlineStr"/>
      <c r="Y411" s="10" t="inlineStr"/>
      <c r="Z411" s="10" t="inlineStr"/>
      <c r="AA411" s="10" t="inlineStr"/>
      <c r="AB411" t="inlineStr"/>
      <c r="AC411" s="10" t="inlineStr"/>
      <c r="AD411" t="inlineStr"/>
      <c r="AE411" t="inlineStr"/>
      <c r="AF411" s="10" t="inlineStr"/>
      <c r="AG411" t="inlineStr"/>
      <c r="AH411">
        <f>IF(AND(B411="",C411=""),"",IF(AND(X411&lt;&gt;"",Y411&lt;&gt;"",Z411&lt;&gt;"",AA411&lt;&gt;"",AB411="Y"),"YES","no"))</f>
        <v/>
      </c>
      <c r="AI411" s="10">
        <f>IF(AH411="YES",MAX(X411,Y411,Z411,AA411),"")</f>
        <v/>
      </c>
      <c r="AJ411">
        <f>IF(AND(B411="",C411=""),"",IF(OR(S411="Not interested",S411="Opt-out / do not contact"),"X Declined / suppressed",IF(S411="Bounced / undeliverable","X Bounced — research",IF(AC411&lt;&gt;"","13 Transacting",IF(AH411="YES","12 ACTIVATED",IF(Z411&lt;&gt;"","11 Listing live",IF(Y411&lt;&gt;"","10 Profile complete",IF(X411&lt;&gt;"","9 Approved",IF(W411&lt;&gt;"","8 KYC submitted",IF(V411&lt;&gt;"","7 Registered",IF(T411&lt;&gt;"","5 Interested",IF(R411&lt;&gt;"","4 Responded",IF(O411&lt;&gt;"","2 Contacted","1 Not yet contacted")))))))))))))</f>
        <v/>
      </c>
      <c r="AK411" s="10">
        <f>IF(AF411&lt;&gt;"",AF411,IF(OR(O411="",R411&lt;&gt;"",LEFT(AJ411,1)="X"),"",IF(Q411&lt;&gt;"","",IF(P411&lt;&gt;"",P411+SETTINGS!$B$4,O411+SETTINGS!$B$3))))</f>
        <v/>
      </c>
      <c r="AL411">
        <f>IF(AJ411="","",IF(LEFT(AJ411,1)="X","None — do not contact",IF(AJ411="1 Not yet contacted","Verify route today, then send M1",IF(AND(R411="",Q411&lt;&gt;""),"Sequence complete — no contact before "&amp;TEXT(Q411+SETTINGS!$B$5,"yyyy-mm-dd"),IF(AND(R411="",P411&lt;&gt;""),"Send final note (M4)",IF(R411="","Send follow-up (M2)",IF(AJ411="12 ACTIVATED","7-day check-in; consent &amp; referral soft ask",IF(AJ411="13 Transacting","Repeat-activity support","Onboarding: move to next stage (see playbook §6)"))))))))</f>
        <v/>
      </c>
      <c r="AM411">
        <f>IF(ISNUMBER(AK411),IF(AK411&lt;=TODAY(),"DUE",""),"")</f>
        <v/>
      </c>
      <c r="AN411">
        <f>IF(COUNT(O411,P411,Q411,R411,T411,V411,W411,X411,Y411,Z411,AA411,AC411)=0,"",TODAY()-MAX(O411,P411,Q411,R411,T411,V411,W411,X411,Y411,Z411,AA411,AC411))</f>
        <v/>
      </c>
      <c r="AO411">
        <f>IF(AJ411="","",IF(AND(T411&lt;&gt;"",U411&lt;&gt;"Active (verified)"),"GST: escalate (no tax advice)",IF(AND(IFERROR(VALUE(LEFT(AJ411,2)),0)&gt;=5,AH411&lt;&gt;"YES",ISNUMBER(AN411),AN411&gt;SETTINGS!$B$14),"STUCK in onboarding","")))</f>
        <v/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s="10" t="inlineStr"/>
      <c r="P412" s="10" t="inlineStr"/>
      <c r="Q412" s="10" t="inlineStr"/>
      <c r="R412" s="10" t="inlineStr"/>
      <c r="S412" t="inlineStr"/>
      <c r="T412" s="10" t="inlineStr"/>
      <c r="U412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t="inlineStr"/>
      <c r="AC412" s="10" t="inlineStr"/>
      <c r="AD412" t="inlineStr"/>
      <c r="AE412" t="inlineStr"/>
      <c r="AF412" s="10" t="inlineStr"/>
      <c r="AG412" t="inlineStr"/>
      <c r="AH412">
        <f>IF(AND(B412="",C412=""),"",IF(AND(X412&lt;&gt;"",Y412&lt;&gt;"",Z412&lt;&gt;"",AA412&lt;&gt;"",AB412="Y"),"YES","no"))</f>
        <v/>
      </c>
      <c r="AI412" s="10">
        <f>IF(AH412="YES",MAX(X412,Y412,Z412,AA412),"")</f>
        <v/>
      </c>
      <c r="AJ412">
        <f>IF(AND(B412="",C412=""),"",IF(OR(S412="Not interested",S412="Opt-out / do not contact"),"X Declined / suppressed",IF(S412="Bounced / undeliverable","X Bounced — research",IF(AC412&lt;&gt;"","13 Transacting",IF(AH412="YES","12 ACTIVATED",IF(Z412&lt;&gt;"","11 Listing live",IF(Y412&lt;&gt;"","10 Profile complete",IF(X412&lt;&gt;"","9 Approved",IF(W412&lt;&gt;"","8 KYC submitted",IF(V412&lt;&gt;"","7 Registered",IF(T412&lt;&gt;"","5 Interested",IF(R412&lt;&gt;"","4 Responded",IF(O412&lt;&gt;"","2 Contacted","1 Not yet contacted")))))))))))))</f>
        <v/>
      </c>
      <c r="AK412" s="10">
        <f>IF(AF412&lt;&gt;"",AF412,IF(OR(O412="",R412&lt;&gt;"",LEFT(AJ412,1)="X"),"",IF(Q412&lt;&gt;"","",IF(P412&lt;&gt;"",P412+SETTINGS!$B$4,O412+SETTINGS!$B$3))))</f>
        <v/>
      </c>
      <c r="AL412">
        <f>IF(AJ412="","",IF(LEFT(AJ412,1)="X","None — do not contact",IF(AJ412="1 Not yet contacted","Verify route today, then send M1",IF(AND(R412="",Q412&lt;&gt;""),"Sequence complete — no contact before "&amp;TEXT(Q412+SETTINGS!$B$5,"yyyy-mm-dd"),IF(AND(R412="",P412&lt;&gt;""),"Send final note (M4)",IF(R412="","Send follow-up (M2)",IF(AJ412="12 ACTIVATED","7-day check-in; consent &amp; referral soft ask",IF(AJ412="13 Transacting","Repeat-activity support","Onboarding: move to next stage (see playbook §6)"))))))))</f>
        <v/>
      </c>
      <c r="AM412">
        <f>IF(ISNUMBER(AK412),IF(AK412&lt;=TODAY(),"DUE",""),"")</f>
        <v/>
      </c>
      <c r="AN412">
        <f>IF(COUNT(O412,P412,Q412,R412,T412,V412,W412,X412,Y412,Z412,AA412,AC412)=0,"",TODAY()-MAX(O412,P412,Q412,R412,T412,V412,W412,X412,Y412,Z412,AA412,AC412))</f>
        <v/>
      </c>
      <c r="AO412">
        <f>IF(AJ412="","",IF(AND(T412&lt;&gt;"",U412&lt;&gt;"Active (verified)"),"GST: escalate (no tax advice)",IF(AND(IFERROR(VALUE(LEFT(AJ412,2)),0)&gt;=5,AH412&lt;&gt;"YES",ISNUMBER(AN412),AN412&gt;SETTINGS!$B$14),"STUCK in onboarding","")))</f>
        <v/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s="10" t="inlineStr"/>
      <c r="P413" s="10" t="inlineStr"/>
      <c r="Q413" s="10" t="inlineStr"/>
      <c r="R413" s="10" t="inlineStr"/>
      <c r="S413" t="inlineStr"/>
      <c r="T413" s="10" t="inlineStr"/>
      <c r="U413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t="inlineStr"/>
      <c r="AC413" s="10" t="inlineStr"/>
      <c r="AD413" t="inlineStr"/>
      <c r="AE413" t="inlineStr"/>
      <c r="AF413" s="10" t="inlineStr"/>
      <c r="AG413" t="inlineStr"/>
      <c r="AH413">
        <f>IF(AND(B413="",C413=""),"",IF(AND(X413&lt;&gt;"",Y413&lt;&gt;"",Z413&lt;&gt;"",AA413&lt;&gt;"",AB413="Y"),"YES","no"))</f>
        <v/>
      </c>
      <c r="AI413" s="10">
        <f>IF(AH413="YES",MAX(X413,Y413,Z413,AA413),"")</f>
        <v/>
      </c>
      <c r="AJ413">
        <f>IF(AND(B413="",C413=""),"",IF(OR(S413="Not interested",S413="Opt-out / do not contact"),"X Declined / suppressed",IF(S413="Bounced / undeliverable","X Bounced — research",IF(AC413&lt;&gt;"","13 Transacting",IF(AH413="YES","12 ACTIVATED",IF(Z413&lt;&gt;"","11 Listing live",IF(Y413&lt;&gt;"","10 Profile complete",IF(X413&lt;&gt;"","9 Approved",IF(W413&lt;&gt;"","8 KYC submitted",IF(V413&lt;&gt;"","7 Registered",IF(T413&lt;&gt;"","5 Interested",IF(R413&lt;&gt;"","4 Responded",IF(O413&lt;&gt;"","2 Contacted","1 Not yet contacted")))))))))))))</f>
        <v/>
      </c>
      <c r="AK413" s="10">
        <f>IF(AF413&lt;&gt;"",AF413,IF(OR(O413="",R413&lt;&gt;"",LEFT(AJ413,1)="X"),"",IF(Q413&lt;&gt;"","",IF(P413&lt;&gt;"",P413+SETTINGS!$B$4,O413+SETTINGS!$B$3))))</f>
        <v/>
      </c>
      <c r="AL413">
        <f>IF(AJ413="","",IF(LEFT(AJ413,1)="X","None — do not contact",IF(AJ413="1 Not yet contacted","Verify route today, then send M1",IF(AND(R413="",Q413&lt;&gt;""),"Sequence complete — no contact before "&amp;TEXT(Q413+SETTINGS!$B$5,"yyyy-mm-dd"),IF(AND(R413="",P413&lt;&gt;""),"Send final note (M4)",IF(R413="","Send follow-up (M2)",IF(AJ413="12 ACTIVATED","7-day check-in; consent &amp; referral soft ask",IF(AJ413="13 Transacting","Repeat-activity support","Onboarding: move to next stage (see playbook §6)"))))))))</f>
        <v/>
      </c>
      <c r="AM413">
        <f>IF(ISNUMBER(AK413),IF(AK413&lt;=TODAY(),"DUE",""),"")</f>
        <v/>
      </c>
      <c r="AN413">
        <f>IF(COUNT(O413,P413,Q413,R413,T413,V413,W413,X413,Y413,Z413,AA413,AC413)=0,"",TODAY()-MAX(O413,P413,Q413,R413,T413,V413,W413,X413,Y413,Z413,AA413,AC413))</f>
        <v/>
      </c>
      <c r="AO413">
        <f>IF(AJ413="","",IF(AND(T413&lt;&gt;"",U413&lt;&gt;"Active (verified)"),"GST: escalate (no tax advice)",IF(AND(IFERROR(VALUE(LEFT(AJ413,2)),0)&gt;=5,AH413&lt;&gt;"YES",ISNUMBER(AN413),AN413&gt;SETTINGS!$B$14),"STUCK in onboarding","")))</f>
        <v/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s="10" t="inlineStr"/>
      <c r="P414" s="10" t="inlineStr"/>
      <c r="Q414" s="10" t="inlineStr"/>
      <c r="R414" s="10" t="inlineStr"/>
      <c r="S414" t="inlineStr"/>
      <c r="T414" s="10" t="inlineStr"/>
      <c r="U414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t="inlineStr"/>
      <c r="AC414" s="10" t="inlineStr"/>
      <c r="AD414" t="inlineStr"/>
      <c r="AE414" t="inlineStr"/>
      <c r="AF414" s="10" t="inlineStr"/>
      <c r="AG414" t="inlineStr"/>
      <c r="AH414">
        <f>IF(AND(B414="",C414=""),"",IF(AND(X414&lt;&gt;"",Y414&lt;&gt;"",Z414&lt;&gt;"",AA414&lt;&gt;"",AB414="Y"),"YES","no"))</f>
        <v/>
      </c>
      <c r="AI414" s="10">
        <f>IF(AH414="YES",MAX(X414,Y414,Z414,AA414),"")</f>
        <v/>
      </c>
      <c r="AJ414">
        <f>IF(AND(B414="",C414=""),"",IF(OR(S414="Not interested",S414="Opt-out / do not contact"),"X Declined / suppressed",IF(S414="Bounced / undeliverable","X Bounced — research",IF(AC414&lt;&gt;"","13 Transacting",IF(AH414="YES","12 ACTIVATED",IF(Z414&lt;&gt;"","11 Listing live",IF(Y414&lt;&gt;"","10 Profile complete",IF(X414&lt;&gt;"","9 Approved",IF(W414&lt;&gt;"","8 KYC submitted",IF(V414&lt;&gt;"","7 Registered",IF(T414&lt;&gt;"","5 Interested",IF(R414&lt;&gt;"","4 Responded",IF(O414&lt;&gt;"","2 Contacted","1 Not yet contacted")))))))))))))</f>
        <v/>
      </c>
      <c r="AK414" s="10">
        <f>IF(AF414&lt;&gt;"",AF414,IF(OR(O414="",R414&lt;&gt;"",LEFT(AJ414,1)="X"),"",IF(Q414&lt;&gt;"","",IF(P414&lt;&gt;"",P414+SETTINGS!$B$4,O414+SETTINGS!$B$3))))</f>
        <v/>
      </c>
      <c r="AL414">
        <f>IF(AJ414="","",IF(LEFT(AJ414,1)="X","None — do not contact",IF(AJ414="1 Not yet contacted","Verify route today, then send M1",IF(AND(R414="",Q414&lt;&gt;""),"Sequence complete — no contact before "&amp;TEXT(Q414+SETTINGS!$B$5,"yyyy-mm-dd"),IF(AND(R414="",P414&lt;&gt;""),"Send final note (M4)",IF(R414="","Send follow-up (M2)",IF(AJ414="12 ACTIVATED","7-day check-in; consent &amp; referral soft ask",IF(AJ414="13 Transacting","Repeat-activity support","Onboarding: move to next stage (see playbook §6)"))))))))</f>
        <v/>
      </c>
      <c r="AM414">
        <f>IF(ISNUMBER(AK414),IF(AK414&lt;=TODAY(),"DUE",""),"")</f>
        <v/>
      </c>
      <c r="AN414">
        <f>IF(COUNT(O414,P414,Q414,R414,T414,V414,W414,X414,Y414,Z414,AA414,AC414)=0,"",TODAY()-MAX(O414,P414,Q414,R414,T414,V414,W414,X414,Y414,Z414,AA414,AC414))</f>
        <v/>
      </c>
      <c r="AO414">
        <f>IF(AJ414="","",IF(AND(T414&lt;&gt;"",U414&lt;&gt;"Active (verified)"),"GST: escalate (no tax advice)",IF(AND(IFERROR(VALUE(LEFT(AJ414,2)),0)&gt;=5,AH414&lt;&gt;"YES",ISNUMBER(AN414),AN414&gt;SETTINGS!$B$14),"STUCK in onboarding","")))</f>
        <v/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s="10" t="inlineStr"/>
      <c r="P415" s="10" t="inlineStr"/>
      <c r="Q415" s="10" t="inlineStr"/>
      <c r="R415" s="10" t="inlineStr"/>
      <c r="S415" t="inlineStr"/>
      <c r="T415" s="10" t="inlineStr"/>
      <c r="U415" t="inlineStr"/>
      <c r="V415" s="10" t="inlineStr"/>
      <c r="W415" s="10" t="inlineStr"/>
      <c r="X415" s="10" t="inlineStr"/>
      <c r="Y415" s="10" t="inlineStr"/>
      <c r="Z415" s="10" t="inlineStr"/>
      <c r="AA415" s="10" t="inlineStr"/>
      <c r="AB415" t="inlineStr"/>
      <c r="AC415" s="10" t="inlineStr"/>
      <c r="AD415" t="inlineStr"/>
      <c r="AE415" t="inlineStr"/>
      <c r="AF415" s="10" t="inlineStr"/>
      <c r="AG415" t="inlineStr"/>
      <c r="AH415">
        <f>IF(AND(B415="",C415=""),"",IF(AND(X415&lt;&gt;"",Y415&lt;&gt;"",Z415&lt;&gt;"",AA415&lt;&gt;"",AB415="Y"),"YES","no"))</f>
        <v/>
      </c>
      <c r="AI415" s="10">
        <f>IF(AH415="YES",MAX(X415,Y415,Z415,AA415),"")</f>
        <v/>
      </c>
      <c r="AJ415">
        <f>IF(AND(B415="",C415=""),"",IF(OR(S415="Not interested",S415="Opt-out / do not contact"),"X Declined / suppressed",IF(S415="Bounced / undeliverable","X Bounced — research",IF(AC415&lt;&gt;"","13 Transacting",IF(AH415="YES","12 ACTIVATED",IF(Z415&lt;&gt;"","11 Listing live",IF(Y415&lt;&gt;"","10 Profile complete",IF(X415&lt;&gt;"","9 Approved",IF(W415&lt;&gt;"","8 KYC submitted",IF(V415&lt;&gt;"","7 Registered",IF(T415&lt;&gt;"","5 Interested",IF(R415&lt;&gt;"","4 Responded",IF(O415&lt;&gt;"","2 Contacted","1 Not yet contacted")))))))))))))</f>
        <v/>
      </c>
      <c r="AK415" s="10">
        <f>IF(AF415&lt;&gt;"",AF415,IF(OR(O415="",R415&lt;&gt;"",LEFT(AJ415,1)="X"),"",IF(Q415&lt;&gt;"","",IF(P415&lt;&gt;"",P415+SETTINGS!$B$4,O415+SETTINGS!$B$3))))</f>
        <v/>
      </c>
      <c r="AL415">
        <f>IF(AJ415="","",IF(LEFT(AJ415,1)="X","None — do not contact",IF(AJ415="1 Not yet contacted","Verify route today, then send M1",IF(AND(R415="",Q415&lt;&gt;""),"Sequence complete — no contact before "&amp;TEXT(Q415+SETTINGS!$B$5,"yyyy-mm-dd"),IF(AND(R415="",P415&lt;&gt;""),"Send final note (M4)",IF(R415="","Send follow-up (M2)",IF(AJ415="12 ACTIVATED","7-day check-in; consent &amp; referral soft ask",IF(AJ415="13 Transacting","Repeat-activity support","Onboarding: move to next stage (see playbook §6)"))))))))</f>
        <v/>
      </c>
      <c r="AM415">
        <f>IF(ISNUMBER(AK415),IF(AK415&lt;=TODAY(),"DUE",""),"")</f>
        <v/>
      </c>
      <c r="AN415">
        <f>IF(COUNT(O415,P415,Q415,R415,T415,V415,W415,X415,Y415,Z415,AA415,AC415)=0,"",TODAY()-MAX(O415,P415,Q415,R415,T415,V415,W415,X415,Y415,Z415,AA415,AC415))</f>
        <v/>
      </c>
      <c r="AO415">
        <f>IF(AJ415="","",IF(AND(T415&lt;&gt;"",U415&lt;&gt;"Active (verified)"),"GST: escalate (no tax advice)",IF(AND(IFERROR(VALUE(LEFT(AJ415,2)),0)&gt;=5,AH415&lt;&gt;"YES",ISNUMBER(AN415),AN415&gt;SETTINGS!$B$14),"STUCK in onboarding","")))</f>
        <v/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s="10" t="inlineStr"/>
      <c r="P416" s="10" t="inlineStr"/>
      <c r="Q416" s="10" t="inlineStr"/>
      <c r="R416" s="10" t="inlineStr"/>
      <c r="S416" t="inlineStr"/>
      <c r="T416" s="10" t="inlineStr"/>
      <c r="U416" t="inlineStr"/>
      <c r="V416" s="10" t="inlineStr"/>
      <c r="W416" s="10" t="inlineStr"/>
      <c r="X416" s="10" t="inlineStr"/>
      <c r="Y416" s="10" t="inlineStr"/>
      <c r="Z416" s="10" t="inlineStr"/>
      <c r="AA416" s="10" t="inlineStr"/>
      <c r="AB416" t="inlineStr"/>
      <c r="AC416" s="10" t="inlineStr"/>
      <c r="AD416" t="inlineStr"/>
      <c r="AE416" t="inlineStr"/>
      <c r="AF416" s="10" t="inlineStr"/>
      <c r="AG416" t="inlineStr"/>
      <c r="AH416">
        <f>IF(AND(B416="",C416=""),"",IF(AND(X416&lt;&gt;"",Y416&lt;&gt;"",Z416&lt;&gt;"",AA416&lt;&gt;"",AB416="Y"),"YES","no"))</f>
        <v/>
      </c>
      <c r="AI416" s="10">
        <f>IF(AH416="YES",MAX(X416,Y416,Z416,AA416),"")</f>
        <v/>
      </c>
      <c r="AJ416">
        <f>IF(AND(B416="",C416=""),"",IF(OR(S416="Not interested",S416="Opt-out / do not contact"),"X Declined / suppressed",IF(S416="Bounced / undeliverable","X Bounced — research",IF(AC416&lt;&gt;"","13 Transacting",IF(AH416="YES","12 ACTIVATED",IF(Z416&lt;&gt;"","11 Listing live",IF(Y416&lt;&gt;"","10 Profile complete",IF(X416&lt;&gt;"","9 Approved",IF(W416&lt;&gt;"","8 KYC submitted",IF(V416&lt;&gt;"","7 Registered",IF(T416&lt;&gt;"","5 Interested",IF(R416&lt;&gt;"","4 Responded",IF(O416&lt;&gt;"","2 Contacted","1 Not yet contacted")))))))))))))</f>
        <v/>
      </c>
      <c r="AK416" s="10">
        <f>IF(AF416&lt;&gt;"",AF416,IF(OR(O416="",R416&lt;&gt;"",LEFT(AJ416,1)="X"),"",IF(Q416&lt;&gt;"","",IF(P416&lt;&gt;"",P416+SETTINGS!$B$4,O416+SETTINGS!$B$3))))</f>
        <v/>
      </c>
      <c r="AL416">
        <f>IF(AJ416="","",IF(LEFT(AJ416,1)="X","None — do not contact",IF(AJ416="1 Not yet contacted","Verify route today, then send M1",IF(AND(R416="",Q416&lt;&gt;""),"Sequence complete — no contact before "&amp;TEXT(Q416+SETTINGS!$B$5,"yyyy-mm-dd"),IF(AND(R416="",P416&lt;&gt;""),"Send final note (M4)",IF(R416="","Send follow-up (M2)",IF(AJ416="12 ACTIVATED","7-day check-in; consent &amp; referral soft ask",IF(AJ416="13 Transacting","Repeat-activity support","Onboarding: move to next stage (see playbook §6)"))))))))</f>
        <v/>
      </c>
      <c r="AM416">
        <f>IF(ISNUMBER(AK416),IF(AK416&lt;=TODAY(),"DUE",""),"")</f>
        <v/>
      </c>
      <c r="AN416">
        <f>IF(COUNT(O416,P416,Q416,R416,T416,V416,W416,X416,Y416,Z416,AA416,AC416)=0,"",TODAY()-MAX(O416,P416,Q416,R416,T416,V416,W416,X416,Y416,Z416,AA416,AC416))</f>
        <v/>
      </c>
      <c r="AO416">
        <f>IF(AJ416="","",IF(AND(T416&lt;&gt;"",U416&lt;&gt;"Active (verified)"),"GST: escalate (no tax advice)",IF(AND(IFERROR(VALUE(LEFT(AJ416,2)),0)&gt;=5,AH416&lt;&gt;"YES",ISNUMBER(AN416),AN416&gt;SETTINGS!$B$14),"STUCK in onboarding","")))</f>
        <v/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s="10" t="inlineStr"/>
      <c r="P417" s="10" t="inlineStr"/>
      <c r="Q417" s="10" t="inlineStr"/>
      <c r="R417" s="10" t="inlineStr"/>
      <c r="S417" t="inlineStr"/>
      <c r="T417" s="10" t="inlineStr"/>
      <c r="U417" t="inlineStr"/>
      <c r="V417" s="10" t="inlineStr"/>
      <c r="W417" s="10" t="inlineStr"/>
      <c r="X417" s="10" t="inlineStr"/>
      <c r="Y417" s="10" t="inlineStr"/>
      <c r="Z417" s="10" t="inlineStr"/>
      <c r="AA417" s="10" t="inlineStr"/>
      <c r="AB417" t="inlineStr"/>
      <c r="AC417" s="10" t="inlineStr"/>
      <c r="AD417" t="inlineStr"/>
      <c r="AE417" t="inlineStr"/>
      <c r="AF417" s="10" t="inlineStr"/>
      <c r="AG417" t="inlineStr"/>
      <c r="AH417">
        <f>IF(AND(B417="",C417=""),"",IF(AND(X417&lt;&gt;"",Y417&lt;&gt;"",Z417&lt;&gt;"",AA417&lt;&gt;"",AB417="Y"),"YES","no"))</f>
        <v/>
      </c>
      <c r="AI417" s="10">
        <f>IF(AH417="YES",MAX(X417,Y417,Z417,AA417),"")</f>
        <v/>
      </c>
      <c r="AJ417">
        <f>IF(AND(B417="",C417=""),"",IF(OR(S417="Not interested",S417="Opt-out / do not contact"),"X Declined / suppressed",IF(S417="Bounced / undeliverable","X Bounced — research",IF(AC417&lt;&gt;"","13 Transacting",IF(AH417="YES","12 ACTIVATED",IF(Z417&lt;&gt;"","11 Listing live",IF(Y417&lt;&gt;"","10 Profile complete",IF(X417&lt;&gt;"","9 Approved",IF(W417&lt;&gt;"","8 KYC submitted",IF(V417&lt;&gt;"","7 Registered",IF(T417&lt;&gt;"","5 Interested",IF(R417&lt;&gt;"","4 Responded",IF(O417&lt;&gt;"","2 Contacted","1 Not yet contacted")))))))))))))</f>
        <v/>
      </c>
      <c r="AK417" s="10">
        <f>IF(AF417&lt;&gt;"",AF417,IF(OR(O417="",R417&lt;&gt;"",LEFT(AJ417,1)="X"),"",IF(Q417&lt;&gt;"","",IF(P417&lt;&gt;"",P417+SETTINGS!$B$4,O417+SETTINGS!$B$3))))</f>
        <v/>
      </c>
      <c r="AL417">
        <f>IF(AJ417="","",IF(LEFT(AJ417,1)="X","None — do not contact",IF(AJ417="1 Not yet contacted","Verify route today, then send M1",IF(AND(R417="",Q417&lt;&gt;""),"Sequence complete — no contact before "&amp;TEXT(Q417+SETTINGS!$B$5,"yyyy-mm-dd"),IF(AND(R417="",P417&lt;&gt;""),"Send final note (M4)",IF(R417="","Send follow-up (M2)",IF(AJ417="12 ACTIVATED","7-day check-in; consent &amp; referral soft ask",IF(AJ417="13 Transacting","Repeat-activity support","Onboarding: move to next stage (see playbook §6)"))))))))</f>
        <v/>
      </c>
      <c r="AM417">
        <f>IF(ISNUMBER(AK417),IF(AK417&lt;=TODAY(),"DUE",""),"")</f>
        <v/>
      </c>
      <c r="AN417">
        <f>IF(COUNT(O417,P417,Q417,R417,T417,V417,W417,X417,Y417,Z417,AA417,AC417)=0,"",TODAY()-MAX(O417,P417,Q417,R417,T417,V417,W417,X417,Y417,Z417,AA417,AC417))</f>
        <v/>
      </c>
      <c r="AO417">
        <f>IF(AJ417="","",IF(AND(T417&lt;&gt;"",U417&lt;&gt;"Active (verified)"),"GST: escalate (no tax advice)",IF(AND(IFERROR(VALUE(LEFT(AJ417,2)),0)&gt;=5,AH417&lt;&gt;"YES",ISNUMBER(AN417),AN417&gt;SETTINGS!$B$14),"STUCK in onboarding","")))</f>
        <v/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s="10" t="inlineStr"/>
      <c r="P418" s="10" t="inlineStr"/>
      <c r="Q418" s="10" t="inlineStr"/>
      <c r="R418" s="10" t="inlineStr"/>
      <c r="S418" t="inlineStr"/>
      <c r="T418" s="10" t="inlineStr"/>
      <c r="U418" t="inlineStr"/>
      <c r="V418" s="10" t="inlineStr"/>
      <c r="W418" s="10" t="inlineStr"/>
      <c r="X418" s="10" t="inlineStr"/>
      <c r="Y418" s="10" t="inlineStr"/>
      <c r="Z418" s="10" t="inlineStr"/>
      <c r="AA418" s="10" t="inlineStr"/>
      <c r="AB418" t="inlineStr"/>
      <c r="AC418" s="10" t="inlineStr"/>
      <c r="AD418" t="inlineStr"/>
      <c r="AE418" t="inlineStr"/>
      <c r="AF418" s="10" t="inlineStr"/>
      <c r="AG418" t="inlineStr"/>
      <c r="AH418">
        <f>IF(AND(B418="",C418=""),"",IF(AND(X418&lt;&gt;"",Y418&lt;&gt;"",Z418&lt;&gt;"",AA418&lt;&gt;"",AB418="Y"),"YES","no"))</f>
        <v/>
      </c>
      <c r="AI418" s="10">
        <f>IF(AH418="YES",MAX(X418,Y418,Z418,AA418),"")</f>
        <v/>
      </c>
      <c r="AJ418">
        <f>IF(AND(B418="",C418=""),"",IF(OR(S418="Not interested",S418="Opt-out / do not contact"),"X Declined / suppressed",IF(S418="Bounced / undeliverable","X Bounced — research",IF(AC418&lt;&gt;"","13 Transacting",IF(AH418="YES","12 ACTIVATED",IF(Z418&lt;&gt;"","11 Listing live",IF(Y418&lt;&gt;"","10 Profile complete",IF(X418&lt;&gt;"","9 Approved",IF(W418&lt;&gt;"","8 KYC submitted",IF(V418&lt;&gt;"","7 Registered",IF(T418&lt;&gt;"","5 Interested",IF(R418&lt;&gt;"","4 Responded",IF(O418&lt;&gt;"","2 Contacted","1 Not yet contacted")))))))))))))</f>
        <v/>
      </c>
      <c r="AK418" s="10">
        <f>IF(AF418&lt;&gt;"",AF418,IF(OR(O418="",R418&lt;&gt;"",LEFT(AJ418,1)="X"),"",IF(Q418&lt;&gt;"","",IF(P418&lt;&gt;"",P418+SETTINGS!$B$4,O418+SETTINGS!$B$3))))</f>
        <v/>
      </c>
      <c r="AL418">
        <f>IF(AJ418="","",IF(LEFT(AJ418,1)="X","None — do not contact",IF(AJ418="1 Not yet contacted","Verify route today, then send M1",IF(AND(R418="",Q418&lt;&gt;""),"Sequence complete — no contact before "&amp;TEXT(Q418+SETTINGS!$B$5,"yyyy-mm-dd"),IF(AND(R418="",P418&lt;&gt;""),"Send final note (M4)",IF(R418="","Send follow-up (M2)",IF(AJ418="12 ACTIVATED","7-day check-in; consent &amp; referral soft ask",IF(AJ418="13 Transacting","Repeat-activity support","Onboarding: move to next stage (see playbook §6)"))))))))</f>
        <v/>
      </c>
      <c r="AM418">
        <f>IF(ISNUMBER(AK418),IF(AK418&lt;=TODAY(),"DUE",""),"")</f>
        <v/>
      </c>
      <c r="AN418">
        <f>IF(COUNT(O418,P418,Q418,R418,T418,V418,W418,X418,Y418,Z418,AA418,AC418)=0,"",TODAY()-MAX(O418,P418,Q418,R418,T418,V418,W418,X418,Y418,Z418,AA418,AC418))</f>
        <v/>
      </c>
      <c r="AO418">
        <f>IF(AJ418="","",IF(AND(T418&lt;&gt;"",U418&lt;&gt;"Active (verified)"),"GST: escalate (no tax advice)",IF(AND(IFERROR(VALUE(LEFT(AJ418,2)),0)&gt;=5,AH418&lt;&gt;"YES",ISNUMBER(AN418),AN418&gt;SETTINGS!$B$14),"STUCK in onboarding","")))</f>
        <v/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s="10" t="inlineStr"/>
      <c r="P419" s="10" t="inlineStr"/>
      <c r="Q419" s="10" t="inlineStr"/>
      <c r="R419" s="10" t="inlineStr"/>
      <c r="S419" t="inlineStr"/>
      <c r="T419" s="10" t="inlineStr"/>
      <c r="U419" t="inlineStr"/>
      <c r="V419" s="10" t="inlineStr"/>
      <c r="W419" s="10" t="inlineStr"/>
      <c r="X419" s="10" t="inlineStr"/>
      <c r="Y419" s="10" t="inlineStr"/>
      <c r="Z419" s="10" t="inlineStr"/>
      <c r="AA419" s="10" t="inlineStr"/>
      <c r="AB419" t="inlineStr"/>
      <c r="AC419" s="10" t="inlineStr"/>
      <c r="AD419" t="inlineStr"/>
      <c r="AE419" t="inlineStr"/>
      <c r="AF419" s="10" t="inlineStr"/>
      <c r="AG419" t="inlineStr"/>
      <c r="AH419">
        <f>IF(AND(B419="",C419=""),"",IF(AND(X419&lt;&gt;"",Y419&lt;&gt;"",Z419&lt;&gt;"",AA419&lt;&gt;"",AB419="Y"),"YES","no"))</f>
        <v/>
      </c>
      <c r="AI419" s="10">
        <f>IF(AH419="YES",MAX(X419,Y419,Z419,AA419),"")</f>
        <v/>
      </c>
      <c r="AJ419">
        <f>IF(AND(B419="",C419=""),"",IF(OR(S419="Not interested",S419="Opt-out / do not contact"),"X Declined / suppressed",IF(S419="Bounced / undeliverable","X Bounced — research",IF(AC419&lt;&gt;"","13 Transacting",IF(AH419="YES","12 ACTIVATED",IF(Z419&lt;&gt;"","11 Listing live",IF(Y419&lt;&gt;"","10 Profile complete",IF(X419&lt;&gt;"","9 Approved",IF(W419&lt;&gt;"","8 KYC submitted",IF(V419&lt;&gt;"","7 Registered",IF(T419&lt;&gt;"","5 Interested",IF(R419&lt;&gt;"","4 Responded",IF(O419&lt;&gt;"","2 Contacted","1 Not yet contacted")))))))))))))</f>
        <v/>
      </c>
      <c r="AK419" s="10">
        <f>IF(AF419&lt;&gt;"",AF419,IF(OR(O419="",R419&lt;&gt;"",LEFT(AJ419,1)="X"),"",IF(Q419&lt;&gt;"","",IF(P419&lt;&gt;"",P419+SETTINGS!$B$4,O419+SETTINGS!$B$3))))</f>
        <v/>
      </c>
      <c r="AL419">
        <f>IF(AJ419="","",IF(LEFT(AJ419,1)="X","None — do not contact",IF(AJ419="1 Not yet contacted","Verify route today, then send M1",IF(AND(R419="",Q419&lt;&gt;""),"Sequence complete — no contact before "&amp;TEXT(Q419+SETTINGS!$B$5,"yyyy-mm-dd"),IF(AND(R419="",P419&lt;&gt;""),"Send final note (M4)",IF(R419="","Send follow-up (M2)",IF(AJ419="12 ACTIVATED","7-day check-in; consent &amp; referral soft ask",IF(AJ419="13 Transacting","Repeat-activity support","Onboarding: move to next stage (see playbook §6)"))))))))</f>
        <v/>
      </c>
      <c r="AM419">
        <f>IF(ISNUMBER(AK419),IF(AK419&lt;=TODAY(),"DUE",""),"")</f>
        <v/>
      </c>
      <c r="AN419">
        <f>IF(COUNT(O419,P419,Q419,R419,T419,V419,W419,X419,Y419,Z419,AA419,AC419)=0,"",TODAY()-MAX(O419,P419,Q419,R419,T419,V419,W419,X419,Y419,Z419,AA419,AC419))</f>
        <v/>
      </c>
      <c r="AO419">
        <f>IF(AJ419="","",IF(AND(T419&lt;&gt;"",U419&lt;&gt;"Active (verified)"),"GST: escalate (no tax advice)",IF(AND(IFERROR(VALUE(LEFT(AJ419,2)),0)&gt;=5,AH419&lt;&gt;"YES",ISNUMBER(AN419),AN419&gt;SETTINGS!$B$14),"STUCK in onboarding","")))</f>
        <v/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s="10" t="inlineStr"/>
      <c r="P420" s="10" t="inlineStr"/>
      <c r="Q420" s="10" t="inlineStr"/>
      <c r="R420" s="10" t="inlineStr"/>
      <c r="S420" t="inlineStr"/>
      <c r="T420" s="10" t="inlineStr"/>
      <c r="U420" t="inlineStr"/>
      <c r="V420" s="10" t="inlineStr"/>
      <c r="W420" s="10" t="inlineStr"/>
      <c r="X420" s="10" t="inlineStr"/>
      <c r="Y420" s="10" t="inlineStr"/>
      <c r="Z420" s="10" t="inlineStr"/>
      <c r="AA420" s="10" t="inlineStr"/>
      <c r="AB420" t="inlineStr"/>
      <c r="AC420" s="10" t="inlineStr"/>
      <c r="AD420" t="inlineStr"/>
      <c r="AE420" t="inlineStr"/>
      <c r="AF420" s="10" t="inlineStr"/>
      <c r="AG420" t="inlineStr"/>
      <c r="AH420">
        <f>IF(AND(B420="",C420=""),"",IF(AND(X420&lt;&gt;"",Y420&lt;&gt;"",Z420&lt;&gt;"",AA420&lt;&gt;"",AB420="Y"),"YES","no"))</f>
        <v/>
      </c>
      <c r="AI420" s="10">
        <f>IF(AH420="YES",MAX(X420,Y420,Z420,AA420),"")</f>
        <v/>
      </c>
      <c r="AJ420">
        <f>IF(AND(B420="",C420=""),"",IF(OR(S420="Not interested",S420="Opt-out / do not contact"),"X Declined / suppressed",IF(S420="Bounced / undeliverable","X Bounced — research",IF(AC420&lt;&gt;"","13 Transacting",IF(AH420="YES","12 ACTIVATED",IF(Z420&lt;&gt;"","11 Listing live",IF(Y420&lt;&gt;"","10 Profile complete",IF(X420&lt;&gt;"","9 Approved",IF(W420&lt;&gt;"","8 KYC submitted",IF(V420&lt;&gt;"","7 Registered",IF(T420&lt;&gt;"","5 Interested",IF(R420&lt;&gt;"","4 Responded",IF(O420&lt;&gt;"","2 Contacted","1 Not yet contacted")))))))))))))</f>
        <v/>
      </c>
      <c r="AK420" s="10">
        <f>IF(AF420&lt;&gt;"",AF420,IF(OR(O420="",R420&lt;&gt;"",LEFT(AJ420,1)="X"),"",IF(Q420&lt;&gt;"","",IF(P420&lt;&gt;"",P420+SETTINGS!$B$4,O420+SETTINGS!$B$3))))</f>
        <v/>
      </c>
      <c r="AL420">
        <f>IF(AJ420="","",IF(LEFT(AJ420,1)="X","None — do not contact",IF(AJ420="1 Not yet contacted","Verify route today, then send M1",IF(AND(R420="",Q420&lt;&gt;""),"Sequence complete — no contact before "&amp;TEXT(Q420+SETTINGS!$B$5,"yyyy-mm-dd"),IF(AND(R420="",P420&lt;&gt;""),"Send final note (M4)",IF(R420="","Send follow-up (M2)",IF(AJ420="12 ACTIVATED","7-day check-in; consent &amp; referral soft ask",IF(AJ420="13 Transacting","Repeat-activity support","Onboarding: move to next stage (see playbook §6)"))))))))</f>
        <v/>
      </c>
      <c r="AM420">
        <f>IF(ISNUMBER(AK420),IF(AK420&lt;=TODAY(),"DUE",""),"")</f>
        <v/>
      </c>
      <c r="AN420">
        <f>IF(COUNT(O420,P420,Q420,R420,T420,V420,W420,X420,Y420,Z420,AA420,AC420)=0,"",TODAY()-MAX(O420,P420,Q420,R420,T420,V420,W420,X420,Y420,Z420,AA420,AC420))</f>
        <v/>
      </c>
      <c r="AO420">
        <f>IF(AJ420="","",IF(AND(T420&lt;&gt;"",U420&lt;&gt;"Active (verified)"),"GST: escalate (no tax advice)",IF(AND(IFERROR(VALUE(LEFT(AJ420,2)),0)&gt;=5,AH420&lt;&gt;"YES",ISNUMBER(AN420),AN420&gt;SETTINGS!$B$14),"STUCK in onboarding","")))</f>
        <v/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s="10" t="inlineStr"/>
      <c r="P421" s="10" t="inlineStr"/>
      <c r="Q421" s="10" t="inlineStr"/>
      <c r="R421" s="10" t="inlineStr"/>
      <c r="S421" t="inlineStr"/>
      <c r="T421" s="10" t="inlineStr"/>
      <c r="U421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t="inlineStr"/>
      <c r="AC421" s="10" t="inlineStr"/>
      <c r="AD421" t="inlineStr"/>
      <c r="AE421" t="inlineStr"/>
      <c r="AF421" s="10" t="inlineStr"/>
      <c r="AG421" t="inlineStr"/>
      <c r="AH421">
        <f>IF(AND(B421="",C421=""),"",IF(AND(X421&lt;&gt;"",Y421&lt;&gt;"",Z421&lt;&gt;"",AA421&lt;&gt;"",AB421="Y"),"YES","no"))</f>
        <v/>
      </c>
      <c r="AI421" s="10">
        <f>IF(AH421="YES",MAX(X421,Y421,Z421,AA421),"")</f>
        <v/>
      </c>
      <c r="AJ421">
        <f>IF(AND(B421="",C421=""),"",IF(OR(S421="Not interested",S421="Opt-out / do not contact"),"X Declined / suppressed",IF(S421="Bounced / undeliverable","X Bounced — research",IF(AC421&lt;&gt;"","13 Transacting",IF(AH421="YES","12 ACTIVATED",IF(Z421&lt;&gt;"","11 Listing live",IF(Y421&lt;&gt;"","10 Profile complete",IF(X421&lt;&gt;"","9 Approved",IF(W421&lt;&gt;"","8 KYC submitted",IF(V421&lt;&gt;"","7 Registered",IF(T421&lt;&gt;"","5 Interested",IF(R421&lt;&gt;"","4 Responded",IF(O421&lt;&gt;"","2 Contacted","1 Not yet contacted")))))))))))))</f>
        <v/>
      </c>
      <c r="AK421" s="10">
        <f>IF(AF421&lt;&gt;"",AF421,IF(OR(O421="",R421&lt;&gt;"",LEFT(AJ421,1)="X"),"",IF(Q421&lt;&gt;"","",IF(P421&lt;&gt;"",P421+SETTINGS!$B$4,O421+SETTINGS!$B$3))))</f>
        <v/>
      </c>
      <c r="AL421">
        <f>IF(AJ421="","",IF(LEFT(AJ421,1)="X","None — do not contact",IF(AJ421="1 Not yet contacted","Verify route today, then send M1",IF(AND(R421="",Q421&lt;&gt;""),"Sequence complete — no contact before "&amp;TEXT(Q421+SETTINGS!$B$5,"yyyy-mm-dd"),IF(AND(R421="",P421&lt;&gt;""),"Send final note (M4)",IF(R421="","Send follow-up (M2)",IF(AJ421="12 ACTIVATED","7-day check-in; consent &amp; referral soft ask",IF(AJ421="13 Transacting","Repeat-activity support","Onboarding: move to next stage (see playbook §6)"))))))))</f>
        <v/>
      </c>
      <c r="AM421">
        <f>IF(ISNUMBER(AK421),IF(AK421&lt;=TODAY(),"DUE",""),"")</f>
        <v/>
      </c>
      <c r="AN421">
        <f>IF(COUNT(O421,P421,Q421,R421,T421,V421,W421,X421,Y421,Z421,AA421,AC421)=0,"",TODAY()-MAX(O421,P421,Q421,R421,T421,V421,W421,X421,Y421,Z421,AA421,AC421))</f>
        <v/>
      </c>
      <c r="AO421">
        <f>IF(AJ421="","",IF(AND(T421&lt;&gt;"",U421&lt;&gt;"Active (verified)"),"GST: escalate (no tax advice)",IF(AND(IFERROR(VALUE(LEFT(AJ421,2)),0)&gt;=5,AH421&lt;&gt;"YES",ISNUMBER(AN421),AN421&gt;SETTINGS!$B$14),"STUCK in onboarding","")))</f>
        <v/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s="10" t="inlineStr"/>
      <c r="P422" s="10" t="inlineStr"/>
      <c r="Q422" s="10" t="inlineStr"/>
      <c r="R422" s="10" t="inlineStr"/>
      <c r="S422" t="inlineStr"/>
      <c r="T422" s="10" t="inlineStr"/>
      <c r="U422" t="inlineStr"/>
      <c r="V422" s="10" t="inlineStr"/>
      <c r="W422" s="10" t="inlineStr"/>
      <c r="X422" s="10" t="inlineStr"/>
      <c r="Y422" s="10" t="inlineStr"/>
      <c r="Z422" s="10" t="inlineStr"/>
      <c r="AA422" s="10" t="inlineStr"/>
      <c r="AB422" t="inlineStr"/>
      <c r="AC422" s="10" t="inlineStr"/>
      <c r="AD422" t="inlineStr"/>
      <c r="AE422" t="inlineStr"/>
      <c r="AF422" s="10" t="inlineStr"/>
      <c r="AG422" t="inlineStr"/>
      <c r="AH422">
        <f>IF(AND(B422="",C422=""),"",IF(AND(X422&lt;&gt;"",Y422&lt;&gt;"",Z422&lt;&gt;"",AA422&lt;&gt;"",AB422="Y"),"YES","no"))</f>
        <v/>
      </c>
      <c r="AI422" s="10">
        <f>IF(AH422="YES",MAX(X422,Y422,Z422,AA422),"")</f>
        <v/>
      </c>
      <c r="AJ422">
        <f>IF(AND(B422="",C422=""),"",IF(OR(S422="Not interested",S422="Opt-out / do not contact"),"X Declined / suppressed",IF(S422="Bounced / undeliverable","X Bounced — research",IF(AC422&lt;&gt;"","13 Transacting",IF(AH422="YES","12 ACTIVATED",IF(Z422&lt;&gt;"","11 Listing live",IF(Y422&lt;&gt;"","10 Profile complete",IF(X422&lt;&gt;"","9 Approved",IF(W422&lt;&gt;"","8 KYC submitted",IF(V422&lt;&gt;"","7 Registered",IF(T422&lt;&gt;"","5 Interested",IF(R422&lt;&gt;"","4 Responded",IF(O422&lt;&gt;"","2 Contacted","1 Not yet contacted")))))))))))))</f>
        <v/>
      </c>
      <c r="AK422" s="10">
        <f>IF(AF422&lt;&gt;"",AF422,IF(OR(O422="",R422&lt;&gt;"",LEFT(AJ422,1)="X"),"",IF(Q422&lt;&gt;"","",IF(P422&lt;&gt;"",P422+SETTINGS!$B$4,O422+SETTINGS!$B$3))))</f>
        <v/>
      </c>
      <c r="AL422">
        <f>IF(AJ422="","",IF(LEFT(AJ422,1)="X","None — do not contact",IF(AJ422="1 Not yet contacted","Verify route today, then send M1",IF(AND(R422="",Q422&lt;&gt;""),"Sequence complete — no contact before "&amp;TEXT(Q422+SETTINGS!$B$5,"yyyy-mm-dd"),IF(AND(R422="",P422&lt;&gt;""),"Send final note (M4)",IF(R422="","Send follow-up (M2)",IF(AJ422="12 ACTIVATED","7-day check-in; consent &amp; referral soft ask",IF(AJ422="13 Transacting","Repeat-activity support","Onboarding: move to next stage (see playbook §6)"))))))))</f>
        <v/>
      </c>
      <c r="AM422">
        <f>IF(ISNUMBER(AK422),IF(AK422&lt;=TODAY(),"DUE",""),"")</f>
        <v/>
      </c>
      <c r="AN422">
        <f>IF(COUNT(O422,P422,Q422,R422,T422,V422,W422,X422,Y422,Z422,AA422,AC422)=0,"",TODAY()-MAX(O422,P422,Q422,R422,T422,V422,W422,X422,Y422,Z422,AA422,AC422))</f>
        <v/>
      </c>
      <c r="AO422">
        <f>IF(AJ422="","",IF(AND(T422&lt;&gt;"",U422&lt;&gt;"Active (verified)"),"GST: escalate (no tax advice)",IF(AND(IFERROR(VALUE(LEFT(AJ422,2)),0)&gt;=5,AH422&lt;&gt;"YES",ISNUMBER(AN422),AN422&gt;SETTINGS!$B$14),"STUCK in onboarding","")))</f>
        <v/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s="10" t="inlineStr"/>
      <c r="P423" s="10" t="inlineStr"/>
      <c r="Q423" s="10" t="inlineStr"/>
      <c r="R423" s="10" t="inlineStr"/>
      <c r="S423" t="inlineStr"/>
      <c r="T423" s="10" t="inlineStr"/>
      <c r="U423" t="inlineStr"/>
      <c r="V423" s="10" t="inlineStr"/>
      <c r="W423" s="10" t="inlineStr"/>
      <c r="X423" s="10" t="inlineStr"/>
      <c r="Y423" s="10" t="inlineStr"/>
      <c r="Z423" s="10" t="inlineStr"/>
      <c r="AA423" s="10" t="inlineStr"/>
      <c r="AB423" t="inlineStr"/>
      <c r="AC423" s="10" t="inlineStr"/>
      <c r="AD423" t="inlineStr"/>
      <c r="AE423" t="inlineStr"/>
      <c r="AF423" s="10" t="inlineStr"/>
      <c r="AG423" t="inlineStr"/>
      <c r="AH423">
        <f>IF(AND(B423="",C423=""),"",IF(AND(X423&lt;&gt;"",Y423&lt;&gt;"",Z423&lt;&gt;"",AA423&lt;&gt;"",AB423="Y"),"YES","no"))</f>
        <v/>
      </c>
      <c r="AI423" s="10">
        <f>IF(AH423="YES",MAX(X423,Y423,Z423,AA423),"")</f>
        <v/>
      </c>
      <c r="AJ423">
        <f>IF(AND(B423="",C423=""),"",IF(OR(S423="Not interested",S423="Opt-out / do not contact"),"X Declined / suppressed",IF(S423="Bounced / undeliverable","X Bounced — research",IF(AC423&lt;&gt;"","13 Transacting",IF(AH423="YES","12 ACTIVATED",IF(Z423&lt;&gt;"","11 Listing live",IF(Y423&lt;&gt;"","10 Profile complete",IF(X423&lt;&gt;"","9 Approved",IF(W423&lt;&gt;"","8 KYC submitted",IF(V423&lt;&gt;"","7 Registered",IF(T423&lt;&gt;"","5 Interested",IF(R423&lt;&gt;"","4 Responded",IF(O423&lt;&gt;"","2 Contacted","1 Not yet contacted")))))))))))))</f>
        <v/>
      </c>
      <c r="AK423" s="10">
        <f>IF(AF423&lt;&gt;"",AF423,IF(OR(O423="",R423&lt;&gt;"",LEFT(AJ423,1)="X"),"",IF(Q423&lt;&gt;"","",IF(P423&lt;&gt;"",P423+SETTINGS!$B$4,O423+SETTINGS!$B$3))))</f>
        <v/>
      </c>
      <c r="AL423">
        <f>IF(AJ423="","",IF(LEFT(AJ423,1)="X","None — do not contact",IF(AJ423="1 Not yet contacted","Verify route today, then send M1",IF(AND(R423="",Q423&lt;&gt;""),"Sequence complete — no contact before "&amp;TEXT(Q423+SETTINGS!$B$5,"yyyy-mm-dd"),IF(AND(R423="",P423&lt;&gt;""),"Send final note (M4)",IF(R423="","Send follow-up (M2)",IF(AJ423="12 ACTIVATED","7-day check-in; consent &amp; referral soft ask",IF(AJ423="13 Transacting","Repeat-activity support","Onboarding: move to next stage (see playbook §6)"))))))))</f>
        <v/>
      </c>
      <c r="AM423">
        <f>IF(ISNUMBER(AK423),IF(AK423&lt;=TODAY(),"DUE",""),"")</f>
        <v/>
      </c>
      <c r="AN423">
        <f>IF(COUNT(O423,P423,Q423,R423,T423,V423,W423,X423,Y423,Z423,AA423,AC423)=0,"",TODAY()-MAX(O423,P423,Q423,R423,T423,V423,W423,X423,Y423,Z423,AA423,AC423))</f>
        <v/>
      </c>
      <c r="AO423">
        <f>IF(AJ423="","",IF(AND(T423&lt;&gt;"",U423&lt;&gt;"Active (verified)"),"GST: escalate (no tax advice)",IF(AND(IFERROR(VALUE(LEFT(AJ423,2)),0)&gt;=5,AH423&lt;&gt;"YES",ISNUMBER(AN423),AN423&gt;SETTINGS!$B$14),"STUCK in onboarding","")))</f>
        <v/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s="10" t="inlineStr"/>
      <c r="P424" s="10" t="inlineStr"/>
      <c r="Q424" s="10" t="inlineStr"/>
      <c r="R424" s="10" t="inlineStr"/>
      <c r="S424" t="inlineStr"/>
      <c r="T424" s="10" t="inlineStr"/>
      <c r="U424" t="inlineStr"/>
      <c r="V424" s="10" t="inlineStr"/>
      <c r="W424" s="10" t="inlineStr"/>
      <c r="X424" s="10" t="inlineStr"/>
      <c r="Y424" s="10" t="inlineStr"/>
      <c r="Z424" s="10" t="inlineStr"/>
      <c r="AA424" s="10" t="inlineStr"/>
      <c r="AB424" t="inlineStr"/>
      <c r="AC424" s="10" t="inlineStr"/>
      <c r="AD424" t="inlineStr"/>
      <c r="AE424" t="inlineStr"/>
      <c r="AF424" s="10" t="inlineStr"/>
      <c r="AG424" t="inlineStr"/>
      <c r="AH424">
        <f>IF(AND(B424="",C424=""),"",IF(AND(X424&lt;&gt;"",Y424&lt;&gt;"",Z424&lt;&gt;"",AA424&lt;&gt;"",AB424="Y"),"YES","no"))</f>
        <v/>
      </c>
      <c r="AI424" s="10">
        <f>IF(AH424="YES",MAX(X424,Y424,Z424,AA424),"")</f>
        <v/>
      </c>
      <c r="AJ424">
        <f>IF(AND(B424="",C424=""),"",IF(OR(S424="Not interested",S424="Opt-out / do not contact"),"X Declined / suppressed",IF(S424="Bounced / undeliverable","X Bounced — research",IF(AC424&lt;&gt;"","13 Transacting",IF(AH424="YES","12 ACTIVATED",IF(Z424&lt;&gt;"","11 Listing live",IF(Y424&lt;&gt;"","10 Profile complete",IF(X424&lt;&gt;"","9 Approved",IF(W424&lt;&gt;"","8 KYC submitted",IF(V424&lt;&gt;"","7 Registered",IF(T424&lt;&gt;"","5 Interested",IF(R424&lt;&gt;"","4 Responded",IF(O424&lt;&gt;"","2 Contacted","1 Not yet contacted")))))))))))))</f>
        <v/>
      </c>
      <c r="AK424" s="10">
        <f>IF(AF424&lt;&gt;"",AF424,IF(OR(O424="",R424&lt;&gt;"",LEFT(AJ424,1)="X"),"",IF(Q424&lt;&gt;"","",IF(P424&lt;&gt;"",P424+SETTINGS!$B$4,O424+SETTINGS!$B$3))))</f>
        <v/>
      </c>
      <c r="AL424">
        <f>IF(AJ424="","",IF(LEFT(AJ424,1)="X","None — do not contact",IF(AJ424="1 Not yet contacted","Verify route today, then send M1",IF(AND(R424="",Q424&lt;&gt;""),"Sequence complete — no contact before "&amp;TEXT(Q424+SETTINGS!$B$5,"yyyy-mm-dd"),IF(AND(R424="",P424&lt;&gt;""),"Send final note (M4)",IF(R424="","Send follow-up (M2)",IF(AJ424="12 ACTIVATED","7-day check-in; consent &amp; referral soft ask",IF(AJ424="13 Transacting","Repeat-activity support","Onboarding: move to next stage (see playbook §6)"))))))))</f>
        <v/>
      </c>
      <c r="AM424">
        <f>IF(ISNUMBER(AK424),IF(AK424&lt;=TODAY(),"DUE",""),"")</f>
        <v/>
      </c>
      <c r="AN424">
        <f>IF(COUNT(O424,P424,Q424,R424,T424,V424,W424,X424,Y424,Z424,AA424,AC424)=0,"",TODAY()-MAX(O424,P424,Q424,R424,T424,V424,W424,X424,Y424,Z424,AA424,AC424))</f>
        <v/>
      </c>
      <c r="AO424">
        <f>IF(AJ424="","",IF(AND(T424&lt;&gt;"",U424&lt;&gt;"Active (verified)"),"GST: escalate (no tax advice)",IF(AND(IFERROR(VALUE(LEFT(AJ424,2)),0)&gt;=5,AH424&lt;&gt;"YES",ISNUMBER(AN424),AN424&gt;SETTINGS!$B$14),"STUCK in onboarding","")))</f>
        <v/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s="10" t="inlineStr"/>
      <c r="P425" s="10" t="inlineStr"/>
      <c r="Q425" s="10" t="inlineStr"/>
      <c r="R425" s="10" t="inlineStr"/>
      <c r="S425" t="inlineStr"/>
      <c r="T425" s="10" t="inlineStr"/>
      <c r="U425" t="inlineStr"/>
      <c r="V425" s="10" t="inlineStr"/>
      <c r="W425" s="10" t="inlineStr"/>
      <c r="X425" s="10" t="inlineStr"/>
      <c r="Y425" s="10" t="inlineStr"/>
      <c r="Z425" s="10" t="inlineStr"/>
      <c r="AA425" s="10" t="inlineStr"/>
      <c r="AB425" t="inlineStr"/>
      <c r="AC425" s="10" t="inlineStr"/>
      <c r="AD425" t="inlineStr"/>
      <c r="AE425" t="inlineStr"/>
      <c r="AF425" s="10" t="inlineStr"/>
      <c r="AG425" t="inlineStr"/>
      <c r="AH425">
        <f>IF(AND(B425="",C425=""),"",IF(AND(X425&lt;&gt;"",Y425&lt;&gt;"",Z425&lt;&gt;"",AA425&lt;&gt;"",AB425="Y"),"YES","no"))</f>
        <v/>
      </c>
      <c r="AI425" s="10">
        <f>IF(AH425="YES",MAX(X425,Y425,Z425,AA425),"")</f>
        <v/>
      </c>
      <c r="AJ425">
        <f>IF(AND(B425="",C425=""),"",IF(OR(S425="Not interested",S425="Opt-out / do not contact"),"X Declined / suppressed",IF(S425="Bounced / undeliverable","X Bounced — research",IF(AC425&lt;&gt;"","13 Transacting",IF(AH425="YES","12 ACTIVATED",IF(Z425&lt;&gt;"","11 Listing live",IF(Y425&lt;&gt;"","10 Profile complete",IF(X425&lt;&gt;"","9 Approved",IF(W425&lt;&gt;"","8 KYC submitted",IF(V425&lt;&gt;"","7 Registered",IF(T425&lt;&gt;"","5 Interested",IF(R425&lt;&gt;"","4 Responded",IF(O425&lt;&gt;"","2 Contacted","1 Not yet contacted")))))))))))))</f>
        <v/>
      </c>
      <c r="AK425" s="10">
        <f>IF(AF425&lt;&gt;"",AF425,IF(OR(O425="",R425&lt;&gt;"",LEFT(AJ425,1)="X"),"",IF(Q425&lt;&gt;"","",IF(P425&lt;&gt;"",P425+SETTINGS!$B$4,O425+SETTINGS!$B$3))))</f>
        <v/>
      </c>
      <c r="AL425">
        <f>IF(AJ425="","",IF(LEFT(AJ425,1)="X","None — do not contact",IF(AJ425="1 Not yet contacted","Verify route today, then send M1",IF(AND(R425="",Q425&lt;&gt;""),"Sequence complete — no contact before "&amp;TEXT(Q425+SETTINGS!$B$5,"yyyy-mm-dd"),IF(AND(R425="",P425&lt;&gt;""),"Send final note (M4)",IF(R425="","Send follow-up (M2)",IF(AJ425="12 ACTIVATED","7-day check-in; consent &amp; referral soft ask",IF(AJ425="13 Transacting","Repeat-activity support","Onboarding: move to next stage (see playbook §6)"))))))))</f>
        <v/>
      </c>
      <c r="AM425">
        <f>IF(ISNUMBER(AK425),IF(AK425&lt;=TODAY(),"DUE",""),"")</f>
        <v/>
      </c>
      <c r="AN425">
        <f>IF(COUNT(O425,P425,Q425,R425,T425,V425,W425,X425,Y425,Z425,AA425,AC425)=0,"",TODAY()-MAX(O425,P425,Q425,R425,T425,V425,W425,X425,Y425,Z425,AA425,AC425))</f>
        <v/>
      </c>
      <c r="AO425">
        <f>IF(AJ425="","",IF(AND(T425&lt;&gt;"",U425&lt;&gt;"Active (verified)"),"GST: escalate (no tax advice)",IF(AND(IFERROR(VALUE(LEFT(AJ425,2)),0)&gt;=5,AH425&lt;&gt;"YES",ISNUMBER(AN425),AN425&gt;SETTINGS!$B$14),"STUCK in onboarding","")))</f>
        <v/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s="10" t="inlineStr"/>
      <c r="P426" s="10" t="inlineStr"/>
      <c r="Q426" s="10" t="inlineStr"/>
      <c r="R426" s="10" t="inlineStr"/>
      <c r="S426" t="inlineStr"/>
      <c r="T426" s="10" t="inlineStr"/>
      <c r="U426" t="inlineStr"/>
      <c r="V426" s="10" t="inlineStr"/>
      <c r="W426" s="10" t="inlineStr"/>
      <c r="X426" s="10" t="inlineStr"/>
      <c r="Y426" s="10" t="inlineStr"/>
      <c r="Z426" s="10" t="inlineStr"/>
      <c r="AA426" s="10" t="inlineStr"/>
      <c r="AB426" t="inlineStr"/>
      <c r="AC426" s="10" t="inlineStr"/>
      <c r="AD426" t="inlineStr"/>
      <c r="AE426" t="inlineStr"/>
      <c r="AF426" s="10" t="inlineStr"/>
      <c r="AG426" t="inlineStr"/>
      <c r="AH426">
        <f>IF(AND(B426="",C426=""),"",IF(AND(X426&lt;&gt;"",Y426&lt;&gt;"",Z426&lt;&gt;"",AA426&lt;&gt;"",AB426="Y"),"YES","no"))</f>
        <v/>
      </c>
      <c r="AI426" s="10">
        <f>IF(AH426="YES",MAX(X426,Y426,Z426,AA426),"")</f>
        <v/>
      </c>
      <c r="AJ426">
        <f>IF(AND(B426="",C426=""),"",IF(OR(S426="Not interested",S426="Opt-out / do not contact"),"X Declined / suppressed",IF(S426="Bounced / undeliverable","X Bounced — research",IF(AC426&lt;&gt;"","13 Transacting",IF(AH426="YES","12 ACTIVATED",IF(Z426&lt;&gt;"","11 Listing live",IF(Y426&lt;&gt;"","10 Profile complete",IF(X426&lt;&gt;"","9 Approved",IF(W426&lt;&gt;"","8 KYC submitted",IF(V426&lt;&gt;"","7 Registered",IF(T426&lt;&gt;"","5 Interested",IF(R426&lt;&gt;"","4 Responded",IF(O426&lt;&gt;"","2 Contacted","1 Not yet contacted")))))))))))))</f>
        <v/>
      </c>
      <c r="AK426" s="10">
        <f>IF(AF426&lt;&gt;"",AF426,IF(OR(O426="",R426&lt;&gt;"",LEFT(AJ426,1)="X"),"",IF(Q426&lt;&gt;"","",IF(P426&lt;&gt;"",P426+SETTINGS!$B$4,O426+SETTINGS!$B$3))))</f>
        <v/>
      </c>
      <c r="AL426">
        <f>IF(AJ426="","",IF(LEFT(AJ426,1)="X","None — do not contact",IF(AJ426="1 Not yet contacted","Verify route today, then send M1",IF(AND(R426="",Q426&lt;&gt;""),"Sequence complete — no contact before "&amp;TEXT(Q426+SETTINGS!$B$5,"yyyy-mm-dd"),IF(AND(R426="",P426&lt;&gt;""),"Send final note (M4)",IF(R426="","Send follow-up (M2)",IF(AJ426="12 ACTIVATED","7-day check-in; consent &amp; referral soft ask",IF(AJ426="13 Transacting","Repeat-activity support","Onboarding: move to next stage (see playbook §6)"))))))))</f>
        <v/>
      </c>
      <c r="AM426">
        <f>IF(ISNUMBER(AK426),IF(AK426&lt;=TODAY(),"DUE",""),"")</f>
        <v/>
      </c>
      <c r="AN426">
        <f>IF(COUNT(O426,P426,Q426,R426,T426,V426,W426,X426,Y426,Z426,AA426,AC426)=0,"",TODAY()-MAX(O426,P426,Q426,R426,T426,V426,W426,X426,Y426,Z426,AA426,AC426))</f>
        <v/>
      </c>
      <c r="AO426">
        <f>IF(AJ426="","",IF(AND(T426&lt;&gt;"",U426&lt;&gt;"Active (verified)"),"GST: escalate (no tax advice)",IF(AND(IFERROR(VALUE(LEFT(AJ426,2)),0)&gt;=5,AH426&lt;&gt;"YES",ISNUMBER(AN426),AN426&gt;SETTINGS!$B$14),"STUCK in onboarding","")))</f>
        <v/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s="10" t="inlineStr"/>
      <c r="P427" s="10" t="inlineStr"/>
      <c r="Q427" s="10" t="inlineStr"/>
      <c r="R427" s="10" t="inlineStr"/>
      <c r="S427" t="inlineStr"/>
      <c r="T427" s="10" t="inlineStr"/>
      <c r="U427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t="inlineStr"/>
      <c r="AC427" s="10" t="inlineStr"/>
      <c r="AD427" t="inlineStr"/>
      <c r="AE427" t="inlineStr"/>
      <c r="AF427" s="10" t="inlineStr"/>
      <c r="AG427" t="inlineStr"/>
      <c r="AH427">
        <f>IF(AND(B427="",C427=""),"",IF(AND(X427&lt;&gt;"",Y427&lt;&gt;"",Z427&lt;&gt;"",AA427&lt;&gt;"",AB427="Y"),"YES","no"))</f>
        <v/>
      </c>
      <c r="AI427" s="10">
        <f>IF(AH427="YES",MAX(X427,Y427,Z427,AA427),"")</f>
        <v/>
      </c>
      <c r="AJ427">
        <f>IF(AND(B427="",C427=""),"",IF(OR(S427="Not interested",S427="Opt-out / do not contact"),"X Declined / suppressed",IF(S427="Bounced / undeliverable","X Bounced — research",IF(AC427&lt;&gt;"","13 Transacting",IF(AH427="YES","12 ACTIVATED",IF(Z427&lt;&gt;"","11 Listing live",IF(Y427&lt;&gt;"","10 Profile complete",IF(X427&lt;&gt;"","9 Approved",IF(W427&lt;&gt;"","8 KYC submitted",IF(V427&lt;&gt;"","7 Registered",IF(T427&lt;&gt;"","5 Interested",IF(R427&lt;&gt;"","4 Responded",IF(O427&lt;&gt;"","2 Contacted","1 Not yet contacted")))))))))))))</f>
        <v/>
      </c>
      <c r="AK427" s="10">
        <f>IF(AF427&lt;&gt;"",AF427,IF(OR(O427="",R427&lt;&gt;"",LEFT(AJ427,1)="X"),"",IF(Q427&lt;&gt;"","",IF(P427&lt;&gt;"",P427+SETTINGS!$B$4,O427+SETTINGS!$B$3))))</f>
        <v/>
      </c>
      <c r="AL427">
        <f>IF(AJ427="","",IF(LEFT(AJ427,1)="X","None — do not contact",IF(AJ427="1 Not yet contacted","Verify route today, then send M1",IF(AND(R427="",Q427&lt;&gt;""),"Sequence complete — no contact before "&amp;TEXT(Q427+SETTINGS!$B$5,"yyyy-mm-dd"),IF(AND(R427="",P427&lt;&gt;""),"Send final note (M4)",IF(R427="","Send follow-up (M2)",IF(AJ427="12 ACTIVATED","7-day check-in; consent &amp; referral soft ask",IF(AJ427="13 Transacting","Repeat-activity support","Onboarding: move to next stage (see playbook §6)"))))))))</f>
        <v/>
      </c>
      <c r="AM427">
        <f>IF(ISNUMBER(AK427),IF(AK427&lt;=TODAY(),"DUE",""),"")</f>
        <v/>
      </c>
      <c r="AN427">
        <f>IF(COUNT(O427,P427,Q427,R427,T427,V427,W427,X427,Y427,Z427,AA427,AC427)=0,"",TODAY()-MAX(O427,P427,Q427,R427,T427,V427,W427,X427,Y427,Z427,AA427,AC427))</f>
        <v/>
      </c>
      <c r="AO427">
        <f>IF(AJ427="","",IF(AND(T427&lt;&gt;"",U427&lt;&gt;"Active (verified)"),"GST: escalate (no tax advice)",IF(AND(IFERROR(VALUE(LEFT(AJ427,2)),0)&gt;=5,AH427&lt;&gt;"YES",ISNUMBER(AN427),AN427&gt;SETTINGS!$B$14),"STUCK in onboarding","")))</f>
        <v/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s="10" t="inlineStr"/>
      <c r="P428" s="10" t="inlineStr"/>
      <c r="Q428" s="10" t="inlineStr"/>
      <c r="R428" s="10" t="inlineStr"/>
      <c r="S428" t="inlineStr"/>
      <c r="T428" s="10" t="inlineStr"/>
      <c r="U428" t="inlineStr"/>
      <c r="V428" s="10" t="inlineStr"/>
      <c r="W428" s="10" t="inlineStr"/>
      <c r="X428" s="10" t="inlineStr"/>
      <c r="Y428" s="10" t="inlineStr"/>
      <c r="Z428" s="10" t="inlineStr"/>
      <c r="AA428" s="10" t="inlineStr"/>
      <c r="AB428" t="inlineStr"/>
      <c r="AC428" s="10" t="inlineStr"/>
      <c r="AD428" t="inlineStr"/>
      <c r="AE428" t="inlineStr"/>
      <c r="AF428" s="10" t="inlineStr"/>
      <c r="AG428" t="inlineStr"/>
      <c r="AH428">
        <f>IF(AND(B428="",C428=""),"",IF(AND(X428&lt;&gt;"",Y428&lt;&gt;"",Z428&lt;&gt;"",AA428&lt;&gt;"",AB428="Y"),"YES","no"))</f>
        <v/>
      </c>
      <c r="AI428" s="10">
        <f>IF(AH428="YES",MAX(X428,Y428,Z428,AA428),"")</f>
        <v/>
      </c>
      <c r="AJ428">
        <f>IF(AND(B428="",C428=""),"",IF(OR(S428="Not interested",S428="Opt-out / do not contact"),"X Declined / suppressed",IF(S428="Bounced / undeliverable","X Bounced — research",IF(AC428&lt;&gt;"","13 Transacting",IF(AH428="YES","12 ACTIVATED",IF(Z428&lt;&gt;"","11 Listing live",IF(Y428&lt;&gt;"","10 Profile complete",IF(X428&lt;&gt;"","9 Approved",IF(W428&lt;&gt;"","8 KYC submitted",IF(V428&lt;&gt;"","7 Registered",IF(T428&lt;&gt;"","5 Interested",IF(R428&lt;&gt;"","4 Responded",IF(O428&lt;&gt;"","2 Contacted","1 Not yet contacted")))))))))))))</f>
        <v/>
      </c>
      <c r="AK428" s="10">
        <f>IF(AF428&lt;&gt;"",AF428,IF(OR(O428="",R428&lt;&gt;"",LEFT(AJ428,1)="X"),"",IF(Q428&lt;&gt;"","",IF(P428&lt;&gt;"",P428+SETTINGS!$B$4,O428+SETTINGS!$B$3))))</f>
        <v/>
      </c>
      <c r="AL428">
        <f>IF(AJ428="","",IF(LEFT(AJ428,1)="X","None — do not contact",IF(AJ428="1 Not yet contacted","Verify route today, then send M1",IF(AND(R428="",Q428&lt;&gt;""),"Sequence complete — no contact before "&amp;TEXT(Q428+SETTINGS!$B$5,"yyyy-mm-dd"),IF(AND(R428="",P428&lt;&gt;""),"Send final note (M4)",IF(R428="","Send follow-up (M2)",IF(AJ428="12 ACTIVATED","7-day check-in; consent &amp; referral soft ask",IF(AJ428="13 Transacting","Repeat-activity support","Onboarding: move to next stage (see playbook §6)"))))))))</f>
        <v/>
      </c>
      <c r="AM428">
        <f>IF(ISNUMBER(AK428),IF(AK428&lt;=TODAY(),"DUE",""),"")</f>
        <v/>
      </c>
      <c r="AN428">
        <f>IF(COUNT(O428,P428,Q428,R428,T428,V428,W428,X428,Y428,Z428,AA428,AC428)=0,"",TODAY()-MAX(O428,P428,Q428,R428,T428,V428,W428,X428,Y428,Z428,AA428,AC428))</f>
        <v/>
      </c>
      <c r="AO428">
        <f>IF(AJ428="","",IF(AND(T428&lt;&gt;"",U428&lt;&gt;"Active (verified)"),"GST: escalate (no tax advice)",IF(AND(IFERROR(VALUE(LEFT(AJ428,2)),0)&gt;=5,AH428&lt;&gt;"YES",ISNUMBER(AN428),AN428&gt;SETTINGS!$B$14),"STUCK in onboarding","")))</f>
        <v/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s="10" t="inlineStr"/>
      <c r="P429" s="10" t="inlineStr"/>
      <c r="Q429" s="10" t="inlineStr"/>
      <c r="R429" s="10" t="inlineStr"/>
      <c r="S429" t="inlineStr"/>
      <c r="T429" s="10" t="inlineStr"/>
      <c r="U429" t="inlineStr"/>
      <c r="V429" s="10" t="inlineStr"/>
      <c r="W429" s="10" t="inlineStr"/>
      <c r="X429" s="10" t="inlineStr"/>
      <c r="Y429" s="10" t="inlineStr"/>
      <c r="Z429" s="10" t="inlineStr"/>
      <c r="AA429" s="10" t="inlineStr"/>
      <c r="AB429" t="inlineStr"/>
      <c r="AC429" s="10" t="inlineStr"/>
      <c r="AD429" t="inlineStr"/>
      <c r="AE429" t="inlineStr"/>
      <c r="AF429" s="10" t="inlineStr"/>
      <c r="AG429" t="inlineStr"/>
      <c r="AH429">
        <f>IF(AND(B429="",C429=""),"",IF(AND(X429&lt;&gt;"",Y429&lt;&gt;"",Z429&lt;&gt;"",AA429&lt;&gt;"",AB429="Y"),"YES","no"))</f>
        <v/>
      </c>
      <c r="AI429" s="10">
        <f>IF(AH429="YES",MAX(X429,Y429,Z429,AA429),"")</f>
        <v/>
      </c>
      <c r="AJ429">
        <f>IF(AND(B429="",C429=""),"",IF(OR(S429="Not interested",S429="Opt-out / do not contact"),"X Declined / suppressed",IF(S429="Bounced / undeliverable","X Bounced — research",IF(AC429&lt;&gt;"","13 Transacting",IF(AH429="YES","12 ACTIVATED",IF(Z429&lt;&gt;"","11 Listing live",IF(Y429&lt;&gt;"","10 Profile complete",IF(X429&lt;&gt;"","9 Approved",IF(W429&lt;&gt;"","8 KYC submitted",IF(V429&lt;&gt;"","7 Registered",IF(T429&lt;&gt;"","5 Interested",IF(R429&lt;&gt;"","4 Responded",IF(O429&lt;&gt;"","2 Contacted","1 Not yet contacted")))))))))))))</f>
        <v/>
      </c>
      <c r="AK429" s="10">
        <f>IF(AF429&lt;&gt;"",AF429,IF(OR(O429="",R429&lt;&gt;"",LEFT(AJ429,1)="X"),"",IF(Q429&lt;&gt;"","",IF(P429&lt;&gt;"",P429+SETTINGS!$B$4,O429+SETTINGS!$B$3))))</f>
        <v/>
      </c>
      <c r="AL429">
        <f>IF(AJ429="","",IF(LEFT(AJ429,1)="X","None — do not contact",IF(AJ429="1 Not yet contacted","Verify route today, then send M1",IF(AND(R429="",Q429&lt;&gt;""),"Sequence complete — no contact before "&amp;TEXT(Q429+SETTINGS!$B$5,"yyyy-mm-dd"),IF(AND(R429="",P429&lt;&gt;""),"Send final note (M4)",IF(R429="","Send follow-up (M2)",IF(AJ429="12 ACTIVATED","7-day check-in; consent &amp; referral soft ask",IF(AJ429="13 Transacting","Repeat-activity support","Onboarding: move to next stage (see playbook §6)"))))))))</f>
        <v/>
      </c>
      <c r="AM429">
        <f>IF(ISNUMBER(AK429),IF(AK429&lt;=TODAY(),"DUE",""),"")</f>
        <v/>
      </c>
      <c r="AN429">
        <f>IF(COUNT(O429,P429,Q429,R429,T429,V429,W429,X429,Y429,Z429,AA429,AC429)=0,"",TODAY()-MAX(O429,P429,Q429,R429,T429,V429,W429,X429,Y429,Z429,AA429,AC429))</f>
        <v/>
      </c>
      <c r="AO429">
        <f>IF(AJ429="","",IF(AND(T429&lt;&gt;"",U429&lt;&gt;"Active (verified)"),"GST: escalate (no tax advice)",IF(AND(IFERROR(VALUE(LEFT(AJ429,2)),0)&gt;=5,AH429&lt;&gt;"YES",ISNUMBER(AN429),AN429&gt;SETTINGS!$B$14),"STUCK in onboarding","")))</f>
        <v/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s="10" t="inlineStr"/>
      <c r="P430" s="10" t="inlineStr"/>
      <c r="Q430" s="10" t="inlineStr"/>
      <c r="R430" s="10" t="inlineStr"/>
      <c r="S430" t="inlineStr"/>
      <c r="T430" s="10" t="inlineStr"/>
      <c r="U430" t="inlineStr"/>
      <c r="V430" s="10" t="inlineStr"/>
      <c r="W430" s="10" t="inlineStr"/>
      <c r="X430" s="10" t="inlineStr"/>
      <c r="Y430" s="10" t="inlineStr"/>
      <c r="Z430" s="10" t="inlineStr"/>
      <c r="AA430" s="10" t="inlineStr"/>
      <c r="AB430" t="inlineStr"/>
      <c r="AC430" s="10" t="inlineStr"/>
      <c r="AD430" t="inlineStr"/>
      <c r="AE430" t="inlineStr"/>
      <c r="AF430" s="10" t="inlineStr"/>
      <c r="AG430" t="inlineStr"/>
      <c r="AH430">
        <f>IF(AND(B430="",C430=""),"",IF(AND(X430&lt;&gt;"",Y430&lt;&gt;"",Z430&lt;&gt;"",AA430&lt;&gt;"",AB430="Y"),"YES","no"))</f>
        <v/>
      </c>
      <c r="AI430" s="10">
        <f>IF(AH430="YES",MAX(X430,Y430,Z430,AA430),"")</f>
        <v/>
      </c>
      <c r="AJ430">
        <f>IF(AND(B430="",C430=""),"",IF(OR(S430="Not interested",S430="Opt-out / do not contact"),"X Declined / suppressed",IF(S430="Bounced / undeliverable","X Bounced — research",IF(AC430&lt;&gt;"","13 Transacting",IF(AH430="YES","12 ACTIVATED",IF(Z430&lt;&gt;"","11 Listing live",IF(Y430&lt;&gt;"","10 Profile complete",IF(X430&lt;&gt;"","9 Approved",IF(W430&lt;&gt;"","8 KYC submitted",IF(V430&lt;&gt;"","7 Registered",IF(T430&lt;&gt;"","5 Interested",IF(R430&lt;&gt;"","4 Responded",IF(O430&lt;&gt;"","2 Contacted","1 Not yet contacted")))))))))))))</f>
        <v/>
      </c>
      <c r="AK430" s="10">
        <f>IF(AF430&lt;&gt;"",AF430,IF(OR(O430="",R430&lt;&gt;"",LEFT(AJ430,1)="X"),"",IF(Q430&lt;&gt;"","",IF(P430&lt;&gt;"",P430+SETTINGS!$B$4,O430+SETTINGS!$B$3))))</f>
        <v/>
      </c>
      <c r="AL430">
        <f>IF(AJ430="","",IF(LEFT(AJ430,1)="X","None — do not contact",IF(AJ430="1 Not yet contacted","Verify route today, then send M1",IF(AND(R430="",Q430&lt;&gt;""),"Sequence complete — no contact before "&amp;TEXT(Q430+SETTINGS!$B$5,"yyyy-mm-dd"),IF(AND(R430="",P430&lt;&gt;""),"Send final note (M4)",IF(R430="","Send follow-up (M2)",IF(AJ430="12 ACTIVATED","7-day check-in; consent &amp; referral soft ask",IF(AJ430="13 Transacting","Repeat-activity support","Onboarding: move to next stage (see playbook §6)"))))))))</f>
        <v/>
      </c>
      <c r="AM430">
        <f>IF(ISNUMBER(AK430),IF(AK430&lt;=TODAY(),"DUE",""),"")</f>
        <v/>
      </c>
      <c r="AN430">
        <f>IF(COUNT(O430,P430,Q430,R430,T430,V430,W430,X430,Y430,Z430,AA430,AC430)=0,"",TODAY()-MAX(O430,P430,Q430,R430,T430,V430,W430,X430,Y430,Z430,AA430,AC430))</f>
        <v/>
      </c>
      <c r="AO430">
        <f>IF(AJ430="","",IF(AND(T430&lt;&gt;"",U430&lt;&gt;"Active (verified)"),"GST: escalate (no tax advice)",IF(AND(IFERROR(VALUE(LEFT(AJ430,2)),0)&gt;=5,AH430&lt;&gt;"YES",ISNUMBER(AN430),AN430&gt;SETTINGS!$B$14),"STUCK in onboarding","")))</f>
        <v/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s="10" t="inlineStr"/>
      <c r="P431" s="10" t="inlineStr"/>
      <c r="Q431" s="10" t="inlineStr"/>
      <c r="R431" s="10" t="inlineStr"/>
      <c r="S431" t="inlineStr"/>
      <c r="T431" s="10" t="inlineStr"/>
      <c r="U431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t="inlineStr"/>
      <c r="AC431" s="10" t="inlineStr"/>
      <c r="AD431" t="inlineStr"/>
      <c r="AE431" t="inlineStr"/>
      <c r="AF431" s="10" t="inlineStr"/>
      <c r="AG431" t="inlineStr"/>
      <c r="AH431">
        <f>IF(AND(B431="",C431=""),"",IF(AND(X431&lt;&gt;"",Y431&lt;&gt;"",Z431&lt;&gt;"",AA431&lt;&gt;"",AB431="Y"),"YES","no"))</f>
        <v/>
      </c>
      <c r="AI431" s="10">
        <f>IF(AH431="YES",MAX(X431,Y431,Z431,AA431),"")</f>
        <v/>
      </c>
      <c r="AJ431">
        <f>IF(AND(B431="",C431=""),"",IF(OR(S431="Not interested",S431="Opt-out / do not contact"),"X Declined / suppressed",IF(S431="Bounced / undeliverable","X Bounced — research",IF(AC431&lt;&gt;"","13 Transacting",IF(AH431="YES","12 ACTIVATED",IF(Z431&lt;&gt;"","11 Listing live",IF(Y431&lt;&gt;"","10 Profile complete",IF(X431&lt;&gt;"","9 Approved",IF(W431&lt;&gt;"","8 KYC submitted",IF(V431&lt;&gt;"","7 Registered",IF(T431&lt;&gt;"","5 Interested",IF(R431&lt;&gt;"","4 Responded",IF(O431&lt;&gt;"","2 Contacted","1 Not yet contacted")))))))))))))</f>
        <v/>
      </c>
      <c r="AK431" s="10">
        <f>IF(AF431&lt;&gt;"",AF431,IF(OR(O431="",R431&lt;&gt;"",LEFT(AJ431,1)="X"),"",IF(Q431&lt;&gt;"","",IF(P431&lt;&gt;"",P431+SETTINGS!$B$4,O431+SETTINGS!$B$3))))</f>
        <v/>
      </c>
      <c r="AL431">
        <f>IF(AJ431="","",IF(LEFT(AJ431,1)="X","None — do not contact",IF(AJ431="1 Not yet contacted","Verify route today, then send M1",IF(AND(R431="",Q431&lt;&gt;""),"Sequence complete — no contact before "&amp;TEXT(Q431+SETTINGS!$B$5,"yyyy-mm-dd"),IF(AND(R431="",P431&lt;&gt;""),"Send final note (M4)",IF(R431="","Send follow-up (M2)",IF(AJ431="12 ACTIVATED","7-day check-in; consent &amp; referral soft ask",IF(AJ431="13 Transacting","Repeat-activity support","Onboarding: move to next stage (see playbook §6)"))))))))</f>
        <v/>
      </c>
      <c r="AM431">
        <f>IF(ISNUMBER(AK431),IF(AK431&lt;=TODAY(),"DUE",""),"")</f>
        <v/>
      </c>
      <c r="AN431">
        <f>IF(COUNT(O431,P431,Q431,R431,T431,V431,W431,X431,Y431,Z431,AA431,AC431)=0,"",TODAY()-MAX(O431,P431,Q431,R431,T431,V431,W431,X431,Y431,Z431,AA431,AC431))</f>
        <v/>
      </c>
      <c r="AO431">
        <f>IF(AJ431="","",IF(AND(T431&lt;&gt;"",U431&lt;&gt;"Active (verified)"),"GST: escalate (no tax advice)",IF(AND(IFERROR(VALUE(LEFT(AJ431,2)),0)&gt;=5,AH431&lt;&gt;"YES",ISNUMBER(AN431),AN431&gt;SETTINGS!$B$14),"STUCK in onboarding","")))</f>
        <v/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s="10" t="inlineStr"/>
      <c r="P432" s="10" t="inlineStr"/>
      <c r="Q432" s="10" t="inlineStr"/>
      <c r="R432" s="10" t="inlineStr"/>
      <c r="S432" t="inlineStr"/>
      <c r="T432" s="10" t="inlineStr"/>
      <c r="U432" t="inlineStr"/>
      <c r="V432" s="10" t="inlineStr"/>
      <c r="W432" s="10" t="inlineStr"/>
      <c r="X432" s="10" t="inlineStr"/>
      <c r="Y432" s="10" t="inlineStr"/>
      <c r="Z432" s="10" t="inlineStr"/>
      <c r="AA432" s="10" t="inlineStr"/>
      <c r="AB432" t="inlineStr"/>
      <c r="AC432" s="10" t="inlineStr"/>
      <c r="AD432" t="inlineStr"/>
      <c r="AE432" t="inlineStr"/>
      <c r="AF432" s="10" t="inlineStr"/>
      <c r="AG432" t="inlineStr"/>
      <c r="AH432">
        <f>IF(AND(B432="",C432=""),"",IF(AND(X432&lt;&gt;"",Y432&lt;&gt;"",Z432&lt;&gt;"",AA432&lt;&gt;"",AB432="Y"),"YES","no"))</f>
        <v/>
      </c>
      <c r="AI432" s="10">
        <f>IF(AH432="YES",MAX(X432,Y432,Z432,AA432),"")</f>
        <v/>
      </c>
      <c r="AJ432">
        <f>IF(AND(B432="",C432=""),"",IF(OR(S432="Not interested",S432="Opt-out / do not contact"),"X Declined / suppressed",IF(S432="Bounced / undeliverable","X Bounced — research",IF(AC432&lt;&gt;"","13 Transacting",IF(AH432="YES","12 ACTIVATED",IF(Z432&lt;&gt;"","11 Listing live",IF(Y432&lt;&gt;"","10 Profile complete",IF(X432&lt;&gt;"","9 Approved",IF(W432&lt;&gt;"","8 KYC submitted",IF(V432&lt;&gt;"","7 Registered",IF(T432&lt;&gt;"","5 Interested",IF(R432&lt;&gt;"","4 Responded",IF(O432&lt;&gt;"","2 Contacted","1 Not yet contacted")))))))))))))</f>
        <v/>
      </c>
      <c r="AK432" s="10">
        <f>IF(AF432&lt;&gt;"",AF432,IF(OR(O432="",R432&lt;&gt;"",LEFT(AJ432,1)="X"),"",IF(Q432&lt;&gt;"","",IF(P432&lt;&gt;"",P432+SETTINGS!$B$4,O432+SETTINGS!$B$3))))</f>
        <v/>
      </c>
      <c r="AL432">
        <f>IF(AJ432="","",IF(LEFT(AJ432,1)="X","None — do not contact",IF(AJ432="1 Not yet contacted","Verify route today, then send M1",IF(AND(R432="",Q432&lt;&gt;""),"Sequence complete — no contact before "&amp;TEXT(Q432+SETTINGS!$B$5,"yyyy-mm-dd"),IF(AND(R432="",P432&lt;&gt;""),"Send final note (M4)",IF(R432="","Send follow-up (M2)",IF(AJ432="12 ACTIVATED","7-day check-in; consent &amp; referral soft ask",IF(AJ432="13 Transacting","Repeat-activity support","Onboarding: move to next stage (see playbook §6)"))))))))</f>
        <v/>
      </c>
      <c r="AM432">
        <f>IF(ISNUMBER(AK432),IF(AK432&lt;=TODAY(),"DUE",""),"")</f>
        <v/>
      </c>
      <c r="AN432">
        <f>IF(COUNT(O432,P432,Q432,R432,T432,V432,W432,X432,Y432,Z432,AA432,AC432)=0,"",TODAY()-MAX(O432,P432,Q432,R432,T432,V432,W432,X432,Y432,Z432,AA432,AC432))</f>
        <v/>
      </c>
      <c r="AO432">
        <f>IF(AJ432="","",IF(AND(T432&lt;&gt;"",U432&lt;&gt;"Active (verified)"),"GST: escalate (no tax advice)",IF(AND(IFERROR(VALUE(LEFT(AJ432,2)),0)&gt;=5,AH432&lt;&gt;"YES",ISNUMBER(AN432),AN432&gt;SETTINGS!$B$14),"STUCK in onboarding","")))</f>
        <v/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s="10" t="inlineStr"/>
      <c r="P433" s="10" t="inlineStr"/>
      <c r="Q433" s="10" t="inlineStr"/>
      <c r="R433" s="10" t="inlineStr"/>
      <c r="S433" t="inlineStr"/>
      <c r="T433" s="10" t="inlineStr"/>
      <c r="U433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t="inlineStr"/>
      <c r="AC433" s="10" t="inlineStr"/>
      <c r="AD433" t="inlineStr"/>
      <c r="AE433" t="inlineStr"/>
      <c r="AF433" s="10" t="inlineStr"/>
      <c r="AG433" t="inlineStr"/>
      <c r="AH433">
        <f>IF(AND(B433="",C433=""),"",IF(AND(X433&lt;&gt;"",Y433&lt;&gt;"",Z433&lt;&gt;"",AA433&lt;&gt;"",AB433="Y"),"YES","no"))</f>
        <v/>
      </c>
      <c r="AI433" s="10">
        <f>IF(AH433="YES",MAX(X433,Y433,Z433,AA433),"")</f>
        <v/>
      </c>
      <c r="AJ433">
        <f>IF(AND(B433="",C433=""),"",IF(OR(S433="Not interested",S433="Opt-out / do not contact"),"X Declined / suppressed",IF(S433="Bounced / undeliverable","X Bounced — research",IF(AC433&lt;&gt;"","13 Transacting",IF(AH433="YES","12 ACTIVATED",IF(Z433&lt;&gt;"","11 Listing live",IF(Y433&lt;&gt;"","10 Profile complete",IF(X433&lt;&gt;"","9 Approved",IF(W433&lt;&gt;"","8 KYC submitted",IF(V433&lt;&gt;"","7 Registered",IF(T433&lt;&gt;"","5 Interested",IF(R433&lt;&gt;"","4 Responded",IF(O433&lt;&gt;"","2 Contacted","1 Not yet contacted")))))))))))))</f>
        <v/>
      </c>
      <c r="AK433" s="10">
        <f>IF(AF433&lt;&gt;"",AF433,IF(OR(O433="",R433&lt;&gt;"",LEFT(AJ433,1)="X"),"",IF(Q433&lt;&gt;"","",IF(P433&lt;&gt;"",P433+SETTINGS!$B$4,O433+SETTINGS!$B$3))))</f>
        <v/>
      </c>
      <c r="AL433">
        <f>IF(AJ433="","",IF(LEFT(AJ433,1)="X","None — do not contact",IF(AJ433="1 Not yet contacted","Verify route today, then send M1",IF(AND(R433="",Q433&lt;&gt;""),"Sequence complete — no contact before "&amp;TEXT(Q433+SETTINGS!$B$5,"yyyy-mm-dd"),IF(AND(R433="",P433&lt;&gt;""),"Send final note (M4)",IF(R433="","Send follow-up (M2)",IF(AJ433="12 ACTIVATED","7-day check-in; consent &amp; referral soft ask",IF(AJ433="13 Transacting","Repeat-activity support","Onboarding: move to next stage (see playbook §6)"))))))))</f>
        <v/>
      </c>
      <c r="AM433">
        <f>IF(ISNUMBER(AK433),IF(AK433&lt;=TODAY(),"DUE",""),"")</f>
        <v/>
      </c>
      <c r="AN433">
        <f>IF(COUNT(O433,P433,Q433,R433,T433,V433,W433,X433,Y433,Z433,AA433,AC433)=0,"",TODAY()-MAX(O433,P433,Q433,R433,T433,V433,W433,X433,Y433,Z433,AA433,AC433))</f>
        <v/>
      </c>
      <c r="AO433">
        <f>IF(AJ433="","",IF(AND(T433&lt;&gt;"",U433&lt;&gt;"Active (verified)"),"GST: escalate (no tax advice)",IF(AND(IFERROR(VALUE(LEFT(AJ433,2)),0)&gt;=5,AH433&lt;&gt;"YES",ISNUMBER(AN433),AN433&gt;SETTINGS!$B$14),"STUCK in onboarding","")))</f>
        <v/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s="10" t="inlineStr"/>
      <c r="P434" s="10" t="inlineStr"/>
      <c r="Q434" s="10" t="inlineStr"/>
      <c r="R434" s="10" t="inlineStr"/>
      <c r="S434" t="inlineStr"/>
      <c r="T434" s="10" t="inlineStr"/>
      <c r="U434" t="inlineStr"/>
      <c r="V434" s="10" t="inlineStr"/>
      <c r="W434" s="10" t="inlineStr"/>
      <c r="X434" s="10" t="inlineStr"/>
      <c r="Y434" s="10" t="inlineStr"/>
      <c r="Z434" s="10" t="inlineStr"/>
      <c r="AA434" s="10" t="inlineStr"/>
      <c r="AB434" t="inlineStr"/>
      <c r="AC434" s="10" t="inlineStr"/>
      <c r="AD434" t="inlineStr"/>
      <c r="AE434" t="inlineStr"/>
      <c r="AF434" s="10" t="inlineStr"/>
      <c r="AG434" t="inlineStr"/>
      <c r="AH434">
        <f>IF(AND(B434="",C434=""),"",IF(AND(X434&lt;&gt;"",Y434&lt;&gt;"",Z434&lt;&gt;"",AA434&lt;&gt;"",AB434="Y"),"YES","no"))</f>
        <v/>
      </c>
      <c r="AI434" s="10">
        <f>IF(AH434="YES",MAX(X434,Y434,Z434,AA434),"")</f>
        <v/>
      </c>
      <c r="AJ434">
        <f>IF(AND(B434="",C434=""),"",IF(OR(S434="Not interested",S434="Opt-out / do not contact"),"X Declined / suppressed",IF(S434="Bounced / undeliverable","X Bounced — research",IF(AC434&lt;&gt;"","13 Transacting",IF(AH434="YES","12 ACTIVATED",IF(Z434&lt;&gt;"","11 Listing live",IF(Y434&lt;&gt;"","10 Profile complete",IF(X434&lt;&gt;"","9 Approved",IF(W434&lt;&gt;"","8 KYC submitted",IF(V434&lt;&gt;"","7 Registered",IF(T434&lt;&gt;"","5 Interested",IF(R434&lt;&gt;"","4 Responded",IF(O434&lt;&gt;"","2 Contacted","1 Not yet contacted")))))))))))))</f>
        <v/>
      </c>
      <c r="AK434" s="10">
        <f>IF(AF434&lt;&gt;"",AF434,IF(OR(O434="",R434&lt;&gt;"",LEFT(AJ434,1)="X"),"",IF(Q434&lt;&gt;"","",IF(P434&lt;&gt;"",P434+SETTINGS!$B$4,O434+SETTINGS!$B$3))))</f>
        <v/>
      </c>
      <c r="AL434">
        <f>IF(AJ434="","",IF(LEFT(AJ434,1)="X","None — do not contact",IF(AJ434="1 Not yet contacted","Verify route today, then send M1",IF(AND(R434="",Q434&lt;&gt;""),"Sequence complete — no contact before "&amp;TEXT(Q434+SETTINGS!$B$5,"yyyy-mm-dd"),IF(AND(R434="",P434&lt;&gt;""),"Send final note (M4)",IF(R434="","Send follow-up (M2)",IF(AJ434="12 ACTIVATED","7-day check-in; consent &amp; referral soft ask",IF(AJ434="13 Transacting","Repeat-activity support","Onboarding: move to next stage (see playbook §6)"))))))))</f>
        <v/>
      </c>
      <c r="AM434">
        <f>IF(ISNUMBER(AK434),IF(AK434&lt;=TODAY(),"DUE",""),"")</f>
        <v/>
      </c>
      <c r="AN434">
        <f>IF(COUNT(O434,P434,Q434,R434,T434,V434,W434,X434,Y434,Z434,AA434,AC434)=0,"",TODAY()-MAX(O434,P434,Q434,R434,T434,V434,W434,X434,Y434,Z434,AA434,AC434))</f>
        <v/>
      </c>
      <c r="AO434">
        <f>IF(AJ434="","",IF(AND(T434&lt;&gt;"",U434&lt;&gt;"Active (verified)"),"GST: escalate (no tax advice)",IF(AND(IFERROR(VALUE(LEFT(AJ434,2)),0)&gt;=5,AH434&lt;&gt;"YES",ISNUMBER(AN434),AN434&gt;SETTINGS!$B$14),"STUCK in onboarding","")))</f>
        <v/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s="10" t="inlineStr"/>
      <c r="P435" s="10" t="inlineStr"/>
      <c r="Q435" s="10" t="inlineStr"/>
      <c r="R435" s="10" t="inlineStr"/>
      <c r="S435" t="inlineStr"/>
      <c r="T435" s="10" t="inlineStr"/>
      <c r="U435" t="inlineStr"/>
      <c r="V435" s="10" t="inlineStr"/>
      <c r="W435" s="10" t="inlineStr"/>
      <c r="X435" s="10" t="inlineStr"/>
      <c r="Y435" s="10" t="inlineStr"/>
      <c r="Z435" s="10" t="inlineStr"/>
      <c r="AA435" s="10" t="inlineStr"/>
      <c r="AB435" t="inlineStr"/>
      <c r="AC435" s="10" t="inlineStr"/>
      <c r="AD435" t="inlineStr"/>
      <c r="AE435" t="inlineStr"/>
      <c r="AF435" s="10" t="inlineStr"/>
      <c r="AG435" t="inlineStr"/>
      <c r="AH435">
        <f>IF(AND(B435="",C435=""),"",IF(AND(X435&lt;&gt;"",Y435&lt;&gt;"",Z435&lt;&gt;"",AA435&lt;&gt;"",AB435="Y"),"YES","no"))</f>
        <v/>
      </c>
      <c r="AI435" s="10">
        <f>IF(AH435="YES",MAX(X435,Y435,Z435,AA435),"")</f>
        <v/>
      </c>
      <c r="AJ435">
        <f>IF(AND(B435="",C435=""),"",IF(OR(S435="Not interested",S435="Opt-out / do not contact"),"X Declined / suppressed",IF(S435="Bounced / undeliverable","X Bounced — research",IF(AC435&lt;&gt;"","13 Transacting",IF(AH435="YES","12 ACTIVATED",IF(Z435&lt;&gt;"","11 Listing live",IF(Y435&lt;&gt;"","10 Profile complete",IF(X435&lt;&gt;"","9 Approved",IF(W435&lt;&gt;"","8 KYC submitted",IF(V435&lt;&gt;"","7 Registered",IF(T435&lt;&gt;"","5 Interested",IF(R435&lt;&gt;"","4 Responded",IF(O435&lt;&gt;"","2 Contacted","1 Not yet contacted")))))))))))))</f>
        <v/>
      </c>
      <c r="AK435" s="10">
        <f>IF(AF435&lt;&gt;"",AF435,IF(OR(O435="",R435&lt;&gt;"",LEFT(AJ435,1)="X"),"",IF(Q435&lt;&gt;"","",IF(P435&lt;&gt;"",P435+SETTINGS!$B$4,O435+SETTINGS!$B$3))))</f>
        <v/>
      </c>
      <c r="AL435">
        <f>IF(AJ435="","",IF(LEFT(AJ435,1)="X","None — do not contact",IF(AJ435="1 Not yet contacted","Verify route today, then send M1",IF(AND(R435="",Q435&lt;&gt;""),"Sequence complete — no contact before "&amp;TEXT(Q435+SETTINGS!$B$5,"yyyy-mm-dd"),IF(AND(R435="",P435&lt;&gt;""),"Send final note (M4)",IF(R435="","Send follow-up (M2)",IF(AJ435="12 ACTIVATED","7-day check-in; consent &amp; referral soft ask",IF(AJ435="13 Transacting","Repeat-activity support","Onboarding: move to next stage (see playbook §6)"))))))))</f>
        <v/>
      </c>
      <c r="AM435">
        <f>IF(ISNUMBER(AK435),IF(AK435&lt;=TODAY(),"DUE",""),"")</f>
        <v/>
      </c>
      <c r="AN435">
        <f>IF(COUNT(O435,P435,Q435,R435,T435,V435,W435,X435,Y435,Z435,AA435,AC435)=0,"",TODAY()-MAX(O435,P435,Q435,R435,T435,V435,W435,X435,Y435,Z435,AA435,AC435))</f>
        <v/>
      </c>
      <c r="AO435">
        <f>IF(AJ435="","",IF(AND(T435&lt;&gt;"",U435&lt;&gt;"Active (verified)"),"GST: escalate (no tax advice)",IF(AND(IFERROR(VALUE(LEFT(AJ435,2)),0)&gt;=5,AH435&lt;&gt;"YES",ISNUMBER(AN435),AN435&gt;SETTINGS!$B$14),"STUCK in onboarding","")))</f>
        <v/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s="10" t="inlineStr"/>
      <c r="P436" s="10" t="inlineStr"/>
      <c r="Q436" s="10" t="inlineStr"/>
      <c r="R436" s="10" t="inlineStr"/>
      <c r="S436" t="inlineStr"/>
      <c r="T436" s="10" t="inlineStr"/>
      <c r="U436" t="inlineStr"/>
      <c r="V436" s="10" t="inlineStr"/>
      <c r="W436" s="10" t="inlineStr"/>
      <c r="X436" s="10" t="inlineStr"/>
      <c r="Y436" s="10" t="inlineStr"/>
      <c r="Z436" s="10" t="inlineStr"/>
      <c r="AA436" s="10" t="inlineStr"/>
      <c r="AB436" t="inlineStr"/>
      <c r="AC436" s="10" t="inlineStr"/>
      <c r="AD436" t="inlineStr"/>
      <c r="AE436" t="inlineStr"/>
      <c r="AF436" s="10" t="inlineStr"/>
      <c r="AG436" t="inlineStr"/>
      <c r="AH436">
        <f>IF(AND(B436="",C436=""),"",IF(AND(X436&lt;&gt;"",Y436&lt;&gt;"",Z436&lt;&gt;"",AA436&lt;&gt;"",AB436="Y"),"YES","no"))</f>
        <v/>
      </c>
      <c r="AI436" s="10">
        <f>IF(AH436="YES",MAX(X436,Y436,Z436,AA436),"")</f>
        <v/>
      </c>
      <c r="AJ436">
        <f>IF(AND(B436="",C436=""),"",IF(OR(S436="Not interested",S436="Opt-out / do not contact"),"X Declined / suppressed",IF(S436="Bounced / undeliverable","X Bounced — research",IF(AC436&lt;&gt;"","13 Transacting",IF(AH436="YES","12 ACTIVATED",IF(Z436&lt;&gt;"","11 Listing live",IF(Y436&lt;&gt;"","10 Profile complete",IF(X436&lt;&gt;"","9 Approved",IF(W436&lt;&gt;"","8 KYC submitted",IF(V436&lt;&gt;"","7 Registered",IF(T436&lt;&gt;"","5 Interested",IF(R436&lt;&gt;"","4 Responded",IF(O436&lt;&gt;"","2 Contacted","1 Not yet contacted")))))))))))))</f>
        <v/>
      </c>
      <c r="AK436" s="10">
        <f>IF(AF436&lt;&gt;"",AF436,IF(OR(O436="",R436&lt;&gt;"",LEFT(AJ436,1)="X"),"",IF(Q436&lt;&gt;"","",IF(P436&lt;&gt;"",P436+SETTINGS!$B$4,O436+SETTINGS!$B$3))))</f>
        <v/>
      </c>
      <c r="AL436">
        <f>IF(AJ436="","",IF(LEFT(AJ436,1)="X","None — do not contact",IF(AJ436="1 Not yet contacted","Verify route today, then send M1",IF(AND(R436="",Q436&lt;&gt;""),"Sequence complete — no contact before "&amp;TEXT(Q436+SETTINGS!$B$5,"yyyy-mm-dd"),IF(AND(R436="",P436&lt;&gt;""),"Send final note (M4)",IF(R436="","Send follow-up (M2)",IF(AJ436="12 ACTIVATED","7-day check-in; consent &amp; referral soft ask",IF(AJ436="13 Transacting","Repeat-activity support","Onboarding: move to next stage (see playbook §6)"))))))))</f>
        <v/>
      </c>
      <c r="AM436">
        <f>IF(ISNUMBER(AK436),IF(AK436&lt;=TODAY(),"DUE",""),"")</f>
        <v/>
      </c>
      <c r="AN436">
        <f>IF(COUNT(O436,P436,Q436,R436,T436,V436,W436,X436,Y436,Z436,AA436,AC436)=0,"",TODAY()-MAX(O436,P436,Q436,R436,T436,V436,W436,X436,Y436,Z436,AA436,AC436))</f>
        <v/>
      </c>
      <c r="AO436">
        <f>IF(AJ436="","",IF(AND(T436&lt;&gt;"",U436&lt;&gt;"Active (verified)"),"GST: escalate (no tax advice)",IF(AND(IFERROR(VALUE(LEFT(AJ436,2)),0)&gt;=5,AH436&lt;&gt;"YES",ISNUMBER(AN436),AN436&gt;SETTINGS!$B$14),"STUCK in onboarding","")))</f>
        <v/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s="10" t="inlineStr"/>
      <c r="P437" s="10" t="inlineStr"/>
      <c r="Q437" s="10" t="inlineStr"/>
      <c r="R437" s="10" t="inlineStr"/>
      <c r="S437" t="inlineStr"/>
      <c r="T437" s="10" t="inlineStr"/>
      <c r="U437" t="inlineStr"/>
      <c r="V437" s="10" t="inlineStr"/>
      <c r="W437" s="10" t="inlineStr"/>
      <c r="X437" s="10" t="inlineStr"/>
      <c r="Y437" s="10" t="inlineStr"/>
      <c r="Z437" s="10" t="inlineStr"/>
      <c r="AA437" s="10" t="inlineStr"/>
      <c r="AB437" t="inlineStr"/>
      <c r="AC437" s="10" t="inlineStr"/>
      <c r="AD437" t="inlineStr"/>
      <c r="AE437" t="inlineStr"/>
      <c r="AF437" s="10" t="inlineStr"/>
      <c r="AG437" t="inlineStr"/>
      <c r="AH437">
        <f>IF(AND(B437="",C437=""),"",IF(AND(X437&lt;&gt;"",Y437&lt;&gt;"",Z437&lt;&gt;"",AA437&lt;&gt;"",AB437="Y"),"YES","no"))</f>
        <v/>
      </c>
      <c r="AI437" s="10">
        <f>IF(AH437="YES",MAX(X437,Y437,Z437,AA437),"")</f>
        <v/>
      </c>
      <c r="AJ437">
        <f>IF(AND(B437="",C437=""),"",IF(OR(S437="Not interested",S437="Opt-out / do not contact"),"X Declined / suppressed",IF(S437="Bounced / undeliverable","X Bounced — research",IF(AC437&lt;&gt;"","13 Transacting",IF(AH437="YES","12 ACTIVATED",IF(Z437&lt;&gt;"","11 Listing live",IF(Y437&lt;&gt;"","10 Profile complete",IF(X437&lt;&gt;"","9 Approved",IF(W437&lt;&gt;"","8 KYC submitted",IF(V437&lt;&gt;"","7 Registered",IF(T437&lt;&gt;"","5 Interested",IF(R437&lt;&gt;"","4 Responded",IF(O437&lt;&gt;"","2 Contacted","1 Not yet contacted")))))))))))))</f>
        <v/>
      </c>
      <c r="AK437" s="10">
        <f>IF(AF437&lt;&gt;"",AF437,IF(OR(O437="",R437&lt;&gt;"",LEFT(AJ437,1)="X"),"",IF(Q437&lt;&gt;"","",IF(P437&lt;&gt;"",P437+SETTINGS!$B$4,O437+SETTINGS!$B$3))))</f>
        <v/>
      </c>
      <c r="AL437">
        <f>IF(AJ437="","",IF(LEFT(AJ437,1)="X","None — do not contact",IF(AJ437="1 Not yet contacted","Verify route today, then send M1",IF(AND(R437="",Q437&lt;&gt;""),"Sequence complete — no contact before "&amp;TEXT(Q437+SETTINGS!$B$5,"yyyy-mm-dd"),IF(AND(R437="",P437&lt;&gt;""),"Send final note (M4)",IF(R437="","Send follow-up (M2)",IF(AJ437="12 ACTIVATED","7-day check-in; consent &amp; referral soft ask",IF(AJ437="13 Transacting","Repeat-activity support","Onboarding: move to next stage (see playbook §6)"))))))))</f>
        <v/>
      </c>
      <c r="AM437">
        <f>IF(ISNUMBER(AK437),IF(AK437&lt;=TODAY(),"DUE",""),"")</f>
        <v/>
      </c>
      <c r="AN437">
        <f>IF(COUNT(O437,P437,Q437,R437,T437,V437,W437,X437,Y437,Z437,AA437,AC437)=0,"",TODAY()-MAX(O437,P437,Q437,R437,T437,V437,W437,X437,Y437,Z437,AA437,AC437))</f>
        <v/>
      </c>
      <c r="AO437">
        <f>IF(AJ437="","",IF(AND(T437&lt;&gt;"",U437&lt;&gt;"Active (verified)"),"GST: escalate (no tax advice)",IF(AND(IFERROR(VALUE(LEFT(AJ437,2)),0)&gt;=5,AH437&lt;&gt;"YES",ISNUMBER(AN437),AN437&gt;SETTINGS!$B$14),"STUCK in onboarding","")))</f>
        <v/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s="10" t="inlineStr"/>
      <c r="P438" s="10" t="inlineStr"/>
      <c r="Q438" s="10" t="inlineStr"/>
      <c r="R438" s="10" t="inlineStr"/>
      <c r="S438" t="inlineStr"/>
      <c r="T438" s="10" t="inlineStr"/>
      <c r="U438" t="inlineStr"/>
      <c r="V438" s="10" t="inlineStr"/>
      <c r="W438" s="10" t="inlineStr"/>
      <c r="X438" s="10" t="inlineStr"/>
      <c r="Y438" s="10" t="inlineStr"/>
      <c r="Z438" s="10" t="inlineStr"/>
      <c r="AA438" s="10" t="inlineStr"/>
      <c r="AB438" t="inlineStr"/>
      <c r="AC438" s="10" t="inlineStr"/>
      <c r="AD438" t="inlineStr"/>
      <c r="AE438" t="inlineStr"/>
      <c r="AF438" s="10" t="inlineStr"/>
      <c r="AG438" t="inlineStr"/>
      <c r="AH438">
        <f>IF(AND(B438="",C438=""),"",IF(AND(X438&lt;&gt;"",Y438&lt;&gt;"",Z438&lt;&gt;"",AA438&lt;&gt;"",AB438="Y"),"YES","no"))</f>
        <v/>
      </c>
      <c r="AI438" s="10">
        <f>IF(AH438="YES",MAX(X438,Y438,Z438,AA438),"")</f>
        <v/>
      </c>
      <c r="AJ438">
        <f>IF(AND(B438="",C438=""),"",IF(OR(S438="Not interested",S438="Opt-out / do not contact"),"X Declined / suppressed",IF(S438="Bounced / undeliverable","X Bounced — research",IF(AC438&lt;&gt;"","13 Transacting",IF(AH438="YES","12 ACTIVATED",IF(Z438&lt;&gt;"","11 Listing live",IF(Y438&lt;&gt;"","10 Profile complete",IF(X438&lt;&gt;"","9 Approved",IF(W438&lt;&gt;"","8 KYC submitted",IF(V438&lt;&gt;"","7 Registered",IF(T438&lt;&gt;"","5 Interested",IF(R438&lt;&gt;"","4 Responded",IF(O438&lt;&gt;"","2 Contacted","1 Not yet contacted")))))))))))))</f>
        <v/>
      </c>
      <c r="AK438" s="10">
        <f>IF(AF438&lt;&gt;"",AF438,IF(OR(O438="",R438&lt;&gt;"",LEFT(AJ438,1)="X"),"",IF(Q438&lt;&gt;"","",IF(P438&lt;&gt;"",P438+SETTINGS!$B$4,O438+SETTINGS!$B$3))))</f>
        <v/>
      </c>
      <c r="AL438">
        <f>IF(AJ438="","",IF(LEFT(AJ438,1)="X","None — do not contact",IF(AJ438="1 Not yet contacted","Verify route today, then send M1",IF(AND(R438="",Q438&lt;&gt;""),"Sequence complete — no contact before "&amp;TEXT(Q438+SETTINGS!$B$5,"yyyy-mm-dd"),IF(AND(R438="",P438&lt;&gt;""),"Send final note (M4)",IF(R438="","Send follow-up (M2)",IF(AJ438="12 ACTIVATED","7-day check-in; consent &amp; referral soft ask",IF(AJ438="13 Transacting","Repeat-activity support","Onboarding: move to next stage (see playbook §6)"))))))))</f>
        <v/>
      </c>
      <c r="AM438">
        <f>IF(ISNUMBER(AK438),IF(AK438&lt;=TODAY(),"DUE",""),"")</f>
        <v/>
      </c>
      <c r="AN438">
        <f>IF(COUNT(O438,P438,Q438,R438,T438,V438,W438,X438,Y438,Z438,AA438,AC438)=0,"",TODAY()-MAX(O438,P438,Q438,R438,T438,V438,W438,X438,Y438,Z438,AA438,AC438))</f>
        <v/>
      </c>
      <c r="AO438">
        <f>IF(AJ438="","",IF(AND(T438&lt;&gt;"",U438&lt;&gt;"Active (verified)"),"GST: escalate (no tax advice)",IF(AND(IFERROR(VALUE(LEFT(AJ438,2)),0)&gt;=5,AH438&lt;&gt;"YES",ISNUMBER(AN438),AN438&gt;SETTINGS!$B$14),"STUCK in onboarding","")))</f>
        <v/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s="10" t="inlineStr"/>
      <c r="P439" s="10" t="inlineStr"/>
      <c r="Q439" s="10" t="inlineStr"/>
      <c r="R439" s="10" t="inlineStr"/>
      <c r="S439" t="inlineStr"/>
      <c r="T439" s="10" t="inlineStr"/>
      <c r="U439" t="inlineStr"/>
      <c r="V439" s="10" t="inlineStr"/>
      <c r="W439" s="10" t="inlineStr"/>
      <c r="X439" s="10" t="inlineStr"/>
      <c r="Y439" s="10" t="inlineStr"/>
      <c r="Z439" s="10" t="inlineStr"/>
      <c r="AA439" s="10" t="inlineStr"/>
      <c r="AB439" t="inlineStr"/>
      <c r="AC439" s="10" t="inlineStr"/>
      <c r="AD439" t="inlineStr"/>
      <c r="AE439" t="inlineStr"/>
      <c r="AF439" s="10" t="inlineStr"/>
      <c r="AG439" t="inlineStr"/>
      <c r="AH439">
        <f>IF(AND(B439="",C439=""),"",IF(AND(X439&lt;&gt;"",Y439&lt;&gt;"",Z439&lt;&gt;"",AA439&lt;&gt;"",AB439="Y"),"YES","no"))</f>
        <v/>
      </c>
      <c r="AI439" s="10">
        <f>IF(AH439="YES",MAX(X439,Y439,Z439,AA439),"")</f>
        <v/>
      </c>
      <c r="AJ439">
        <f>IF(AND(B439="",C439=""),"",IF(OR(S439="Not interested",S439="Opt-out / do not contact"),"X Declined / suppressed",IF(S439="Bounced / undeliverable","X Bounced — research",IF(AC439&lt;&gt;"","13 Transacting",IF(AH439="YES","12 ACTIVATED",IF(Z439&lt;&gt;"","11 Listing live",IF(Y439&lt;&gt;"","10 Profile complete",IF(X439&lt;&gt;"","9 Approved",IF(W439&lt;&gt;"","8 KYC submitted",IF(V439&lt;&gt;"","7 Registered",IF(T439&lt;&gt;"","5 Interested",IF(R439&lt;&gt;"","4 Responded",IF(O439&lt;&gt;"","2 Contacted","1 Not yet contacted")))))))))))))</f>
        <v/>
      </c>
      <c r="AK439" s="10">
        <f>IF(AF439&lt;&gt;"",AF439,IF(OR(O439="",R439&lt;&gt;"",LEFT(AJ439,1)="X"),"",IF(Q439&lt;&gt;"","",IF(P439&lt;&gt;"",P439+SETTINGS!$B$4,O439+SETTINGS!$B$3))))</f>
        <v/>
      </c>
      <c r="AL439">
        <f>IF(AJ439="","",IF(LEFT(AJ439,1)="X","None — do not contact",IF(AJ439="1 Not yet contacted","Verify route today, then send M1",IF(AND(R439="",Q439&lt;&gt;""),"Sequence complete — no contact before "&amp;TEXT(Q439+SETTINGS!$B$5,"yyyy-mm-dd"),IF(AND(R439="",P439&lt;&gt;""),"Send final note (M4)",IF(R439="","Send follow-up (M2)",IF(AJ439="12 ACTIVATED","7-day check-in; consent &amp; referral soft ask",IF(AJ439="13 Transacting","Repeat-activity support","Onboarding: move to next stage (see playbook §6)"))))))))</f>
        <v/>
      </c>
      <c r="AM439">
        <f>IF(ISNUMBER(AK439),IF(AK439&lt;=TODAY(),"DUE",""),"")</f>
        <v/>
      </c>
      <c r="AN439">
        <f>IF(COUNT(O439,P439,Q439,R439,T439,V439,W439,X439,Y439,Z439,AA439,AC439)=0,"",TODAY()-MAX(O439,P439,Q439,R439,T439,V439,W439,X439,Y439,Z439,AA439,AC439))</f>
        <v/>
      </c>
      <c r="AO439">
        <f>IF(AJ439="","",IF(AND(T439&lt;&gt;"",U439&lt;&gt;"Active (verified)"),"GST: escalate (no tax advice)",IF(AND(IFERROR(VALUE(LEFT(AJ439,2)),0)&gt;=5,AH439&lt;&gt;"YES",ISNUMBER(AN439),AN439&gt;SETTINGS!$B$14),"STUCK in onboarding","")))</f>
        <v/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s="10" t="inlineStr"/>
      <c r="P440" s="10" t="inlineStr"/>
      <c r="Q440" s="10" t="inlineStr"/>
      <c r="R440" s="10" t="inlineStr"/>
      <c r="S440" t="inlineStr"/>
      <c r="T440" s="10" t="inlineStr"/>
      <c r="U44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t="inlineStr"/>
      <c r="AC440" s="10" t="inlineStr"/>
      <c r="AD440" t="inlineStr"/>
      <c r="AE440" t="inlineStr"/>
      <c r="AF440" s="10" t="inlineStr"/>
      <c r="AG440" t="inlineStr"/>
      <c r="AH440">
        <f>IF(AND(B440="",C440=""),"",IF(AND(X440&lt;&gt;"",Y440&lt;&gt;"",Z440&lt;&gt;"",AA440&lt;&gt;"",AB440="Y"),"YES","no"))</f>
        <v/>
      </c>
      <c r="AI440" s="10">
        <f>IF(AH440="YES",MAX(X440,Y440,Z440,AA440),"")</f>
        <v/>
      </c>
      <c r="AJ440">
        <f>IF(AND(B440="",C440=""),"",IF(OR(S440="Not interested",S440="Opt-out / do not contact"),"X Declined / suppressed",IF(S440="Bounced / undeliverable","X Bounced — research",IF(AC440&lt;&gt;"","13 Transacting",IF(AH440="YES","12 ACTIVATED",IF(Z440&lt;&gt;"","11 Listing live",IF(Y440&lt;&gt;"","10 Profile complete",IF(X440&lt;&gt;"","9 Approved",IF(W440&lt;&gt;"","8 KYC submitted",IF(V440&lt;&gt;"","7 Registered",IF(T440&lt;&gt;"","5 Interested",IF(R440&lt;&gt;"","4 Responded",IF(O440&lt;&gt;"","2 Contacted","1 Not yet contacted")))))))))))))</f>
        <v/>
      </c>
      <c r="AK440" s="10">
        <f>IF(AF440&lt;&gt;"",AF440,IF(OR(O440="",R440&lt;&gt;"",LEFT(AJ440,1)="X"),"",IF(Q440&lt;&gt;"","",IF(P440&lt;&gt;"",P440+SETTINGS!$B$4,O440+SETTINGS!$B$3))))</f>
        <v/>
      </c>
      <c r="AL440">
        <f>IF(AJ440="","",IF(LEFT(AJ440,1)="X","None — do not contact",IF(AJ440="1 Not yet contacted","Verify route today, then send M1",IF(AND(R440="",Q440&lt;&gt;""),"Sequence complete — no contact before "&amp;TEXT(Q440+SETTINGS!$B$5,"yyyy-mm-dd"),IF(AND(R440="",P440&lt;&gt;""),"Send final note (M4)",IF(R440="","Send follow-up (M2)",IF(AJ440="12 ACTIVATED","7-day check-in; consent &amp; referral soft ask",IF(AJ440="13 Transacting","Repeat-activity support","Onboarding: move to next stage (see playbook §6)"))))))))</f>
        <v/>
      </c>
      <c r="AM440">
        <f>IF(ISNUMBER(AK440),IF(AK440&lt;=TODAY(),"DUE",""),"")</f>
        <v/>
      </c>
      <c r="AN440">
        <f>IF(COUNT(O440,P440,Q440,R440,T440,V440,W440,X440,Y440,Z440,AA440,AC440)=0,"",TODAY()-MAX(O440,P440,Q440,R440,T440,V440,W440,X440,Y440,Z440,AA440,AC440))</f>
        <v/>
      </c>
      <c r="AO440">
        <f>IF(AJ440="","",IF(AND(T440&lt;&gt;"",U440&lt;&gt;"Active (verified)"),"GST: escalate (no tax advice)",IF(AND(IFERROR(VALUE(LEFT(AJ440,2)),0)&gt;=5,AH440&lt;&gt;"YES",ISNUMBER(AN440),AN440&gt;SETTINGS!$B$14),"STUCK in onboarding","")))</f>
        <v/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s="10" t="inlineStr"/>
      <c r="P441" s="10" t="inlineStr"/>
      <c r="Q441" s="10" t="inlineStr"/>
      <c r="R441" s="10" t="inlineStr"/>
      <c r="S441" t="inlineStr"/>
      <c r="T441" s="10" t="inlineStr"/>
      <c r="U441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t="inlineStr"/>
      <c r="AC441" s="10" t="inlineStr"/>
      <c r="AD441" t="inlineStr"/>
      <c r="AE441" t="inlineStr"/>
      <c r="AF441" s="10" t="inlineStr"/>
      <c r="AG441" t="inlineStr"/>
      <c r="AH441">
        <f>IF(AND(B441="",C441=""),"",IF(AND(X441&lt;&gt;"",Y441&lt;&gt;"",Z441&lt;&gt;"",AA441&lt;&gt;"",AB441="Y"),"YES","no"))</f>
        <v/>
      </c>
      <c r="AI441" s="10">
        <f>IF(AH441="YES",MAX(X441,Y441,Z441,AA441),"")</f>
        <v/>
      </c>
      <c r="AJ441">
        <f>IF(AND(B441="",C441=""),"",IF(OR(S441="Not interested",S441="Opt-out / do not contact"),"X Declined / suppressed",IF(S441="Bounced / undeliverable","X Bounced — research",IF(AC441&lt;&gt;"","13 Transacting",IF(AH441="YES","12 ACTIVATED",IF(Z441&lt;&gt;"","11 Listing live",IF(Y441&lt;&gt;"","10 Profile complete",IF(X441&lt;&gt;"","9 Approved",IF(W441&lt;&gt;"","8 KYC submitted",IF(V441&lt;&gt;"","7 Registered",IF(T441&lt;&gt;"","5 Interested",IF(R441&lt;&gt;"","4 Responded",IF(O441&lt;&gt;"","2 Contacted","1 Not yet contacted")))))))))))))</f>
        <v/>
      </c>
      <c r="AK441" s="10">
        <f>IF(AF441&lt;&gt;"",AF441,IF(OR(O441="",R441&lt;&gt;"",LEFT(AJ441,1)="X"),"",IF(Q441&lt;&gt;"","",IF(P441&lt;&gt;"",P441+SETTINGS!$B$4,O441+SETTINGS!$B$3))))</f>
        <v/>
      </c>
      <c r="AL441">
        <f>IF(AJ441="","",IF(LEFT(AJ441,1)="X","None — do not contact",IF(AJ441="1 Not yet contacted","Verify route today, then send M1",IF(AND(R441="",Q441&lt;&gt;""),"Sequence complete — no contact before "&amp;TEXT(Q441+SETTINGS!$B$5,"yyyy-mm-dd"),IF(AND(R441="",P441&lt;&gt;""),"Send final note (M4)",IF(R441="","Send follow-up (M2)",IF(AJ441="12 ACTIVATED","7-day check-in; consent &amp; referral soft ask",IF(AJ441="13 Transacting","Repeat-activity support","Onboarding: move to next stage (see playbook §6)"))))))))</f>
        <v/>
      </c>
      <c r="AM441">
        <f>IF(ISNUMBER(AK441),IF(AK441&lt;=TODAY(),"DUE",""),"")</f>
        <v/>
      </c>
      <c r="AN441">
        <f>IF(COUNT(O441,P441,Q441,R441,T441,V441,W441,X441,Y441,Z441,AA441,AC441)=0,"",TODAY()-MAX(O441,P441,Q441,R441,T441,V441,W441,X441,Y441,Z441,AA441,AC441))</f>
        <v/>
      </c>
      <c r="AO441">
        <f>IF(AJ441="","",IF(AND(T441&lt;&gt;"",U441&lt;&gt;"Active (verified)"),"GST: escalate (no tax advice)",IF(AND(IFERROR(VALUE(LEFT(AJ441,2)),0)&gt;=5,AH441&lt;&gt;"YES",ISNUMBER(AN441),AN441&gt;SETTINGS!$B$14),"STUCK in onboarding","")))</f>
        <v/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s="10" t="inlineStr"/>
      <c r="P442" s="10" t="inlineStr"/>
      <c r="Q442" s="10" t="inlineStr"/>
      <c r="R442" s="10" t="inlineStr"/>
      <c r="S442" t="inlineStr"/>
      <c r="T442" s="10" t="inlineStr"/>
      <c r="U442" t="inlineStr"/>
      <c r="V442" s="10" t="inlineStr"/>
      <c r="W442" s="10" t="inlineStr"/>
      <c r="X442" s="10" t="inlineStr"/>
      <c r="Y442" s="10" t="inlineStr"/>
      <c r="Z442" s="10" t="inlineStr"/>
      <c r="AA442" s="10" t="inlineStr"/>
      <c r="AB442" t="inlineStr"/>
      <c r="AC442" s="10" t="inlineStr"/>
      <c r="AD442" t="inlineStr"/>
      <c r="AE442" t="inlineStr"/>
      <c r="AF442" s="10" t="inlineStr"/>
      <c r="AG442" t="inlineStr"/>
      <c r="AH442">
        <f>IF(AND(B442="",C442=""),"",IF(AND(X442&lt;&gt;"",Y442&lt;&gt;"",Z442&lt;&gt;"",AA442&lt;&gt;"",AB442="Y"),"YES","no"))</f>
        <v/>
      </c>
      <c r="AI442" s="10">
        <f>IF(AH442="YES",MAX(X442,Y442,Z442,AA442),"")</f>
        <v/>
      </c>
      <c r="AJ442">
        <f>IF(AND(B442="",C442=""),"",IF(OR(S442="Not interested",S442="Opt-out / do not contact"),"X Declined / suppressed",IF(S442="Bounced / undeliverable","X Bounced — research",IF(AC442&lt;&gt;"","13 Transacting",IF(AH442="YES","12 ACTIVATED",IF(Z442&lt;&gt;"","11 Listing live",IF(Y442&lt;&gt;"","10 Profile complete",IF(X442&lt;&gt;"","9 Approved",IF(W442&lt;&gt;"","8 KYC submitted",IF(V442&lt;&gt;"","7 Registered",IF(T442&lt;&gt;"","5 Interested",IF(R442&lt;&gt;"","4 Responded",IF(O442&lt;&gt;"","2 Contacted","1 Not yet contacted")))))))))))))</f>
        <v/>
      </c>
      <c r="AK442" s="10">
        <f>IF(AF442&lt;&gt;"",AF442,IF(OR(O442="",R442&lt;&gt;"",LEFT(AJ442,1)="X"),"",IF(Q442&lt;&gt;"","",IF(P442&lt;&gt;"",P442+SETTINGS!$B$4,O442+SETTINGS!$B$3))))</f>
        <v/>
      </c>
      <c r="AL442">
        <f>IF(AJ442="","",IF(LEFT(AJ442,1)="X","None — do not contact",IF(AJ442="1 Not yet contacted","Verify route today, then send M1",IF(AND(R442="",Q442&lt;&gt;""),"Sequence complete — no contact before "&amp;TEXT(Q442+SETTINGS!$B$5,"yyyy-mm-dd"),IF(AND(R442="",P442&lt;&gt;""),"Send final note (M4)",IF(R442="","Send follow-up (M2)",IF(AJ442="12 ACTIVATED","7-day check-in; consent &amp; referral soft ask",IF(AJ442="13 Transacting","Repeat-activity support","Onboarding: move to next stage (see playbook §6)"))))))))</f>
        <v/>
      </c>
      <c r="AM442">
        <f>IF(ISNUMBER(AK442),IF(AK442&lt;=TODAY(),"DUE",""),"")</f>
        <v/>
      </c>
      <c r="AN442">
        <f>IF(COUNT(O442,P442,Q442,R442,T442,V442,W442,X442,Y442,Z442,AA442,AC442)=0,"",TODAY()-MAX(O442,P442,Q442,R442,T442,V442,W442,X442,Y442,Z442,AA442,AC442))</f>
        <v/>
      </c>
      <c r="AO442">
        <f>IF(AJ442="","",IF(AND(T442&lt;&gt;"",U442&lt;&gt;"Active (verified)"),"GST: escalate (no tax advice)",IF(AND(IFERROR(VALUE(LEFT(AJ442,2)),0)&gt;=5,AH442&lt;&gt;"YES",ISNUMBER(AN442),AN442&gt;SETTINGS!$B$14),"STUCK in onboarding","")))</f>
        <v/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s="10" t="inlineStr"/>
      <c r="P443" s="10" t="inlineStr"/>
      <c r="Q443" s="10" t="inlineStr"/>
      <c r="R443" s="10" t="inlineStr"/>
      <c r="S443" t="inlineStr"/>
      <c r="T443" s="10" t="inlineStr"/>
      <c r="U443" t="inlineStr"/>
      <c r="V443" s="10" t="inlineStr"/>
      <c r="W443" s="10" t="inlineStr"/>
      <c r="X443" s="10" t="inlineStr"/>
      <c r="Y443" s="10" t="inlineStr"/>
      <c r="Z443" s="10" t="inlineStr"/>
      <c r="AA443" s="10" t="inlineStr"/>
      <c r="AB443" t="inlineStr"/>
      <c r="AC443" s="10" t="inlineStr"/>
      <c r="AD443" t="inlineStr"/>
      <c r="AE443" t="inlineStr"/>
      <c r="AF443" s="10" t="inlineStr"/>
      <c r="AG443" t="inlineStr"/>
      <c r="AH443">
        <f>IF(AND(B443="",C443=""),"",IF(AND(X443&lt;&gt;"",Y443&lt;&gt;"",Z443&lt;&gt;"",AA443&lt;&gt;"",AB443="Y"),"YES","no"))</f>
        <v/>
      </c>
      <c r="AI443" s="10">
        <f>IF(AH443="YES",MAX(X443,Y443,Z443,AA443),"")</f>
        <v/>
      </c>
      <c r="AJ443">
        <f>IF(AND(B443="",C443=""),"",IF(OR(S443="Not interested",S443="Opt-out / do not contact"),"X Declined / suppressed",IF(S443="Bounced / undeliverable","X Bounced — research",IF(AC443&lt;&gt;"","13 Transacting",IF(AH443="YES","12 ACTIVATED",IF(Z443&lt;&gt;"","11 Listing live",IF(Y443&lt;&gt;"","10 Profile complete",IF(X443&lt;&gt;"","9 Approved",IF(W443&lt;&gt;"","8 KYC submitted",IF(V443&lt;&gt;"","7 Registered",IF(T443&lt;&gt;"","5 Interested",IF(R443&lt;&gt;"","4 Responded",IF(O443&lt;&gt;"","2 Contacted","1 Not yet contacted")))))))))))))</f>
        <v/>
      </c>
      <c r="AK443" s="10">
        <f>IF(AF443&lt;&gt;"",AF443,IF(OR(O443="",R443&lt;&gt;"",LEFT(AJ443,1)="X"),"",IF(Q443&lt;&gt;"","",IF(P443&lt;&gt;"",P443+SETTINGS!$B$4,O443+SETTINGS!$B$3))))</f>
        <v/>
      </c>
      <c r="AL443">
        <f>IF(AJ443="","",IF(LEFT(AJ443,1)="X","None — do not contact",IF(AJ443="1 Not yet contacted","Verify route today, then send M1",IF(AND(R443="",Q443&lt;&gt;""),"Sequence complete — no contact before "&amp;TEXT(Q443+SETTINGS!$B$5,"yyyy-mm-dd"),IF(AND(R443="",P443&lt;&gt;""),"Send final note (M4)",IF(R443="","Send follow-up (M2)",IF(AJ443="12 ACTIVATED","7-day check-in; consent &amp; referral soft ask",IF(AJ443="13 Transacting","Repeat-activity support","Onboarding: move to next stage (see playbook §6)"))))))))</f>
        <v/>
      </c>
      <c r="AM443">
        <f>IF(ISNUMBER(AK443),IF(AK443&lt;=TODAY(),"DUE",""),"")</f>
        <v/>
      </c>
      <c r="AN443">
        <f>IF(COUNT(O443,P443,Q443,R443,T443,V443,W443,X443,Y443,Z443,AA443,AC443)=0,"",TODAY()-MAX(O443,P443,Q443,R443,T443,V443,W443,X443,Y443,Z443,AA443,AC443))</f>
        <v/>
      </c>
      <c r="AO443">
        <f>IF(AJ443="","",IF(AND(T443&lt;&gt;"",U443&lt;&gt;"Active (verified)"),"GST: escalate (no tax advice)",IF(AND(IFERROR(VALUE(LEFT(AJ443,2)),0)&gt;=5,AH443&lt;&gt;"YES",ISNUMBER(AN443),AN443&gt;SETTINGS!$B$14),"STUCK in onboarding","")))</f>
        <v/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s="10" t="inlineStr"/>
      <c r="P444" s="10" t="inlineStr"/>
      <c r="Q444" s="10" t="inlineStr"/>
      <c r="R444" s="10" t="inlineStr"/>
      <c r="S444" t="inlineStr"/>
      <c r="T444" s="10" t="inlineStr"/>
      <c r="U444" t="inlineStr"/>
      <c r="V444" s="10" t="inlineStr"/>
      <c r="W444" s="10" t="inlineStr"/>
      <c r="X444" s="10" t="inlineStr"/>
      <c r="Y444" s="10" t="inlineStr"/>
      <c r="Z444" s="10" t="inlineStr"/>
      <c r="AA444" s="10" t="inlineStr"/>
      <c r="AB444" t="inlineStr"/>
      <c r="AC444" s="10" t="inlineStr"/>
      <c r="AD444" t="inlineStr"/>
      <c r="AE444" t="inlineStr"/>
      <c r="AF444" s="10" t="inlineStr"/>
      <c r="AG444" t="inlineStr"/>
      <c r="AH444">
        <f>IF(AND(B444="",C444=""),"",IF(AND(X444&lt;&gt;"",Y444&lt;&gt;"",Z444&lt;&gt;"",AA444&lt;&gt;"",AB444="Y"),"YES","no"))</f>
        <v/>
      </c>
      <c r="AI444" s="10">
        <f>IF(AH444="YES",MAX(X444,Y444,Z444,AA444),"")</f>
        <v/>
      </c>
      <c r="AJ444">
        <f>IF(AND(B444="",C444=""),"",IF(OR(S444="Not interested",S444="Opt-out / do not contact"),"X Declined / suppressed",IF(S444="Bounced / undeliverable","X Bounced — research",IF(AC444&lt;&gt;"","13 Transacting",IF(AH444="YES","12 ACTIVATED",IF(Z444&lt;&gt;"","11 Listing live",IF(Y444&lt;&gt;"","10 Profile complete",IF(X444&lt;&gt;"","9 Approved",IF(W444&lt;&gt;"","8 KYC submitted",IF(V444&lt;&gt;"","7 Registered",IF(T444&lt;&gt;"","5 Interested",IF(R444&lt;&gt;"","4 Responded",IF(O444&lt;&gt;"","2 Contacted","1 Not yet contacted")))))))))))))</f>
        <v/>
      </c>
      <c r="AK444" s="10">
        <f>IF(AF444&lt;&gt;"",AF444,IF(OR(O444="",R444&lt;&gt;"",LEFT(AJ444,1)="X"),"",IF(Q444&lt;&gt;"","",IF(P444&lt;&gt;"",P444+SETTINGS!$B$4,O444+SETTINGS!$B$3))))</f>
        <v/>
      </c>
      <c r="AL444">
        <f>IF(AJ444="","",IF(LEFT(AJ444,1)="X","None — do not contact",IF(AJ444="1 Not yet contacted","Verify route today, then send M1",IF(AND(R444="",Q444&lt;&gt;""),"Sequence complete — no contact before "&amp;TEXT(Q444+SETTINGS!$B$5,"yyyy-mm-dd"),IF(AND(R444="",P444&lt;&gt;""),"Send final note (M4)",IF(R444="","Send follow-up (M2)",IF(AJ444="12 ACTIVATED","7-day check-in; consent &amp; referral soft ask",IF(AJ444="13 Transacting","Repeat-activity support","Onboarding: move to next stage (see playbook §6)"))))))))</f>
        <v/>
      </c>
      <c r="AM444">
        <f>IF(ISNUMBER(AK444),IF(AK444&lt;=TODAY(),"DUE",""),"")</f>
        <v/>
      </c>
      <c r="AN444">
        <f>IF(COUNT(O444,P444,Q444,R444,T444,V444,W444,X444,Y444,Z444,AA444,AC444)=0,"",TODAY()-MAX(O444,P444,Q444,R444,T444,V444,W444,X444,Y444,Z444,AA444,AC444))</f>
        <v/>
      </c>
      <c r="AO444">
        <f>IF(AJ444="","",IF(AND(T444&lt;&gt;"",U444&lt;&gt;"Active (verified)"),"GST: escalate (no tax advice)",IF(AND(IFERROR(VALUE(LEFT(AJ444,2)),0)&gt;=5,AH444&lt;&gt;"YES",ISNUMBER(AN444),AN444&gt;SETTINGS!$B$14),"STUCK in onboarding","")))</f>
        <v/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s="10" t="inlineStr"/>
      <c r="P445" s="10" t="inlineStr"/>
      <c r="Q445" s="10" t="inlineStr"/>
      <c r="R445" s="10" t="inlineStr"/>
      <c r="S445" t="inlineStr"/>
      <c r="T445" s="10" t="inlineStr"/>
      <c r="U445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t="inlineStr"/>
      <c r="AC445" s="10" t="inlineStr"/>
      <c r="AD445" t="inlineStr"/>
      <c r="AE445" t="inlineStr"/>
      <c r="AF445" s="10" t="inlineStr"/>
      <c r="AG445" t="inlineStr"/>
      <c r="AH445">
        <f>IF(AND(B445="",C445=""),"",IF(AND(X445&lt;&gt;"",Y445&lt;&gt;"",Z445&lt;&gt;"",AA445&lt;&gt;"",AB445="Y"),"YES","no"))</f>
        <v/>
      </c>
      <c r="AI445" s="10">
        <f>IF(AH445="YES",MAX(X445,Y445,Z445,AA445),"")</f>
        <v/>
      </c>
      <c r="AJ445">
        <f>IF(AND(B445="",C445=""),"",IF(OR(S445="Not interested",S445="Opt-out / do not contact"),"X Declined / suppressed",IF(S445="Bounced / undeliverable","X Bounced — research",IF(AC445&lt;&gt;"","13 Transacting",IF(AH445="YES","12 ACTIVATED",IF(Z445&lt;&gt;"","11 Listing live",IF(Y445&lt;&gt;"","10 Profile complete",IF(X445&lt;&gt;"","9 Approved",IF(W445&lt;&gt;"","8 KYC submitted",IF(V445&lt;&gt;"","7 Registered",IF(T445&lt;&gt;"","5 Interested",IF(R445&lt;&gt;"","4 Responded",IF(O445&lt;&gt;"","2 Contacted","1 Not yet contacted")))))))))))))</f>
        <v/>
      </c>
      <c r="AK445" s="10">
        <f>IF(AF445&lt;&gt;"",AF445,IF(OR(O445="",R445&lt;&gt;"",LEFT(AJ445,1)="X"),"",IF(Q445&lt;&gt;"","",IF(P445&lt;&gt;"",P445+SETTINGS!$B$4,O445+SETTINGS!$B$3))))</f>
        <v/>
      </c>
      <c r="AL445">
        <f>IF(AJ445="","",IF(LEFT(AJ445,1)="X","None — do not contact",IF(AJ445="1 Not yet contacted","Verify route today, then send M1",IF(AND(R445="",Q445&lt;&gt;""),"Sequence complete — no contact before "&amp;TEXT(Q445+SETTINGS!$B$5,"yyyy-mm-dd"),IF(AND(R445="",P445&lt;&gt;""),"Send final note (M4)",IF(R445="","Send follow-up (M2)",IF(AJ445="12 ACTIVATED","7-day check-in; consent &amp; referral soft ask",IF(AJ445="13 Transacting","Repeat-activity support","Onboarding: move to next stage (see playbook §6)"))))))))</f>
        <v/>
      </c>
      <c r="AM445">
        <f>IF(ISNUMBER(AK445),IF(AK445&lt;=TODAY(),"DUE",""),"")</f>
        <v/>
      </c>
      <c r="AN445">
        <f>IF(COUNT(O445,P445,Q445,R445,T445,V445,W445,X445,Y445,Z445,AA445,AC445)=0,"",TODAY()-MAX(O445,P445,Q445,R445,T445,V445,W445,X445,Y445,Z445,AA445,AC445))</f>
        <v/>
      </c>
      <c r="AO445">
        <f>IF(AJ445="","",IF(AND(T445&lt;&gt;"",U445&lt;&gt;"Active (verified)"),"GST: escalate (no tax advice)",IF(AND(IFERROR(VALUE(LEFT(AJ445,2)),0)&gt;=5,AH445&lt;&gt;"YES",ISNUMBER(AN445),AN445&gt;SETTINGS!$B$14),"STUCK in onboarding","")))</f>
        <v/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s="10" t="inlineStr"/>
      <c r="P446" s="10" t="inlineStr"/>
      <c r="Q446" s="10" t="inlineStr"/>
      <c r="R446" s="10" t="inlineStr"/>
      <c r="S446" t="inlineStr"/>
      <c r="T446" s="10" t="inlineStr"/>
      <c r="U446" t="inlineStr"/>
      <c r="V446" s="10" t="inlineStr"/>
      <c r="W446" s="10" t="inlineStr"/>
      <c r="X446" s="10" t="inlineStr"/>
      <c r="Y446" s="10" t="inlineStr"/>
      <c r="Z446" s="10" t="inlineStr"/>
      <c r="AA446" s="10" t="inlineStr"/>
      <c r="AB446" t="inlineStr"/>
      <c r="AC446" s="10" t="inlineStr"/>
      <c r="AD446" t="inlineStr"/>
      <c r="AE446" t="inlineStr"/>
      <c r="AF446" s="10" t="inlineStr"/>
      <c r="AG446" t="inlineStr"/>
      <c r="AH446">
        <f>IF(AND(B446="",C446=""),"",IF(AND(X446&lt;&gt;"",Y446&lt;&gt;"",Z446&lt;&gt;"",AA446&lt;&gt;"",AB446="Y"),"YES","no"))</f>
        <v/>
      </c>
      <c r="AI446" s="10">
        <f>IF(AH446="YES",MAX(X446,Y446,Z446,AA446),"")</f>
        <v/>
      </c>
      <c r="AJ446">
        <f>IF(AND(B446="",C446=""),"",IF(OR(S446="Not interested",S446="Opt-out / do not contact"),"X Declined / suppressed",IF(S446="Bounced / undeliverable","X Bounced — research",IF(AC446&lt;&gt;"","13 Transacting",IF(AH446="YES","12 ACTIVATED",IF(Z446&lt;&gt;"","11 Listing live",IF(Y446&lt;&gt;"","10 Profile complete",IF(X446&lt;&gt;"","9 Approved",IF(W446&lt;&gt;"","8 KYC submitted",IF(V446&lt;&gt;"","7 Registered",IF(T446&lt;&gt;"","5 Interested",IF(R446&lt;&gt;"","4 Responded",IF(O446&lt;&gt;"","2 Contacted","1 Not yet contacted")))))))))))))</f>
        <v/>
      </c>
      <c r="AK446" s="10">
        <f>IF(AF446&lt;&gt;"",AF446,IF(OR(O446="",R446&lt;&gt;"",LEFT(AJ446,1)="X"),"",IF(Q446&lt;&gt;"","",IF(P446&lt;&gt;"",P446+SETTINGS!$B$4,O446+SETTINGS!$B$3))))</f>
        <v/>
      </c>
      <c r="AL446">
        <f>IF(AJ446="","",IF(LEFT(AJ446,1)="X","None — do not contact",IF(AJ446="1 Not yet contacted","Verify route today, then send M1",IF(AND(R446="",Q446&lt;&gt;""),"Sequence complete — no contact before "&amp;TEXT(Q446+SETTINGS!$B$5,"yyyy-mm-dd"),IF(AND(R446="",P446&lt;&gt;""),"Send final note (M4)",IF(R446="","Send follow-up (M2)",IF(AJ446="12 ACTIVATED","7-day check-in; consent &amp; referral soft ask",IF(AJ446="13 Transacting","Repeat-activity support","Onboarding: move to next stage (see playbook §6)"))))))))</f>
        <v/>
      </c>
      <c r="AM446">
        <f>IF(ISNUMBER(AK446),IF(AK446&lt;=TODAY(),"DUE",""),"")</f>
        <v/>
      </c>
      <c r="AN446">
        <f>IF(COUNT(O446,P446,Q446,R446,T446,V446,W446,X446,Y446,Z446,AA446,AC446)=0,"",TODAY()-MAX(O446,P446,Q446,R446,T446,V446,W446,X446,Y446,Z446,AA446,AC446))</f>
        <v/>
      </c>
      <c r="AO446">
        <f>IF(AJ446="","",IF(AND(T446&lt;&gt;"",U446&lt;&gt;"Active (verified)"),"GST: escalate (no tax advice)",IF(AND(IFERROR(VALUE(LEFT(AJ446,2)),0)&gt;=5,AH446&lt;&gt;"YES",ISNUMBER(AN446),AN446&gt;SETTINGS!$B$14),"STUCK in onboarding","")))</f>
        <v/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s="10" t="inlineStr"/>
      <c r="P447" s="10" t="inlineStr"/>
      <c r="Q447" s="10" t="inlineStr"/>
      <c r="R447" s="10" t="inlineStr"/>
      <c r="S447" t="inlineStr"/>
      <c r="T447" s="10" t="inlineStr"/>
      <c r="U447" t="inlineStr"/>
      <c r="V447" s="10" t="inlineStr"/>
      <c r="W447" s="10" t="inlineStr"/>
      <c r="X447" s="10" t="inlineStr"/>
      <c r="Y447" s="10" t="inlineStr"/>
      <c r="Z447" s="10" t="inlineStr"/>
      <c r="AA447" s="10" t="inlineStr"/>
      <c r="AB447" t="inlineStr"/>
      <c r="AC447" s="10" t="inlineStr"/>
      <c r="AD447" t="inlineStr"/>
      <c r="AE447" t="inlineStr"/>
      <c r="AF447" s="10" t="inlineStr"/>
      <c r="AG447" t="inlineStr"/>
      <c r="AH447">
        <f>IF(AND(B447="",C447=""),"",IF(AND(X447&lt;&gt;"",Y447&lt;&gt;"",Z447&lt;&gt;"",AA447&lt;&gt;"",AB447="Y"),"YES","no"))</f>
        <v/>
      </c>
      <c r="AI447" s="10">
        <f>IF(AH447="YES",MAX(X447,Y447,Z447,AA447),"")</f>
        <v/>
      </c>
      <c r="AJ447">
        <f>IF(AND(B447="",C447=""),"",IF(OR(S447="Not interested",S447="Opt-out / do not contact"),"X Declined / suppressed",IF(S447="Bounced / undeliverable","X Bounced — research",IF(AC447&lt;&gt;"","13 Transacting",IF(AH447="YES","12 ACTIVATED",IF(Z447&lt;&gt;"","11 Listing live",IF(Y447&lt;&gt;"","10 Profile complete",IF(X447&lt;&gt;"","9 Approved",IF(W447&lt;&gt;"","8 KYC submitted",IF(V447&lt;&gt;"","7 Registered",IF(T447&lt;&gt;"","5 Interested",IF(R447&lt;&gt;"","4 Responded",IF(O447&lt;&gt;"","2 Contacted","1 Not yet contacted")))))))))))))</f>
        <v/>
      </c>
      <c r="AK447" s="10">
        <f>IF(AF447&lt;&gt;"",AF447,IF(OR(O447="",R447&lt;&gt;"",LEFT(AJ447,1)="X"),"",IF(Q447&lt;&gt;"","",IF(P447&lt;&gt;"",P447+SETTINGS!$B$4,O447+SETTINGS!$B$3))))</f>
        <v/>
      </c>
      <c r="AL447">
        <f>IF(AJ447="","",IF(LEFT(AJ447,1)="X","None — do not contact",IF(AJ447="1 Not yet contacted","Verify route today, then send M1",IF(AND(R447="",Q447&lt;&gt;""),"Sequence complete — no contact before "&amp;TEXT(Q447+SETTINGS!$B$5,"yyyy-mm-dd"),IF(AND(R447="",P447&lt;&gt;""),"Send final note (M4)",IF(R447="","Send follow-up (M2)",IF(AJ447="12 ACTIVATED","7-day check-in; consent &amp; referral soft ask",IF(AJ447="13 Transacting","Repeat-activity support","Onboarding: move to next stage (see playbook §6)"))))))))</f>
        <v/>
      </c>
      <c r="AM447">
        <f>IF(ISNUMBER(AK447),IF(AK447&lt;=TODAY(),"DUE",""),"")</f>
        <v/>
      </c>
      <c r="AN447">
        <f>IF(COUNT(O447,P447,Q447,R447,T447,V447,W447,X447,Y447,Z447,AA447,AC447)=0,"",TODAY()-MAX(O447,P447,Q447,R447,T447,V447,W447,X447,Y447,Z447,AA447,AC447))</f>
        <v/>
      </c>
      <c r="AO447">
        <f>IF(AJ447="","",IF(AND(T447&lt;&gt;"",U447&lt;&gt;"Active (verified)"),"GST: escalate (no tax advice)",IF(AND(IFERROR(VALUE(LEFT(AJ447,2)),0)&gt;=5,AH447&lt;&gt;"YES",ISNUMBER(AN447),AN447&gt;SETTINGS!$B$14),"STUCK in onboarding","")))</f>
        <v/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s="10" t="inlineStr"/>
      <c r="P448" s="10" t="inlineStr"/>
      <c r="Q448" s="10" t="inlineStr"/>
      <c r="R448" s="10" t="inlineStr"/>
      <c r="S448" t="inlineStr"/>
      <c r="T448" s="10" t="inlineStr"/>
      <c r="U448" t="inlineStr"/>
      <c r="V448" s="10" t="inlineStr"/>
      <c r="W448" s="10" t="inlineStr"/>
      <c r="X448" s="10" t="inlineStr"/>
      <c r="Y448" s="10" t="inlineStr"/>
      <c r="Z448" s="10" t="inlineStr"/>
      <c r="AA448" s="10" t="inlineStr"/>
      <c r="AB448" t="inlineStr"/>
      <c r="AC448" s="10" t="inlineStr"/>
      <c r="AD448" t="inlineStr"/>
      <c r="AE448" t="inlineStr"/>
      <c r="AF448" s="10" t="inlineStr"/>
      <c r="AG448" t="inlineStr"/>
      <c r="AH448">
        <f>IF(AND(B448="",C448=""),"",IF(AND(X448&lt;&gt;"",Y448&lt;&gt;"",Z448&lt;&gt;"",AA448&lt;&gt;"",AB448="Y"),"YES","no"))</f>
        <v/>
      </c>
      <c r="AI448" s="10">
        <f>IF(AH448="YES",MAX(X448,Y448,Z448,AA448),"")</f>
        <v/>
      </c>
      <c r="AJ448">
        <f>IF(AND(B448="",C448=""),"",IF(OR(S448="Not interested",S448="Opt-out / do not contact"),"X Declined / suppressed",IF(S448="Bounced / undeliverable","X Bounced — research",IF(AC448&lt;&gt;"","13 Transacting",IF(AH448="YES","12 ACTIVATED",IF(Z448&lt;&gt;"","11 Listing live",IF(Y448&lt;&gt;"","10 Profile complete",IF(X448&lt;&gt;"","9 Approved",IF(W448&lt;&gt;"","8 KYC submitted",IF(V448&lt;&gt;"","7 Registered",IF(T448&lt;&gt;"","5 Interested",IF(R448&lt;&gt;"","4 Responded",IF(O448&lt;&gt;"","2 Contacted","1 Not yet contacted")))))))))))))</f>
        <v/>
      </c>
      <c r="AK448" s="10">
        <f>IF(AF448&lt;&gt;"",AF448,IF(OR(O448="",R448&lt;&gt;"",LEFT(AJ448,1)="X"),"",IF(Q448&lt;&gt;"","",IF(P448&lt;&gt;"",P448+SETTINGS!$B$4,O448+SETTINGS!$B$3))))</f>
        <v/>
      </c>
      <c r="AL448">
        <f>IF(AJ448="","",IF(LEFT(AJ448,1)="X","None — do not contact",IF(AJ448="1 Not yet contacted","Verify route today, then send M1",IF(AND(R448="",Q448&lt;&gt;""),"Sequence complete — no contact before "&amp;TEXT(Q448+SETTINGS!$B$5,"yyyy-mm-dd"),IF(AND(R448="",P448&lt;&gt;""),"Send final note (M4)",IF(R448="","Send follow-up (M2)",IF(AJ448="12 ACTIVATED","7-day check-in; consent &amp; referral soft ask",IF(AJ448="13 Transacting","Repeat-activity support","Onboarding: move to next stage (see playbook §6)"))))))))</f>
        <v/>
      </c>
      <c r="AM448">
        <f>IF(ISNUMBER(AK448),IF(AK448&lt;=TODAY(),"DUE",""),"")</f>
        <v/>
      </c>
      <c r="AN448">
        <f>IF(COUNT(O448,P448,Q448,R448,T448,V448,W448,X448,Y448,Z448,AA448,AC448)=0,"",TODAY()-MAX(O448,P448,Q448,R448,T448,V448,W448,X448,Y448,Z448,AA448,AC448))</f>
        <v/>
      </c>
      <c r="AO448">
        <f>IF(AJ448="","",IF(AND(T448&lt;&gt;"",U448&lt;&gt;"Active (verified)"),"GST: escalate (no tax advice)",IF(AND(IFERROR(VALUE(LEFT(AJ448,2)),0)&gt;=5,AH448&lt;&gt;"YES",ISNUMBER(AN448),AN448&gt;SETTINGS!$B$14),"STUCK in onboarding","")))</f>
        <v/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s="10" t="inlineStr"/>
      <c r="P449" s="10" t="inlineStr"/>
      <c r="Q449" s="10" t="inlineStr"/>
      <c r="R449" s="10" t="inlineStr"/>
      <c r="S449" t="inlineStr"/>
      <c r="T449" s="10" t="inlineStr"/>
      <c r="U449" t="inlineStr"/>
      <c r="V449" s="10" t="inlineStr"/>
      <c r="W449" s="10" t="inlineStr"/>
      <c r="X449" s="10" t="inlineStr"/>
      <c r="Y449" s="10" t="inlineStr"/>
      <c r="Z449" s="10" t="inlineStr"/>
      <c r="AA449" s="10" t="inlineStr"/>
      <c r="AB449" t="inlineStr"/>
      <c r="AC449" s="10" t="inlineStr"/>
      <c r="AD449" t="inlineStr"/>
      <c r="AE449" t="inlineStr"/>
      <c r="AF449" s="10" t="inlineStr"/>
      <c r="AG449" t="inlineStr"/>
      <c r="AH449">
        <f>IF(AND(B449="",C449=""),"",IF(AND(X449&lt;&gt;"",Y449&lt;&gt;"",Z449&lt;&gt;"",AA449&lt;&gt;"",AB449="Y"),"YES","no"))</f>
        <v/>
      </c>
      <c r="AI449" s="10">
        <f>IF(AH449="YES",MAX(X449,Y449,Z449,AA449),"")</f>
        <v/>
      </c>
      <c r="AJ449">
        <f>IF(AND(B449="",C449=""),"",IF(OR(S449="Not interested",S449="Opt-out / do not contact"),"X Declined / suppressed",IF(S449="Bounced / undeliverable","X Bounced — research",IF(AC449&lt;&gt;"","13 Transacting",IF(AH449="YES","12 ACTIVATED",IF(Z449&lt;&gt;"","11 Listing live",IF(Y449&lt;&gt;"","10 Profile complete",IF(X449&lt;&gt;"","9 Approved",IF(W449&lt;&gt;"","8 KYC submitted",IF(V449&lt;&gt;"","7 Registered",IF(T449&lt;&gt;"","5 Interested",IF(R449&lt;&gt;"","4 Responded",IF(O449&lt;&gt;"","2 Contacted","1 Not yet contacted")))))))))))))</f>
        <v/>
      </c>
      <c r="AK449" s="10">
        <f>IF(AF449&lt;&gt;"",AF449,IF(OR(O449="",R449&lt;&gt;"",LEFT(AJ449,1)="X"),"",IF(Q449&lt;&gt;"","",IF(P449&lt;&gt;"",P449+SETTINGS!$B$4,O449+SETTINGS!$B$3))))</f>
        <v/>
      </c>
      <c r="AL449">
        <f>IF(AJ449="","",IF(LEFT(AJ449,1)="X","None — do not contact",IF(AJ449="1 Not yet contacted","Verify route today, then send M1",IF(AND(R449="",Q449&lt;&gt;""),"Sequence complete — no contact before "&amp;TEXT(Q449+SETTINGS!$B$5,"yyyy-mm-dd"),IF(AND(R449="",P449&lt;&gt;""),"Send final note (M4)",IF(R449="","Send follow-up (M2)",IF(AJ449="12 ACTIVATED","7-day check-in; consent &amp; referral soft ask",IF(AJ449="13 Transacting","Repeat-activity support","Onboarding: move to next stage (see playbook §6)"))))))))</f>
        <v/>
      </c>
      <c r="AM449">
        <f>IF(ISNUMBER(AK449),IF(AK449&lt;=TODAY(),"DUE",""),"")</f>
        <v/>
      </c>
      <c r="AN449">
        <f>IF(COUNT(O449,P449,Q449,R449,T449,V449,W449,X449,Y449,Z449,AA449,AC449)=0,"",TODAY()-MAX(O449,P449,Q449,R449,T449,V449,W449,X449,Y449,Z449,AA449,AC449))</f>
        <v/>
      </c>
      <c r="AO449">
        <f>IF(AJ449="","",IF(AND(T449&lt;&gt;"",U449&lt;&gt;"Active (verified)"),"GST: escalate (no tax advice)",IF(AND(IFERROR(VALUE(LEFT(AJ449,2)),0)&gt;=5,AH449&lt;&gt;"YES",ISNUMBER(AN449),AN449&gt;SETTINGS!$B$14),"STUCK in onboarding","")))</f>
        <v/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s="10" t="inlineStr"/>
      <c r="P450" s="10" t="inlineStr"/>
      <c r="Q450" s="10" t="inlineStr"/>
      <c r="R450" s="10" t="inlineStr"/>
      <c r="S450" t="inlineStr"/>
      <c r="T450" s="10" t="inlineStr"/>
      <c r="U450" t="inlineStr"/>
      <c r="V450" s="10" t="inlineStr"/>
      <c r="W450" s="10" t="inlineStr"/>
      <c r="X450" s="10" t="inlineStr"/>
      <c r="Y450" s="10" t="inlineStr"/>
      <c r="Z450" s="10" t="inlineStr"/>
      <c r="AA450" s="10" t="inlineStr"/>
      <c r="AB450" t="inlineStr"/>
      <c r="AC450" s="10" t="inlineStr"/>
      <c r="AD450" t="inlineStr"/>
      <c r="AE450" t="inlineStr"/>
      <c r="AF450" s="10" t="inlineStr"/>
      <c r="AG450" t="inlineStr"/>
      <c r="AH450">
        <f>IF(AND(B450="",C450=""),"",IF(AND(X450&lt;&gt;"",Y450&lt;&gt;"",Z450&lt;&gt;"",AA450&lt;&gt;"",AB450="Y"),"YES","no"))</f>
        <v/>
      </c>
      <c r="AI450" s="10">
        <f>IF(AH450="YES",MAX(X450,Y450,Z450,AA450),"")</f>
        <v/>
      </c>
      <c r="AJ450">
        <f>IF(AND(B450="",C450=""),"",IF(OR(S450="Not interested",S450="Opt-out / do not contact"),"X Declined / suppressed",IF(S450="Bounced / undeliverable","X Bounced — research",IF(AC450&lt;&gt;"","13 Transacting",IF(AH450="YES","12 ACTIVATED",IF(Z450&lt;&gt;"","11 Listing live",IF(Y450&lt;&gt;"","10 Profile complete",IF(X450&lt;&gt;"","9 Approved",IF(W450&lt;&gt;"","8 KYC submitted",IF(V450&lt;&gt;"","7 Registered",IF(T450&lt;&gt;"","5 Interested",IF(R450&lt;&gt;"","4 Responded",IF(O450&lt;&gt;"","2 Contacted","1 Not yet contacted")))))))))))))</f>
        <v/>
      </c>
      <c r="AK450" s="10">
        <f>IF(AF450&lt;&gt;"",AF450,IF(OR(O450="",R450&lt;&gt;"",LEFT(AJ450,1)="X"),"",IF(Q450&lt;&gt;"","",IF(P450&lt;&gt;"",P450+SETTINGS!$B$4,O450+SETTINGS!$B$3))))</f>
        <v/>
      </c>
      <c r="AL450">
        <f>IF(AJ450="","",IF(LEFT(AJ450,1)="X","None — do not contact",IF(AJ450="1 Not yet contacted","Verify route today, then send M1",IF(AND(R450="",Q450&lt;&gt;""),"Sequence complete — no contact before "&amp;TEXT(Q450+SETTINGS!$B$5,"yyyy-mm-dd"),IF(AND(R450="",P450&lt;&gt;""),"Send final note (M4)",IF(R450="","Send follow-up (M2)",IF(AJ450="12 ACTIVATED","7-day check-in; consent &amp; referral soft ask",IF(AJ450="13 Transacting","Repeat-activity support","Onboarding: move to next stage (see playbook §6)"))))))))</f>
        <v/>
      </c>
      <c r="AM450">
        <f>IF(ISNUMBER(AK450),IF(AK450&lt;=TODAY(),"DUE",""),"")</f>
        <v/>
      </c>
      <c r="AN450">
        <f>IF(COUNT(O450,P450,Q450,R450,T450,V450,W450,X450,Y450,Z450,AA450,AC450)=0,"",TODAY()-MAX(O450,P450,Q450,R450,T450,V450,W450,X450,Y450,Z450,AA450,AC450))</f>
        <v/>
      </c>
      <c r="AO450">
        <f>IF(AJ450="","",IF(AND(T450&lt;&gt;"",U450&lt;&gt;"Active (verified)"),"GST: escalate (no tax advice)",IF(AND(IFERROR(VALUE(LEFT(AJ450,2)),0)&gt;=5,AH450&lt;&gt;"YES",ISNUMBER(AN450),AN450&gt;SETTINGS!$B$14),"STUCK in onboarding","")))</f>
        <v/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s="10" t="inlineStr"/>
      <c r="P451" s="10" t="inlineStr"/>
      <c r="Q451" s="10" t="inlineStr"/>
      <c r="R451" s="10" t="inlineStr"/>
      <c r="S451" t="inlineStr"/>
      <c r="T451" s="10" t="inlineStr"/>
      <c r="U451" t="inlineStr"/>
      <c r="V451" s="10" t="inlineStr"/>
      <c r="W451" s="10" t="inlineStr"/>
      <c r="X451" s="10" t="inlineStr"/>
      <c r="Y451" s="10" t="inlineStr"/>
      <c r="Z451" s="10" t="inlineStr"/>
      <c r="AA451" s="10" t="inlineStr"/>
      <c r="AB451" t="inlineStr"/>
      <c r="AC451" s="10" t="inlineStr"/>
      <c r="AD451" t="inlineStr"/>
      <c r="AE451" t="inlineStr"/>
      <c r="AF451" s="10" t="inlineStr"/>
      <c r="AG451" t="inlineStr"/>
      <c r="AH451">
        <f>IF(AND(B451="",C451=""),"",IF(AND(X451&lt;&gt;"",Y451&lt;&gt;"",Z451&lt;&gt;"",AA451&lt;&gt;"",AB451="Y"),"YES","no"))</f>
        <v/>
      </c>
      <c r="AI451" s="10">
        <f>IF(AH451="YES",MAX(X451,Y451,Z451,AA451),"")</f>
        <v/>
      </c>
      <c r="AJ451">
        <f>IF(AND(B451="",C451=""),"",IF(OR(S451="Not interested",S451="Opt-out / do not contact"),"X Declined / suppressed",IF(S451="Bounced / undeliverable","X Bounced — research",IF(AC451&lt;&gt;"","13 Transacting",IF(AH451="YES","12 ACTIVATED",IF(Z451&lt;&gt;"","11 Listing live",IF(Y451&lt;&gt;"","10 Profile complete",IF(X451&lt;&gt;"","9 Approved",IF(W451&lt;&gt;"","8 KYC submitted",IF(V451&lt;&gt;"","7 Registered",IF(T451&lt;&gt;"","5 Interested",IF(R451&lt;&gt;"","4 Responded",IF(O451&lt;&gt;"","2 Contacted","1 Not yet contacted")))))))))))))</f>
        <v/>
      </c>
      <c r="AK451" s="10">
        <f>IF(AF451&lt;&gt;"",AF451,IF(OR(O451="",R451&lt;&gt;"",LEFT(AJ451,1)="X"),"",IF(Q451&lt;&gt;"","",IF(P451&lt;&gt;"",P451+SETTINGS!$B$4,O451+SETTINGS!$B$3))))</f>
        <v/>
      </c>
      <c r="AL451">
        <f>IF(AJ451="","",IF(LEFT(AJ451,1)="X","None — do not contact",IF(AJ451="1 Not yet contacted","Verify route today, then send M1",IF(AND(R451="",Q451&lt;&gt;""),"Sequence complete — no contact before "&amp;TEXT(Q451+SETTINGS!$B$5,"yyyy-mm-dd"),IF(AND(R451="",P451&lt;&gt;""),"Send final note (M4)",IF(R451="","Send follow-up (M2)",IF(AJ451="12 ACTIVATED","7-day check-in; consent &amp; referral soft ask",IF(AJ451="13 Transacting","Repeat-activity support","Onboarding: move to next stage (see playbook §6)"))))))))</f>
        <v/>
      </c>
      <c r="AM451">
        <f>IF(ISNUMBER(AK451),IF(AK451&lt;=TODAY(),"DUE",""),"")</f>
        <v/>
      </c>
      <c r="AN451">
        <f>IF(COUNT(O451,P451,Q451,R451,T451,V451,W451,X451,Y451,Z451,AA451,AC451)=0,"",TODAY()-MAX(O451,P451,Q451,R451,T451,V451,W451,X451,Y451,Z451,AA451,AC451))</f>
        <v/>
      </c>
      <c r="AO451">
        <f>IF(AJ451="","",IF(AND(T451&lt;&gt;"",U451&lt;&gt;"Active (verified)"),"GST: escalate (no tax advice)",IF(AND(IFERROR(VALUE(LEFT(AJ451,2)),0)&gt;=5,AH451&lt;&gt;"YES",ISNUMBER(AN451),AN451&gt;SETTINGS!$B$14),"STUCK in onboarding","")))</f>
        <v/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s="10" t="inlineStr"/>
      <c r="P452" s="10" t="inlineStr"/>
      <c r="Q452" s="10" t="inlineStr"/>
      <c r="R452" s="10" t="inlineStr"/>
      <c r="S452" t="inlineStr"/>
      <c r="T452" s="10" t="inlineStr"/>
      <c r="U452" t="inlineStr"/>
      <c r="V452" s="10" t="inlineStr"/>
      <c r="W452" s="10" t="inlineStr"/>
      <c r="X452" s="10" t="inlineStr"/>
      <c r="Y452" s="10" t="inlineStr"/>
      <c r="Z452" s="10" t="inlineStr"/>
      <c r="AA452" s="10" t="inlineStr"/>
      <c r="AB452" t="inlineStr"/>
      <c r="AC452" s="10" t="inlineStr"/>
      <c r="AD452" t="inlineStr"/>
      <c r="AE452" t="inlineStr"/>
      <c r="AF452" s="10" t="inlineStr"/>
      <c r="AG452" t="inlineStr"/>
      <c r="AH452">
        <f>IF(AND(B452="",C452=""),"",IF(AND(X452&lt;&gt;"",Y452&lt;&gt;"",Z452&lt;&gt;"",AA452&lt;&gt;"",AB452="Y"),"YES","no"))</f>
        <v/>
      </c>
      <c r="AI452" s="10">
        <f>IF(AH452="YES",MAX(X452,Y452,Z452,AA452),"")</f>
        <v/>
      </c>
      <c r="AJ452">
        <f>IF(AND(B452="",C452=""),"",IF(OR(S452="Not interested",S452="Opt-out / do not contact"),"X Declined / suppressed",IF(S452="Bounced / undeliverable","X Bounced — research",IF(AC452&lt;&gt;"","13 Transacting",IF(AH452="YES","12 ACTIVATED",IF(Z452&lt;&gt;"","11 Listing live",IF(Y452&lt;&gt;"","10 Profile complete",IF(X452&lt;&gt;"","9 Approved",IF(W452&lt;&gt;"","8 KYC submitted",IF(V452&lt;&gt;"","7 Registered",IF(T452&lt;&gt;"","5 Interested",IF(R452&lt;&gt;"","4 Responded",IF(O452&lt;&gt;"","2 Contacted","1 Not yet contacted")))))))))))))</f>
        <v/>
      </c>
      <c r="AK452" s="10">
        <f>IF(AF452&lt;&gt;"",AF452,IF(OR(O452="",R452&lt;&gt;"",LEFT(AJ452,1)="X"),"",IF(Q452&lt;&gt;"","",IF(P452&lt;&gt;"",P452+SETTINGS!$B$4,O452+SETTINGS!$B$3))))</f>
        <v/>
      </c>
      <c r="AL452">
        <f>IF(AJ452="","",IF(LEFT(AJ452,1)="X","None — do not contact",IF(AJ452="1 Not yet contacted","Verify route today, then send M1",IF(AND(R452="",Q452&lt;&gt;""),"Sequence complete — no contact before "&amp;TEXT(Q452+SETTINGS!$B$5,"yyyy-mm-dd"),IF(AND(R452="",P452&lt;&gt;""),"Send final note (M4)",IF(R452="","Send follow-up (M2)",IF(AJ452="12 ACTIVATED","7-day check-in; consent &amp; referral soft ask",IF(AJ452="13 Transacting","Repeat-activity support","Onboarding: move to next stage (see playbook §6)"))))))))</f>
        <v/>
      </c>
      <c r="AM452">
        <f>IF(ISNUMBER(AK452),IF(AK452&lt;=TODAY(),"DUE",""),"")</f>
        <v/>
      </c>
      <c r="AN452">
        <f>IF(COUNT(O452,P452,Q452,R452,T452,V452,W452,X452,Y452,Z452,AA452,AC452)=0,"",TODAY()-MAX(O452,P452,Q452,R452,T452,V452,W452,X452,Y452,Z452,AA452,AC452))</f>
        <v/>
      </c>
      <c r="AO452">
        <f>IF(AJ452="","",IF(AND(T452&lt;&gt;"",U452&lt;&gt;"Active (verified)"),"GST: escalate (no tax advice)",IF(AND(IFERROR(VALUE(LEFT(AJ452,2)),0)&gt;=5,AH452&lt;&gt;"YES",ISNUMBER(AN452),AN452&gt;SETTINGS!$B$14),"STUCK in onboarding","")))</f>
        <v/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s="10" t="inlineStr"/>
      <c r="P453" s="10" t="inlineStr"/>
      <c r="Q453" s="10" t="inlineStr"/>
      <c r="R453" s="10" t="inlineStr"/>
      <c r="S453" t="inlineStr"/>
      <c r="T453" s="10" t="inlineStr"/>
      <c r="U453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t="inlineStr"/>
      <c r="AC453" s="10" t="inlineStr"/>
      <c r="AD453" t="inlineStr"/>
      <c r="AE453" t="inlineStr"/>
      <c r="AF453" s="10" t="inlineStr"/>
      <c r="AG453" t="inlineStr"/>
      <c r="AH453">
        <f>IF(AND(B453="",C453=""),"",IF(AND(X453&lt;&gt;"",Y453&lt;&gt;"",Z453&lt;&gt;"",AA453&lt;&gt;"",AB453="Y"),"YES","no"))</f>
        <v/>
      </c>
      <c r="AI453" s="10">
        <f>IF(AH453="YES",MAX(X453,Y453,Z453,AA453),"")</f>
        <v/>
      </c>
      <c r="AJ453">
        <f>IF(AND(B453="",C453=""),"",IF(OR(S453="Not interested",S453="Opt-out / do not contact"),"X Declined / suppressed",IF(S453="Bounced / undeliverable","X Bounced — research",IF(AC453&lt;&gt;"","13 Transacting",IF(AH453="YES","12 ACTIVATED",IF(Z453&lt;&gt;"","11 Listing live",IF(Y453&lt;&gt;"","10 Profile complete",IF(X453&lt;&gt;"","9 Approved",IF(W453&lt;&gt;"","8 KYC submitted",IF(V453&lt;&gt;"","7 Registered",IF(T453&lt;&gt;"","5 Interested",IF(R453&lt;&gt;"","4 Responded",IF(O453&lt;&gt;"","2 Contacted","1 Not yet contacted")))))))))))))</f>
        <v/>
      </c>
      <c r="AK453" s="10">
        <f>IF(AF453&lt;&gt;"",AF453,IF(OR(O453="",R453&lt;&gt;"",LEFT(AJ453,1)="X"),"",IF(Q453&lt;&gt;"","",IF(P453&lt;&gt;"",P453+SETTINGS!$B$4,O453+SETTINGS!$B$3))))</f>
        <v/>
      </c>
      <c r="AL453">
        <f>IF(AJ453="","",IF(LEFT(AJ453,1)="X","None — do not contact",IF(AJ453="1 Not yet contacted","Verify route today, then send M1",IF(AND(R453="",Q453&lt;&gt;""),"Sequence complete — no contact before "&amp;TEXT(Q453+SETTINGS!$B$5,"yyyy-mm-dd"),IF(AND(R453="",P453&lt;&gt;""),"Send final note (M4)",IF(R453="","Send follow-up (M2)",IF(AJ453="12 ACTIVATED","7-day check-in; consent &amp; referral soft ask",IF(AJ453="13 Transacting","Repeat-activity support","Onboarding: move to next stage (see playbook §6)"))))))))</f>
        <v/>
      </c>
      <c r="AM453">
        <f>IF(ISNUMBER(AK453),IF(AK453&lt;=TODAY(),"DUE",""),"")</f>
        <v/>
      </c>
      <c r="AN453">
        <f>IF(COUNT(O453,P453,Q453,R453,T453,V453,W453,X453,Y453,Z453,AA453,AC453)=0,"",TODAY()-MAX(O453,P453,Q453,R453,T453,V453,W453,X453,Y453,Z453,AA453,AC453))</f>
        <v/>
      </c>
      <c r="AO453">
        <f>IF(AJ453="","",IF(AND(T453&lt;&gt;"",U453&lt;&gt;"Active (verified)"),"GST: escalate (no tax advice)",IF(AND(IFERROR(VALUE(LEFT(AJ453,2)),0)&gt;=5,AH453&lt;&gt;"YES",ISNUMBER(AN453),AN453&gt;SETTINGS!$B$14),"STUCK in onboarding","")))</f>
        <v/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s="10" t="inlineStr"/>
      <c r="P454" s="10" t="inlineStr"/>
      <c r="Q454" s="10" t="inlineStr"/>
      <c r="R454" s="10" t="inlineStr"/>
      <c r="S454" t="inlineStr"/>
      <c r="T454" s="10" t="inlineStr"/>
      <c r="U454" t="inlineStr"/>
      <c r="V454" s="10" t="inlineStr"/>
      <c r="W454" s="10" t="inlineStr"/>
      <c r="X454" s="10" t="inlineStr"/>
      <c r="Y454" s="10" t="inlineStr"/>
      <c r="Z454" s="10" t="inlineStr"/>
      <c r="AA454" s="10" t="inlineStr"/>
      <c r="AB454" t="inlineStr"/>
      <c r="AC454" s="10" t="inlineStr"/>
      <c r="AD454" t="inlineStr"/>
      <c r="AE454" t="inlineStr"/>
      <c r="AF454" s="10" t="inlineStr"/>
      <c r="AG454" t="inlineStr"/>
      <c r="AH454">
        <f>IF(AND(B454="",C454=""),"",IF(AND(X454&lt;&gt;"",Y454&lt;&gt;"",Z454&lt;&gt;"",AA454&lt;&gt;"",AB454="Y"),"YES","no"))</f>
        <v/>
      </c>
      <c r="AI454" s="10">
        <f>IF(AH454="YES",MAX(X454,Y454,Z454,AA454),"")</f>
        <v/>
      </c>
      <c r="AJ454">
        <f>IF(AND(B454="",C454=""),"",IF(OR(S454="Not interested",S454="Opt-out / do not contact"),"X Declined / suppressed",IF(S454="Bounced / undeliverable","X Bounced — research",IF(AC454&lt;&gt;"","13 Transacting",IF(AH454="YES","12 ACTIVATED",IF(Z454&lt;&gt;"","11 Listing live",IF(Y454&lt;&gt;"","10 Profile complete",IF(X454&lt;&gt;"","9 Approved",IF(W454&lt;&gt;"","8 KYC submitted",IF(V454&lt;&gt;"","7 Registered",IF(T454&lt;&gt;"","5 Interested",IF(R454&lt;&gt;"","4 Responded",IF(O454&lt;&gt;"","2 Contacted","1 Not yet contacted")))))))))))))</f>
        <v/>
      </c>
      <c r="AK454" s="10">
        <f>IF(AF454&lt;&gt;"",AF454,IF(OR(O454="",R454&lt;&gt;"",LEFT(AJ454,1)="X"),"",IF(Q454&lt;&gt;"","",IF(P454&lt;&gt;"",P454+SETTINGS!$B$4,O454+SETTINGS!$B$3))))</f>
        <v/>
      </c>
      <c r="AL454">
        <f>IF(AJ454="","",IF(LEFT(AJ454,1)="X","None — do not contact",IF(AJ454="1 Not yet contacted","Verify route today, then send M1",IF(AND(R454="",Q454&lt;&gt;""),"Sequence complete — no contact before "&amp;TEXT(Q454+SETTINGS!$B$5,"yyyy-mm-dd"),IF(AND(R454="",P454&lt;&gt;""),"Send final note (M4)",IF(R454="","Send follow-up (M2)",IF(AJ454="12 ACTIVATED","7-day check-in; consent &amp; referral soft ask",IF(AJ454="13 Transacting","Repeat-activity support","Onboarding: move to next stage (see playbook §6)"))))))))</f>
        <v/>
      </c>
      <c r="AM454">
        <f>IF(ISNUMBER(AK454),IF(AK454&lt;=TODAY(),"DUE",""),"")</f>
        <v/>
      </c>
      <c r="AN454">
        <f>IF(COUNT(O454,P454,Q454,R454,T454,V454,W454,X454,Y454,Z454,AA454,AC454)=0,"",TODAY()-MAX(O454,P454,Q454,R454,T454,V454,W454,X454,Y454,Z454,AA454,AC454))</f>
        <v/>
      </c>
      <c r="AO454">
        <f>IF(AJ454="","",IF(AND(T454&lt;&gt;"",U454&lt;&gt;"Active (verified)"),"GST: escalate (no tax advice)",IF(AND(IFERROR(VALUE(LEFT(AJ454,2)),0)&gt;=5,AH454&lt;&gt;"YES",ISNUMBER(AN454),AN454&gt;SETTINGS!$B$14),"STUCK in onboarding","")))</f>
        <v/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s="10" t="inlineStr"/>
      <c r="P455" s="10" t="inlineStr"/>
      <c r="Q455" s="10" t="inlineStr"/>
      <c r="R455" s="10" t="inlineStr"/>
      <c r="S455" t="inlineStr"/>
      <c r="T455" s="10" t="inlineStr"/>
      <c r="U455" t="inlineStr"/>
      <c r="V455" s="10" t="inlineStr"/>
      <c r="W455" s="10" t="inlineStr"/>
      <c r="X455" s="10" t="inlineStr"/>
      <c r="Y455" s="10" t="inlineStr"/>
      <c r="Z455" s="10" t="inlineStr"/>
      <c r="AA455" s="10" t="inlineStr"/>
      <c r="AB455" t="inlineStr"/>
      <c r="AC455" s="10" t="inlineStr"/>
      <c r="AD455" t="inlineStr"/>
      <c r="AE455" t="inlineStr"/>
      <c r="AF455" s="10" t="inlineStr"/>
      <c r="AG455" t="inlineStr"/>
      <c r="AH455">
        <f>IF(AND(B455="",C455=""),"",IF(AND(X455&lt;&gt;"",Y455&lt;&gt;"",Z455&lt;&gt;"",AA455&lt;&gt;"",AB455="Y"),"YES","no"))</f>
        <v/>
      </c>
      <c r="AI455" s="10">
        <f>IF(AH455="YES",MAX(X455,Y455,Z455,AA455),"")</f>
        <v/>
      </c>
      <c r="AJ455">
        <f>IF(AND(B455="",C455=""),"",IF(OR(S455="Not interested",S455="Opt-out / do not contact"),"X Declined / suppressed",IF(S455="Bounced / undeliverable","X Bounced — research",IF(AC455&lt;&gt;"","13 Transacting",IF(AH455="YES","12 ACTIVATED",IF(Z455&lt;&gt;"","11 Listing live",IF(Y455&lt;&gt;"","10 Profile complete",IF(X455&lt;&gt;"","9 Approved",IF(W455&lt;&gt;"","8 KYC submitted",IF(V455&lt;&gt;"","7 Registered",IF(T455&lt;&gt;"","5 Interested",IF(R455&lt;&gt;"","4 Responded",IF(O455&lt;&gt;"","2 Contacted","1 Not yet contacted")))))))))))))</f>
        <v/>
      </c>
      <c r="AK455" s="10">
        <f>IF(AF455&lt;&gt;"",AF455,IF(OR(O455="",R455&lt;&gt;"",LEFT(AJ455,1)="X"),"",IF(Q455&lt;&gt;"","",IF(P455&lt;&gt;"",P455+SETTINGS!$B$4,O455+SETTINGS!$B$3))))</f>
        <v/>
      </c>
      <c r="AL455">
        <f>IF(AJ455="","",IF(LEFT(AJ455,1)="X","None — do not contact",IF(AJ455="1 Not yet contacted","Verify route today, then send M1",IF(AND(R455="",Q455&lt;&gt;""),"Sequence complete — no contact before "&amp;TEXT(Q455+SETTINGS!$B$5,"yyyy-mm-dd"),IF(AND(R455="",P455&lt;&gt;""),"Send final note (M4)",IF(R455="","Send follow-up (M2)",IF(AJ455="12 ACTIVATED","7-day check-in; consent &amp; referral soft ask",IF(AJ455="13 Transacting","Repeat-activity support","Onboarding: move to next stage (see playbook §6)"))))))))</f>
        <v/>
      </c>
      <c r="AM455">
        <f>IF(ISNUMBER(AK455),IF(AK455&lt;=TODAY(),"DUE",""),"")</f>
        <v/>
      </c>
      <c r="AN455">
        <f>IF(COUNT(O455,P455,Q455,R455,T455,V455,W455,X455,Y455,Z455,AA455,AC455)=0,"",TODAY()-MAX(O455,P455,Q455,R455,T455,V455,W455,X455,Y455,Z455,AA455,AC455))</f>
        <v/>
      </c>
      <c r="AO455">
        <f>IF(AJ455="","",IF(AND(T455&lt;&gt;"",U455&lt;&gt;"Active (verified)"),"GST: escalate (no tax advice)",IF(AND(IFERROR(VALUE(LEFT(AJ455,2)),0)&gt;=5,AH455&lt;&gt;"YES",ISNUMBER(AN455),AN455&gt;SETTINGS!$B$14),"STUCK in onboarding","")))</f>
        <v/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s="10" t="inlineStr"/>
      <c r="P456" s="10" t="inlineStr"/>
      <c r="Q456" s="10" t="inlineStr"/>
      <c r="R456" s="10" t="inlineStr"/>
      <c r="S456" t="inlineStr"/>
      <c r="T456" s="10" t="inlineStr"/>
      <c r="U456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t="inlineStr"/>
      <c r="AC456" s="10" t="inlineStr"/>
      <c r="AD456" t="inlineStr"/>
      <c r="AE456" t="inlineStr"/>
      <c r="AF456" s="10" t="inlineStr"/>
      <c r="AG456" t="inlineStr"/>
      <c r="AH456">
        <f>IF(AND(B456="",C456=""),"",IF(AND(X456&lt;&gt;"",Y456&lt;&gt;"",Z456&lt;&gt;"",AA456&lt;&gt;"",AB456="Y"),"YES","no"))</f>
        <v/>
      </c>
      <c r="AI456" s="10">
        <f>IF(AH456="YES",MAX(X456,Y456,Z456,AA456),"")</f>
        <v/>
      </c>
      <c r="AJ456">
        <f>IF(AND(B456="",C456=""),"",IF(OR(S456="Not interested",S456="Opt-out / do not contact"),"X Declined / suppressed",IF(S456="Bounced / undeliverable","X Bounced — research",IF(AC456&lt;&gt;"","13 Transacting",IF(AH456="YES","12 ACTIVATED",IF(Z456&lt;&gt;"","11 Listing live",IF(Y456&lt;&gt;"","10 Profile complete",IF(X456&lt;&gt;"","9 Approved",IF(W456&lt;&gt;"","8 KYC submitted",IF(V456&lt;&gt;"","7 Registered",IF(T456&lt;&gt;"","5 Interested",IF(R456&lt;&gt;"","4 Responded",IF(O456&lt;&gt;"","2 Contacted","1 Not yet contacted")))))))))))))</f>
        <v/>
      </c>
      <c r="AK456" s="10">
        <f>IF(AF456&lt;&gt;"",AF456,IF(OR(O456="",R456&lt;&gt;"",LEFT(AJ456,1)="X"),"",IF(Q456&lt;&gt;"","",IF(P456&lt;&gt;"",P456+SETTINGS!$B$4,O456+SETTINGS!$B$3))))</f>
        <v/>
      </c>
      <c r="AL456">
        <f>IF(AJ456="","",IF(LEFT(AJ456,1)="X","None — do not contact",IF(AJ456="1 Not yet contacted","Verify route today, then send M1",IF(AND(R456="",Q456&lt;&gt;""),"Sequence complete — no contact before "&amp;TEXT(Q456+SETTINGS!$B$5,"yyyy-mm-dd"),IF(AND(R456="",P456&lt;&gt;""),"Send final note (M4)",IF(R456="","Send follow-up (M2)",IF(AJ456="12 ACTIVATED","7-day check-in; consent &amp; referral soft ask",IF(AJ456="13 Transacting","Repeat-activity support","Onboarding: move to next stage (see playbook §6)"))))))))</f>
        <v/>
      </c>
      <c r="AM456">
        <f>IF(ISNUMBER(AK456),IF(AK456&lt;=TODAY(),"DUE",""),"")</f>
        <v/>
      </c>
      <c r="AN456">
        <f>IF(COUNT(O456,P456,Q456,R456,T456,V456,W456,X456,Y456,Z456,AA456,AC456)=0,"",TODAY()-MAX(O456,P456,Q456,R456,T456,V456,W456,X456,Y456,Z456,AA456,AC456))</f>
        <v/>
      </c>
      <c r="AO456">
        <f>IF(AJ456="","",IF(AND(T456&lt;&gt;"",U456&lt;&gt;"Active (verified)"),"GST: escalate (no tax advice)",IF(AND(IFERROR(VALUE(LEFT(AJ456,2)),0)&gt;=5,AH456&lt;&gt;"YES",ISNUMBER(AN456),AN456&gt;SETTINGS!$B$14),"STUCK in onboarding","")))</f>
        <v/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s="10" t="inlineStr"/>
      <c r="P457" s="10" t="inlineStr"/>
      <c r="Q457" s="10" t="inlineStr"/>
      <c r="R457" s="10" t="inlineStr"/>
      <c r="S457" t="inlineStr"/>
      <c r="T457" s="10" t="inlineStr"/>
      <c r="U457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t="inlineStr"/>
      <c r="AC457" s="10" t="inlineStr"/>
      <c r="AD457" t="inlineStr"/>
      <c r="AE457" t="inlineStr"/>
      <c r="AF457" s="10" t="inlineStr"/>
      <c r="AG457" t="inlineStr"/>
      <c r="AH457">
        <f>IF(AND(B457="",C457=""),"",IF(AND(X457&lt;&gt;"",Y457&lt;&gt;"",Z457&lt;&gt;"",AA457&lt;&gt;"",AB457="Y"),"YES","no"))</f>
        <v/>
      </c>
      <c r="AI457" s="10">
        <f>IF(AH457="YES",MAX(X457,Y457,Z457,AA457),"")</f>
        <v/>
      </c>
      <c r="AJ457">
        <f>IF(AND(B457="",C457=""),"",IF(OR(S457="Not interested",S457="Opt-out / do not contact"),"X Declined / suppressed",IF(S457="Bounced / undeliverable","X Bounced — research",IF(AC457&lt;&gt;"","13 Transacting",IF(AH457="YES","12 ACTIVATED",IF(Z457&lt;&gt;"","11 Listing live",IF(Y457&lt;&gt;"","10 Profile complete",IF(X457&lt;&gt;"","9 Approved",IF(W457&lt;&gt;"","8 KYC submitted",IF(V457&lt;&gt;"","7 Registered",IF(T457&lt;&gt;"","5 Interested",IF(R457&lt;&gt;"","4 Responded",IF(O457&lt;&gt;"","2 Contacted","1 Not yet contacted")))))))))))))</f>
        <v/>
      </c>
      <c r="AK457" s="10">
        <f>IF(AF457&lt;&gt;"",AF457,IF(OR(O457="",R457&lt;&gt;"",LEFT(AJ457,1)="X"),"",IF(Q457&lt;&gt;"","",IF(P457&lt;&gt;"",P457+SETTINGS!$B$4,O457+SETTINGS!$B$3))))</f>
        <v/>
      </c>
      <c r="AL457">
        <f>IF(AJ457="","",IF(LEFT(AJ457,1)="X","None — do not contact",IF(AJ457="1 Not yet contacted","Verify route today, then send M1",IF(AND(R457="",Q457&lt;&gt;""),"Sequence complete — no contact before "&amp;TEXT(Q457+SETTINGS!$B$5,"yyyy-mm-dd"),IF(AND(R457="",P457&lt;&gt;""),"Send final note (M4)",IF(R457="","Send follow-up (M2)",IF(AJ457="12 ACTIVATED","7-day check-in; consent &amp; referral soft ask",IF(AJ457="13 Transacting","Repeat-activity support","Onboarding: move to next stage (see playbook §6)"))))))))</f>
        <v/>
      </c>
      <c r="AM457">
        <f>IF(ISNUMBER(AK457),IF(AK457&lt;=TODAY(),"DUE",""),"")</f>
        <v/>
      </c>
      <c r="AN457">
        <f>IF(COUNT(O457,P457,Q457,R457,T457,V457,W457,X457,Y457,Z457,AA457,AC457)=0,"",TODAY()-MAX(O457,P457,Q457,R457,T457,V457,W457,X457,Y457,Z457,AA457,AC457))</f>
        <v/>
      </c>
      <c r="AO457">
        <f>IF(AJ457="","",IF(AND(T457&lt;&gt;"",U457&lt;&gt;"Active (verified)"),"GST: escalate (no tax advice)",IF(AND(IFERROR(VALUE(LEFT(AJ457,2)),0)&gt;=5,AH457&lt;&gt;"YES",ISNUMBER(AN457),AN457&gt;SETTINGS!$B$14),"STUCK in onboarding","")))</f>
        <v/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s="10" t="inlineStr"/>
      <c r="P458" s="10" t="inlineStr"/>
      <c r="Q458" s="10" t="inlineStr"/>
      <c r="R458" s="10" t="inlineStr"/>
      <c r="S458" t="inlineStr"/>
      <c r="T458" s="10" t="inlineStr"/>
      <c r="U458" t="inlineStr"/>
      <c r="V458" s="10" t="inlineStr"/>
      <c r="W458" s="10" t="inlineStr"/>
      <c r="X458" s="10" t="inlineStr"/>
      <c r="Y458" s="10" t="inlineStr"/>
      <c r="Z458" s="10" t="inlineStr"/>
      <c r="AA458" s="10" t="inlineStr"/>
      <c r="AB458" t="inlineStr"/>
      <c r="AC458" s="10" t="inlineStr"/>
      <c r="AD458" t="inlineStr"/>
      <c r="AE458" t="inlineStr"/>
      <c r="AF458" s="10" t="inlineStr"/>
      <c r="AG458" t="inlineStr"/>
      <c r="AH458">
        <f>IF(AND(B458="",C458=""),"",IF(AND(X458&lt;&gt;"",Y458&lt;&gt;"",Z458&lt;&gt;"",AA458&lt;&gt;"",AB458="Y"),"YES","no"))</f>
        <v/>
      </c>
      <c r="AI458" s="10">
        <f>IF(AH458="YES",MAX(X458,Y458,Z458,AA458),"")</f>
        <v/>
      </c>
      <c r="AJ458">
        <f>IF(AND(B458="",C458=""),"",IF(OR(S458="Not interested",S458="Opt-out / do not contact"),"X Declined / suppressed",IF(S458="Bounced / undeliverable","X Bounced — research",IF(AC458&lt;&gt;"","13 Transacting",IF(AH458="YES","12 ACTIVATED",IF(Z458&lt;&gt;"","11 Listing live",IF(Y458&lt;&gt;"","10 Profile complete",IF(X458&lt;&gt;"","9 Approved",IF(W458&lt;&gt;"","8 KYC submitted",IF(V458&lt;&gt;"","7 Registered",IF(T458&lt;&gt;"","5 Interested",IF(R458&lt;&gt;"","4 Responded",IF(O458&lt;&gt;"","2 Contacted","1 Not yet contacted")))))))))))))</f>
        <v/>
      </c>
      <c r="AK458" s="10">
        <f>IF(AF458&lt;&gt;"",AF458,IF(OR(O458="",R458&lt;&gt;"",LEFT(AJ458,1)="X"),"",IF(Q458&lt;&gt;"","",IF(P458&lt;&gt;"",P458+SETTINGS!$B$4,O458+SETTINGS!$B$3))))</f>
        <v/>
      </c>
      <c r="AL458">
        <f>IF(AJ458="","",IF(LEFT(AJ458,1)="X","None — do not contact",IF(AJ458="1 Not yet contacted","Verify route today, then send M1",IF(AND(R458="",Q458&lt;&gt;""),"Sequence complete — no contact before "&amp;TEXT(Q458+SETTINGS!$B$5,"yyyy-mm-dd"),IF(AND(R458="",P458&lt;&gt;""),"Send final note (M4)",IF(R458="","Send follow-up (M2)",IF(AJ458="12 ACTIVATED","7-day check-in; consent &amp; referral soft ask",IF(AJ458="13 Transacting","Repeat-activity support","Onboarding: move to next stage (see playbook §6)"))))))))</f>
        <v/>
      </c>
      <c r="AM458">
        <f>IF(ISNUMBER(AK458),IF(AK458&lt;=TODAY(),"DUE",""),"")</f>
        <v/>
      </c>
      <c r="AN458">
        <f>IF(COUNT(O458,P458,Q458,R458,T458,V458,W458,X458,Y458,Z458,AA458,AC458)=0,"",TODAY()-MAX(O458,P458,Q458,R458,T458,V458,W458,X458,Y458,Z458,AA458,AC458))</f>
        <v/>
      </c>
      <c r="AO458">
        <f>IF(AJ458="","",IF(AND(T458&lt;&gt;"",U458&lt;&gt;"Active (verified)"),"GST: escalate (no tax advice)",IF(AND(IFERROR(VALUE(LEFT(AJ458,2)),0)&gt;=5,AH458&lt;&gt;"YES",ISNUMBER(AN458),AN458&gt;SETTINGS!$B$14),"STUCK in onboarding","")))</f>
        <v/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s="10" t="inlineStr"/>
      <c r="P459" s="10" t="inlineStr"/>
      <c r="Q459" s="10" t="inlineStr"/>
      <c r="R459" s="10" t="inlineStr"/>
      <c r="S459" t="inlineStr"/>
      <c r="T459" s="10" t="inlineStr"/>
      <c r="U459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t="inlineStr"/>
      <c r="AC459" s="10" t="inlineStr"/>
      <c r="AD459" t="inlineStr"/>
      <c r="AE459" t="inlineStr"/>
      <c r="AF459" s="10" t="inlineStr"/>
      <c r="AG459" t="inlineStr"/>
      <c r="AH459">
        <f>IF(AND(B459="",C459=""),"",IF(AND(X459&lt;&gt;"",Y459&lt;&gt;"",Z459&lt;&gt;"",AA459&lt;&gt;"",AB459="Y"),"YES","no"))</f>
        <v/>
      </c>
      <c r="AI459" s="10">
        <f>IF(AH459="YES",MAX(X459,Y459,Z459,AA459),"")</f>
        <v/>
      </c>
      <c r="AJ459">
        <f>IF(AND(B459="",C459=""),"",IF(OR(S459="Not interested",S459="Opt-out / do not contact"),"X Declined / suppressed",IF(S459="Bounced / undeliverable","X Bounced — research",IF(AC459&lt;&gt;"","13 Transacting",IF(AH459="YES","12 ACTIVATED",IF(Z459&lt;&gt;"","11 Listing live",IF(Y459&lt;&gt;"","10 Profile complete",IF(X459&lt;&gt;"","9 Approved",IF(W459&lt;&gt;"","8 KYC submitted",IF(V459&lt;&gt;"","7 Registered",IF(T459&lt;&gt;"","5 Interested",IF(R459&lt;&gt;"","4 Responded",IF(O459&lt;&gt;"","2 Contacted","1 Not yet contacted")))))))))))))</f>
        <v/>
      </c>
      <c r="AK459" s="10">
        <f>IF(AF459&lt;&gt;"",AF459,IF(OR(O459="",R459&lt;&gt;"",LEFT(AJ459,1)="X"),"",IF(Q459&lt;&gt;"","",IF(P459&lt;&gt;"",P459+SETTINGS!$B$4,O459+SETTINGS!$B$3))))</f>
        <v/>
      </c>
      <c r="AL459">
        <f>IF(AJ459="","",IF(LEFT(AJ459,1)="X","None — do not contact",IF(AJ459="1 Not yet contacted","Verify route today, then send M1",IF(AND(R459="",Q459&lt;&gt;""),"Sequence complete — no contact before "&amp;TEXT(Q459+SETTINGS!$B$5,"yyyy-mm-dd"),IF(AND(R459="",P459&lt;&gt;""),"Send final note (M4)",IF(R459="","Send follow-up (M2)",IF(AJ459="12 ACTIVATED","7-day check-in; consent &amp; referral soft ask",IF(AJ459="13 Transacting","Repeat-activity support","Onboarding: move to next stage (see playbook §6)"))))))))</f>
        <v/>
      </c>
      <c r="AM459">
        <f>IF(ISNUMBER(AK459),IF(AK459&lt;=TODAY(),"DUE",""),"")</f>
        <v/>
      </c>
      <c r="AN459">
        <f>IF(COUNT(O459,P459,Q459,R459,T459,V459,W459,X459,Y459,Z459,AA459,AC459)=0,"",TODAY()-MAX(O459,P459,Q459,R459,T459,V459,W459,X459,Y459,Z459,AA459,AC459))</f>
        <v/>
      </c>
      <c r="AO459">
        <f>IF(AJ459="","",IF(AND(T459&lt;&gt;"",U459&lt;&gt;"Active (verified)"),"GST: escalate (no tax advice)",IF(AND(IFERROR(VALUE(LEFT(AJ459,2)),0)&gt;=5,AH459&lt;&gt;"YES",ISNUMBER(AN459),AN459&gt;SETTINGS!$B$14),"STUCK in onboarding","")))</f>
        <v/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s="10" t="inlineStr"/>
      <c r="P460" s="10" t="inlineStr"/>
      <c r="Q460" s="10" t="inlineStr"/>
      <c r="R460" s="10" t="inlineStr"/>
      <c r="S460" t="inlineStr"/>
      <c r="T460" s="10" t="inlineStr"/>
      <c r="U460" t="inlineStr"/>
      <c r="V460" s="10" t="inlineStr"/>
      <c r="W460" s="10" t="inlineStr"/>
      <c r="X460" s="10" t="inlineStr"/>
      <c r="Y460" s="10" t="inlineStr"/>
      <c r="Z460" s="10" t="inlineStr"/>
      <c r="AA460" s="10" t="inlineStr"/>
      <c r="AB460" t="inlineStr"/>
      <c r="AC460" s="10" t="inlineStr"/>
      <c r="AD460" t="inlineStr"/>
      <c r="AE460" t="inlineStr"/>
      <c r="AF460" s="10" t="inlineStr"/>
      <c r="AG460" t="inlineStr"/>
      <c r="AH460">
        <f>IF(AND(B460="",C460=""),"",IF(AND(X460&lt;&gt;"",Y460&lt;&gt;"",Z460&lt;&gt;"",AA460&lt;&gt;"",AB460="Y"),"YES","no"))</f>
        <v/>
      </c>
      <c r="AI460" s="10">
        <f>IF(AH460="YES",MAX(X460,Y460,Z460,AA460),"")</f>
        <v/>
      </c>
      <c r="AJ460">
        <f>IF(AND(B460="",C460=""),"",IF(OR(S460="Not interested",S460="Opt-out / do not contact"),"X Declined / suppressed",IF(S460="Bounced / undeliverable","X Bounced — research",IF(AC460&lt;&gt;"","13 Transacting",IF(AH460="YES","12 ACTIVATED",IF(Z460&lt;&gt;"","11 Listing live",IF(Y460&lt;&gt;"","10 Profile complete",IF(X460&lt;&gt;"","9 Approved",IF(W460&lt;&gt;"","8 KYC submitted",IF(V460&lt;&gt;"","7 Registered",IF(T460&lt;&gt;"","5 Interested",IF(R460&lt;&gt;"","4 Responded",IF(O460&lt;&gt;"","2 Contacted","1 Not yet contacted")))))))))))))</f>
        <v/>
      </c>
      <c r="AK460" s="10">
        <f>IF(AF460&lt;&gt;"",AF460,IF(OR(O460="",R460&lt;&gt;"",LEFT(AJ460,1)="X"),"",IF(Q460&lt;&gt;"","",IF(P460&lt;&gt;"",P460+SETTINGS!$B$4,O460+SETTINGS!$B$3))))</f>
        <v/>
      </c>
      <c r="AL460">
        <f>IF(AJ460="","",IF(LEFT(AJ460,1)="X","None — do not contact",IF(AJ460="1 Not yet contacted","Verify route today, then send M1",IF(AND(R460="",Q460&lt;&gt;""),"Sequence complete — no contact before "&amp;TEXT(Q460+SETTINGS!$B$5,"yyyy-mm-dd"),IF(AND(R460="",P460&lt;&gt;""),"Send final note (M4)",IF(R460="","Send follow-up (M2)",IF(AJ460="12 ACTIVATED","7-day check-in; consent &amp; referral soft ask",IF(AJ460="13 Transacting","Repeat-activity support","Onboarding: move to next stage (see playbook §6)"))))))))</f>
        <v/>
      </c>
      <c r="AM460">
        <f>IF(ISNUMBER(AK460),IF(AK460&lt;=TODAY(),"DUE",""),"")</f>
        <v/>
      </c>
      <c r="AN460">
        <f>IF(COUNT(O460,P460,Q460,R460,T460,V460,W460,X460,Y460,Z460,AA460,AC460)=0,"",TODAY()-MAX(O460,P460,Q460,R460,T460,V460,W460,X460,Y460,Z460,AA460,AC460))</f>
        <v/>
      </c>
      <c r="AO460">
        <f>IF(AJ460="","",IF(AND(T460&lt;&gt;"",U460&lt;&gt;"Active (verified)"),"GST: escalate (no tax advice)",IF(AND(IFERROR(VALUE(LEFT(AJ460,2)),0)&gt;=5,AH460&lt;&gt;"YES",ISNUMBER(AN460),AN460&gt;SETTINGS!$B$14),"STUCK in onboarding","")))</f>
        <v/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s="10" t="inlineStr"/>
      <c r="P461" s="10" t="inlineStr"/>
      <c r="Q461" s="10" t="inlineStr"/>
      <c r="R461" s="10" t="inlineStr"/>
      <c r="S461" t="inlineStr"/>
      <c r="T461" s="10" t="inlineStr"/>
      <c r="U461" t="inlineStr"/>
      <c r="V461" s="10" t="inlineStr"/>
      <c r="W461" s="10" t="inlineStr"/>
      <c r="X461" s="10" t="inlineStr"/>
      <c r="Y461" s="10" t="inlineStr"/>
      <c r="Z461" s="10" t="inlineStr"/>
      <c r="AA461" s="10" t="inlineStr"/>
      <c r="AB461" t="inlineStr"/>
      <c r="AC461" s="10" t="inlineStr"/>
      <c r="AD461" t="inlineStr"/>
      <c r="AE461" t="inlineStr"/>
      <c r="AF461" s="10" t="inlineStr"/>
      <c r="AG461" t="inlineStr"/>
      <c r="AH461">
        <f>IF(AND(B461="",C461=""),"",IF(AND(X461&lt;&gt;"",Y461&lt;&gt;"",Z461&lt;&gt;"",AA461&lt;&gt;"",AB461="Y"),"YES","no"))</f>
        <v/>
      </c>
      <c r="AI461" s="10">
        <f>IF(AH461="YES",MAX(X461,Y461,Z461,AA461),"")</f>
        <v/>
      </c>
      <c r="AJ461">
        <f>IF(AND(B461="",C461=""),"",IF(OR(S461="Not interested",S461="Opt-out / do not contact"),"X Declined / suppressed",IF(S461="Bounced / undeliverable","X Bounced — research",IF(AC461&lt;&gt;"","13 Transacting",IF(AH461="YES","12 ACTIVATED",IF(Z461&lt;&gt;"","11 Listing live",IF(Y461&lt;&gt;"","10 Profile complete",IF(X461&lt;&gt;"","9 Approved",IF(W461&lt;&gt;"","8 KYC submitted",IF(V461&lt;&gt;"","7 Registered",IF(T461&lt;&gt;"","5 Interested",IF(R461&lt;&gt;"","4 Responded",IF(O461&lt;&gt;"","2 Contacted","1 Not yet contacted")))))))))))))</f>
        <v/>
      </c>
      <c r="AK461" s="10">
        <f>IF(AF461&lt;&gt;"",AF461,IF(OR(O461="",R461&lt;&gt;"",LEFT(AJ461,1)="X"),"",IF(Q461&lt;&gt;"","",IF(P461&lt;&gt;"",P461+SETTINGS!$B$4,O461+SETTINGS!$B$3))))</f>
        <v/>
      </c>
      <c r="AL461">
        <f>IF(AJ461="","",IF(LEFT(AJ461,1)="X","None — do not contact",IF(AJ461="1 Not yet contacted","Verify route today, then send M1",IF(AND(R461="",Q461&lt;&gt;""),"Sequence complete — no contact before "&amp;TEXT(Q461+SETTINGS!$B$5,"yyyy-mm-dd"),IF(AND(R461="",P461&lt;&gt;""),"Send final note (M4)",IF(R461="","Send follow-up (M2)",IF(AJ461="12 ACTIVATED","7-day check-in; consent &amp; referral soft ask",IF(AJ461="13 Transacting","Repeat-activity support","Onboarding: move to next stage (see playbook §6)"))))))))</f>
        <v/>
      </c>
      <c r="AM461">
        <f>IF(ISNUMBER(AK461),IF(AK461&lt;=TODAY(),"DUE",""),"")</f>
        <v/>
      </c>
      <c r="AN461">
        <f>IF(COUNT(O461,P461,Q461,R461,T461,V461,W461,X461,Y461,Z461,AA461,AC461)=0,"",TODAY()-MAX(O461,P461,Q461,R461,T461,V461,W461,X461,Y461,Z461,AA461,AC461))</f>
        <v/>
      </c>
      <c r="AO461">
        <f>IF(AJ461="","",IF(AND(T461&lt;&gt;"",U461&lt;&gt;"Active (verified)"),"GST: escalate (no tax advice)",IF(AND(IFERROR(VALUE(LEFT(AJ461,2)),0)&gt;=5,AH461&lt;&gt;"YES",ISNUMBER(AN461),AN461&gt;SETTINGS!$B$14),"STUCK in onboarding","")))</f>
        <v/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s="10" t="inlineStr"/>
      <c r="P462" s="10" t="inlineStr"/>
      <c r="Q462" s="10" t="inlineStr"/>
      <c r="R462" s="10" t="inlineStr"/>
      <c r="S462" t="inlineStr"/>
      <c r="T462" s="10" t="inlineStr"/>
      <c r="U462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t="inlineStr"/>
      <c r="AC462" s="10" t="inlineStr"/>
      <c r="AD462" t="inlineStr"/>
      <c r="AE462" t="inlineStr"/>
      <c r="AF462" s="10" t="inlineStr"/>
      <c r="AG462" t="inlineStr"/>
      <c r="AH462">
        <f>IF(AND(B462="",C462=""),"",IF(AND(X462&lt;&gt;"",Y462&lt;&gt;"",Z462&lt;&gt;"",AA462&lt;&gt;"",AB462="Y"),"YES","no"))</f>
        <v/>
      </c>
      <c r="AI462" s="10">
        <f>IF(AH462="YES",MAX(X462,Y462,Z462,AA462),"")</f>
        <v/>
      </c>
      <c r="AJ462">
        <f>IF(AND(B462="",C462=""),"",IF(OR(S462="Not interested",S462="Opt-out / do not contact"),"X Declined / suppressed",IF(S462="Bounced / undeliverable","X Bounced — research",IF(AC462&lt;&gt;"","13 Transacting",IF(AH462="YES","12 ACTIVATED",IF(Z462&lt;&gt;"","11 Listing live",IF(Y462&lt;&gt;"","10 Profile complete",IF(X462&lt;&gt;"","9 Approved",IF(W462&lt;&gt;"","8 KYC submitted",IF(V462&lt;&gt;"","7 Registered",IF(T462&lt;&gt;"","5 Interested",IF(R462&lt;&gt;"","4 Responded",IF(O462&lt;&gt;"","2 Contacted","1 Not yet contacted")))))))))))))</f>
        <v/>
      </c>
      <c r="AK462" s="10">
        <f>IF(AF462&lt;&gt;"",AF462,IF(OR(O462="",R462&lt;&gt;"",LEFT(AJ462,1)="X"),"",IF(Q462&lt;&gt;"","",IF(P462&lt;&gt;"",P462+SETTINGS!$B$4,O462+SETTINGS!$B$3))))</f>
        <v/>
      </c>
      <c r="AL462">
        <f>IF(AJ462="","",IF(LEFT(AJ462,1)="X","None — do not contact",IF(AJ462="1 Not yet contacted","Verify route today, then send M1",IF(AND(R462="",Q462&lt;&gt;""),"Sequence complete — no contact before "&amp;TEXT(Q462+SETTINGS!$B$5,"yyyy-mm-dd"),IF(AND(R462="",P462&lt;&gt;""),"Send final note (M4)",IF(R462="","Send follow-up (M2)",IF(AJ462="12 ACTIVATED","7-day check-in; consent &amp; referral soft ask",IF(AJ462="13 Transacting","Repeat-activity support","Onboarding: move to next stage (see playbook §6)"))))))))</f>
        <v/>
      </c>
      <c r="AM462">
        <f>IF(ISNUMBER(AK462),IF(AK462&lt;=TODAY(),"DUE",""),"")</f>
        <v/>
      </c>
      <c r="AN462">
        <f>IF(COUNT(O462,P462,Q462,R462,T462,V462,W462,X462,Y462,Z462,AA462,AC462)=0,"",TODAY()-MAX(O462,P462,Q462,R462,T462,V462,W462,X462,Y462,Z462,AA462,AC462))</f>
        <v/>
      </c>
      <c r="AO462">
        <f>IF(AJ462="","",IF(AND(T462&lt;&gt;"",U462&lt;&gt;"Active (verified)"),"GST: escalate (no tax advice)",IF(AND(IFERROR(VALUE(LEFT(AJ462,2)),0)&gt;=5,AH462&lt;&gt;"YES",ISNUMBER(AN462),AN462&gt;SETTINGS!$B$14),"STUCK in onboarding","")))</f>
        <v/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s="10" t="inlineStr"/>
      <c r="P463" s="10" t="inlineStr"/>
      <c r="Q463" s="10" t="inlineStr"/>
      <c r="R463" s="10" t="inlineStr"/>
      <c r="S463" t="inlineStr"/>
      <c r="T463" s="10" t="inlineStr"/>
      <c r="U463" t="inlineStr"/>
      <c r="V463" s="10" t="inlineStr"/>
      <c r="W463" s="10" t="inlineStr"/>
      <c r="X463" s="10" t="inlineStr"/>
      <c r="Y463" s="10" t="inlineStr"/>
      <c r="Z463" s="10" t="inlineStr"/>
      <c r="AA463" s="10" t="inlineStr"/>
      <c r="AB463" t="inlineStr"/>
      <c r="AC463" s="10" t="inlineStr"/>
      <c r="AD463" t="inlineStr"/>
      <c r="AE463" t="inlineStr"/>
      <c r="AF463" s="10" t="inlineStr"/>
      <c r="AG463" t="inlineStr"/>
      <c r="AH463">
        <f>IF(AND(B463="",C463=""),"",IF(AND(X463&lt;&gt;"",Y463&lt;&gt;"",Z463&lt;&gt;"",AA463&lt;&gt;"",AB463="Y"),"YES","no"))</f>
        <v/>
      </c>
      <c r="AI463" s="10">
        <f>IF(AH463="YES",MAX(X463,Y463,Z463,AA463),"")</f>
        <v/>
      </c>
      <c r="AJ463">
        <f>IF(AND(B463="",C463=""),"",IF(OR(S463="Not interested",S463="Opt-out / do not contact"),"X Declined / suppressed",IF(S463="Bounced / undeliverable","X Bounced — research",IF(AC463&lt;&gt;"","13 Transacting",IF(AH463="YES","12 ACTIVATED",IF(Z463&lt;&gt;"","11 Listing live",IF(Y463&lt;&gt;"","10 Profile complete",IF(X463&lt;&gt;"","9 Approved",IF(W463&lt;&gt;"","8 KYC submitted",IF(V463&lt;&gt;"","7 Registered",IF(T463&lt;&gt;"","5 Interested",IF(R463&lt;&gt;"","4 Responded",IF(O463&lt;&gt;"","2 Contacted","1 Not yet contacted")))))))))))))</f>
        <v/>
      </c>
      <c r="AK463" s="10">
        <f>IF(AF463&lt;&gt;"",AF463,IF(OR(O463="",R463&lt;&gt;"",LEFT(AJ463,1)="X"),"",IF(Q463&lt;&gt;"","",IF(P463&lt;&gt;"",P463+SETTINGS!$B$4,O463+SETTINGS!$B$3))))</f>
        <v/>
      </c>
      <c r="AL463">
        <f>IF(AJ463="","",IF(LEFT(AJ463,1)="X","None — do not contact",IF(AJ463="1 Not yet contacted","Verify route today, then send M1",IF(AND(R463="",Q463&lt;&gt;""),"Sequence complete — no contact before "&amp;TEXT(Q463+SETTINGS!$B$5,"yyyy-mm-dd"),IF(AND(R463="",P463&lt;&gt;""),"Send final note (M4)",IF(R463="","Send follow-up (M2)",IF(AJ463="12 ACTIVATED","7-day check-in; consent &amp; referral soft ask",IF(AJ463="13 Transacting","Repeat-activity support","Onboarding: move to next stage (see playbook §6)"))))))))</f>
        <v/>
      </c>
      <c r="AM463">
        <f>IF(ISNUMBER(AK463),IF(AK463&lt;=TODAY(),"DUE",""),"")</f>
        <v/>
      </c>
      <c r="AN463">
        <f>IF(COUNT(O463,P463,Q463,R463,T463,V463,W463,X463,Y463,Z463,AA463,AC463)=0,"",TODAY()-MAX(O463,P463,Q463,R463,T463,V463,W463,X463,Y463,Z463,AA463,AC463))</f>
        <v/>
      </c>
      <c r="AO463">
        <f>IF(AJ463="","",IF(AND(T463&lt;&gt;"",U463&lt;&gt;"Active (verified)"),"GST: escalate (no tax advice)",IF(AND(IFERROR(VALUE(LEFT(AJ463,2)),0)&gt;=5,AH463&lt;&gt;"YES",ISNUMBER(AN463),AN463&gt;SETTINGS!$B$14),"STUCK in onboarding","")))</f>
        <v/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s="10" t="inlineStr"/>
      <c r="P464" s="10" t="inlineStr"/>
      <c r="Q464" s="10" t="inlineStr"/>
      <c r="R464" s="10" t="inlineStr"/>
      <c r="S464" t="inlineStr"/>
      <c r="T464" s="10" t="inlineStr"/>
      <c r="U464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t="inlineStr"/>
      <c r="AC464" s="10" t="inlineStr"/>
      <c r="AD464" t="inlineStr"/>
      <c r="AE464" t="inlineStr"/>
      <c r="AF464" s="10" t="inlineStr"/>
      <c r="AG464" t="inlineStr"/>
      <c r="AH464">
        <f>IF(AND(B464="",C464=""),"",IF(AND(X464&lt;&gt;"",Y464&lt;&gt;"",Z464&lt;&gt;"",AA464&lt;&gt;"",AB464="Y"),"YES","no"))</f>
        <v/>
      </c>
      <c r="AI464" s="10">
        <f>IF(AH464="YES",MAX(X464,Y464,Z464,AA464),"")</f>
        <v/>
      </c>
      <c r="AJ464">
        <f>IF(AND(B464="",C464=""),"",IF(OR(S464="Not interested",S464="Opt-out / do not contact"),"X Declined / suppressed",IF(S464="Bounced / undeliverable","X Bounced — research",IF(AC464&lt;&gt;"","13 Transacting",IF(AH464="YES","12 ACTIVATED",IF(Z464&lt;&gt;"","11 Listing live",IF(Y464&lt;&gt;"","10 Profile complete",IF(X464&lt;&gt;"","9 Approved",IF(W464&lt;&gt;"","8 KYC submitted",IF(V464&lt;&gt;"","7 Registered",IF(T464&lt;&gt;"","5 Interested",IF(R464&lt;&gt;"","4 Responded",IF(O464&lt;&gt;"","2 Contacted","1 Not yet contacted")))))))))))))</f>
        <v/>
      </c>
      <c r="AK464" s="10">
        <f>IF(AF464&lt;&gt;"",AF464,IF(OR(O464="",R464&lt;&gt;"",LEFT(AJ464,1)="X"),"",IF(Q464&lt;&gt;"","",IF(P464&lt;&gt;"",P464+SETTINGS!$B$4,O464+SETTINGS!$B$3))))</f>
        <v/>
      </c>
      <c r="AL464">
        <f>IF(AJ464="","",IF(LEFT(AJ464,1)="X","None — do not contact",IF(AJ464="1 Not yet contacted","Verify route today, then send M1",IF(AND(R464="",Q464&lt;&gt;""),"Sequence complete — no contact before "&amp;TEXT(Q464+SETTINGS!$B$5,"yyyy-mm-dd"),IF(AND(R464="",P464&lt;&gt;""),"Send final note (M4)",IF(R464="","Send follow-up (M2)",IF(AJ464="12 ACTIVATED","7-day check-in; consent &amp; referral soft ask",IF(AJ464="13 Transacting","Repeat-activity support","Onboarding: move to next stage (see playbook §6)"))))))))</f>
        <v/>
      </c>
      <c r="AM464">
        <f>IF(ISNUMBER(AK464),IF(AK464&lt;=TODAY(),"DUE",""),"")</f>
        <v/>
      </c>
      <c r="AN464">
        <f>IF(COUNT(O464,P464,Q464,R464,T464,V464,W464,X464,Y464,Z464,AA464,AC464)=0,"",TODAY()-MAX(O464,P464,Q464,R464,T464,V464,W464,X464,Y464,Z464,AA464,AC464))</f>
        <v/>
      </c>
      <c r="AO464">
        <f>IF(AJ464="","",IF(AND(T464&lt;&gt;"",U464&lt;&gt;"Active (verified)"),"GST: escalate (no tax advice)",IF(AND(IFERROR(VALUE(LEFT(AJ464,2)),0)&gt;=5,AH464&lt;&gt;"YES",ISNUMBER(AN464),AN464&gt;SETTINGS!$B$14),"STUCK in onboarding","")))</f>
        <v/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s="10" t="inlineStr"/>
      <c r="P465" s="10" t="inlineStr"/>
      <c r="Q465" s="10" t="inlineStr"/>
      <c r="R465" s="10" t="inlineStr"/>
      <c r="S465" t="inlineStr"/>
      <c r="T465" s="10" t="inlineStr"/>
      <c r="U465" t="inlineStr"/>
      <c r="V465" s="10" t="inlineStr"/>
      <c r="W465" s="10" t="inlineStr"/>
      <c r="X465" s="10" t="inlineStr"/>
      <c r="Y465" s="10" t="inlineStr"/>
      <c r="Z465" s="10" t="inlineStr"/>
      <c r="AA465" s="10" t="inlineStr"/>
      <c r="AB465" t="inlineStr"/>
      <c r="AC465" s="10" t="inlineStr"/>
      <c r="AD465" t="inlineStr"/>
      <c r="AE465" t="inlineStr"/>
      <c r="AF465" s="10" t="inlineStr"/>
      <c r="AG465" t="inlineStr"/>
      <c r="AH465">
        <f>IF(AND(B465="",C465=""),"",IF(AND(X465&lt;&gt;"",Y465&lt;&gt;"",Z465&lt;&gt;"",AA465&lt;&gt;"",AB465="Y"),"YES","no"))</f>
        <v/>
      </c>
      <c r="AI465" s="10">
        <f>IF(AH465="YES",MAX(X465,Y465,Z465,AA465),"")</f>
        <v/>
      </c>
      <c r="AJ465">
        <f>IF(AND(B465="",C465=""),"",IF(OR(S465="Not interested",S465="Opt-out / do not contact"),"X Declined / suppressed",IF(S465="Bounced / undeliverable","X Bounced — research",IF(AC465&lt;&gt;"","13 Transacting",IF(AH465="YES","12 ACTIVATED",IF(Z465&lt;&gt;"","11 Listing live",IF(Y465&lt;&gt;"","10 Profile complete",IF(X465&lt;&gt;"","9 Approved",IF(W465&lt;&gt;"","8 KYC submitted",IF(V465&lt;&gt;"","7 Registered",IF(T465&lt;&gt;"","5 Interested",IF(R465&lt;&gt;"","4 Responded",IF(O465&lt;&gt;"","2 Contacted","1 Not yet contacted")))))))))))))</f>
        <v/>
      </c>
      <c r="AK465" s="10">
        <f>IF(AF465&lt;&gt;"",AF465,IF(OR(O465="",R465&lt;&gt;"",LEFT(AJ465,1)="X"),"",IF(Q465&lt;&gt;"","",IF(P465&lt;&gt;"",P465+SETTINGS!$B$4,O465+SETTINGS!$B$3))))</f>
        <v/>
      </c>
      <c r="AL465">
        <f>IF(AJ465="","",IF(LEFT(AJ465,1)="X","None — do not contact",IF(AJ465="1 Not yet contacted","Verify route today, then send M1",IF(AND(R465="",Q465&lt;&gt;""),"Sequence complete — no contact before "&amp;TEXT(Q465+SETTINGS!$B$5,"yyyy-mm-dd"),IF(AND(R465="",P465&lt;&gt;""),"Send final note (M4)",IF(R465="","Send follow-up (M2)",IF(AJ465="12 ACTIVATED","7-day check-in; consent &amp; referral soft ask",IF(AJ465="13 Transacting","Repeat-activity support","Onboarding: move to next stage (see playbook §6)"))))))))</f>
        <v/>
      </c>
      <c r="AM465">
        <f>IF(ISNUMBER(AK465),IF(AK465&lt;=TODAY(),"DUE",""),"")</f>
        <v/>
      </c>
      <c r="AN465">
        <f>IF(COUNT(O465,P465,Q465,R465,T465,V465,W465,X465,Y465,Z465,AA465,AC465)=0,"",TODAY()-MAX(O465,P465,Q465,R465,T465,V465,W465,X465,Y465,Z465,AA465,AC465))</f>
        <v/>
      </c>
      <c r="AO465">
        <f>IF(AJ465="","",IF(AND(T465&lt;&gt;"",U465&lt;&gt;"Active (verified)"),"GST: escalate (no tax advice)",IF(AND(IFERROR(VALUE(LEFT(AJ465,2)),0)&gt;=5,AH465&lt;&gt;"YES",ISNUMBER(AN465),AN465&gt;SETTINGS!$B$14),"STUCK in onboarding","")))</f>
        <v/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s="10" t="inlineStr"/>
      <c r="P466" s="10" t="inlineStr"/>
      <c r="Q466" s="10" t="inlineStr"/>
      <c r="R466" s="10" t="inlineStr"/>
      <c r="S466" t="inlineStr"/>
      <c r="T466" s="10" t="inlineStr"/>
      <c r="U466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t="inlineStr"/>
      <c r="AC466" s="10" t="inlineStr"/>
      <c r="AD466" t="inlineStr"/>
      <c r="AE466" t="inlineStr"/>
      <c r="AF466" s="10" t="inlineStr"/>
      <c r="AG466" t="inlineStr"/>
      <c r="AH466">
        <f>IF(AND(B466="",C466=""),"",IF(AND(X466&lt;&gt;"",Y466&lt;&gt;"",Z466&lt;&gt;"",AA466&lt;&gt;"",AB466="Y"),"YES","no"))</f>
        <v/>
      </c>
      <c r="AI466" s="10">
        <f>IF(AH466="YES",MAX(X466,Y466,Z466,AA466),"")</f>
        <v/>
      </c>
      <c r="AJ466">
        <f>IF(AND(B466="",C466=""),"",IF(OR(S466="Not interested",S466="Opt-out / do not contact"),"X Declined / suppressed",IF(S466="Bounced / undeliverable","X Bounced — research",IF(AC466&lt;&gt;"","13 Transacting",IF(AH466="YES","12 ACTIVATED",IF(Z466&lt;&gt;"","11 Listing live",IF(Y466&lt;&gt;"","10 Profile complete",IF(X466&lt;&gt;"","9 Approved",IF(W466&lt;&gt;"","8 KYC submitted",IF(V466&lt;&gt;"","7 Registered",IF(T466&lt;&gt;"","5 Interested",IF(R466&lt;&gt;"","4 Responded",IF(O466&lt;&gt;"","2 Contacted","1 Not yet contacted")))))))))))))</f>
        <v/>
      </c>
      <c r="AK466" s="10">
        <f>IF(AF466&lt;&gt;"",AF466,IF(OR(O466="",R466&lt;&gt;"",LEFT(AJ466,1)="X"),"",IF(Q466&lt;&gt;"","",IF(P466&lt;&gt;"",P466+SETTINGS!$B$4,O466+SETTINGS!$B$3))))</f>
        <v/>
      </c>
      <c r="AL466">
        <f>IF(AJ466="","",IF(LEFT(AJ466,1)="X","None — do not contact",IF(AJ466="1 Not yet contacted","Verify route today, then send M1",IF(AND(R466="",Q466&lt;&gt;""),"Sequence complete — no contact before "&amp;TEXT(Q466+SETTINGS!$B$5,"yyyy-mm-dd"),IF(AND(R466="",P466&lt;&gt;""),"Send final note (M4)",IF(R466="","Send follow-up (M2)",IF(AJ466="12 ACTIVATED","7-day check-in; consent &amp; referral soft ask",IF(AJ466="13 Transacting","Repeat-activity support","Onboarding: move to next stage (see playbook §6)"))))))))</f>
        <v/>
      </c>
      <c r="AM466">
        <f>IF(ISNUMBER(AK466),IF(AK466&lt;=TODAY(),"DUE",""),"")</f>
        <v/>
      </c>
      <c r="AN466">
        <f>IF(COUNT(O466,P466,Q466,R466,T466,V466,W466,X466,Y466,Z466,AA466,AC466)=0,"",TODAY()-MAX(O466,P466,Q466,R466,T466,V466,W466,X466,Y466,Z466,AA466,AC466))</f>
        <v/>
      </c>
      <c r="AO466">
        <f>IF(AJ466="","",IF(AND(T466&lt;&gt;"",U466&lt;&gt;"Active (verified)"),"GST: escalate (no tax advice)",IF(AND(IFERROR(VALUE(LEFT(AJ466,2)),0)&gt;=5,AH466&lt;&gt;"YES",ISNUMBER(AN466),AN466&gt;SETTINGS!$B$14),"STUCK in onboarding","")))</f>
        <v/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s="10" t="inlineStr"/>
      <c r="P467" s="10" t="inlineStr"/>
      <c r="Q467" s="10" t="inlineStr"/>
      <c r="R467" s="10" t="inlineStr"/>
      <c r="S467" t="inlineStr"/>
      <c r="T467" s="10" t="inlineStr"/>
      <c r="U467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t="inlineStr"/>
      <c r="AC467" s="10" t="inlineStr"/>
      <c r="AD467" t="inlineStr"/>
      <c r="AE467" t="inlineStr"/>
      <c r="AF467" s="10" t="inlineStr"/>
      <c r="AG467" t="inlineStr"/>
      <c r="AH467">
        <f>IF(AND(B467="",C467=""),"",IF(AND(X467&lt;&gt;"",Y467&lt;&gt;"",Z467&lt;&gt;"",AA467&lt;&gt;"",AB467="Y"),"YES","no"))</f>
        <v/>
      </c>
      <c r="AI467" s="10">
        <f>IF(AH467="YES",MAX(X467,Y467,Z467,AA467),"")</f>
        <v/>
      </c>
      <c r="AJ467">
        <f>IF(AND(B467="",C467=""),"",IF(OR(S467="Not interested",S467="Opt-out / do not contact"),"X Declined / suppressed",IF(S467="Bounced / undeliverable","X Bounced — research",IF(AC467&lt;&gt;"","13 Transacting",IF(AH467="YES","12 ACTIVATED",IF(Z467&lt;&gt;"","11 Listing live",IF(Y467&lt;&gt;"","10 Profile complete",IF(X467&lt;&gt;"","9 Approved",IF(W467&lt;&gt;"","8 KYC submitted",IF(V467&lt;&gt;"","7 Registered",IF(T467&lt;&gt;"","5 Interested",IF(R467&lt;&gt;"","4 Responded",IF(O467&lt;&gt;"","2 Contacted","1 Not yet contacted")))))))))))))</f>
        <v/>
      </c>
      <c r="AK467" s="10">
        <f>IF(AF467&lt;&gt;"",AF467,IF(OR(O467="",R467&lt;&gt;"",LEFT(AJ467,1)="X"),"",IF(Q467&lt;&gt;"","",IF(P467&lt;&gt;"",P467+SETTINGS!$B$4,O467+SETTINGS!$B$3))))</f>
        <v/>
      </c>
      <c r="AL467">
        <f>IF(AJ467="","",IF(LEFT(AJ467,1)="X","None — do not contact",IF(AJ467="1 Not yet contacted","Verify route today, then send M1",IF(AND(R467="",Q467&lt;&gt;""),"Sequence complete — no contact before "&amp;TEXT(Q467+SETTINGS!$B$5,"yyyy-mm-dd"),IF(AND(R467="",P467&lt;&gt;""),"Send final note (M4)",IF(R467="","Send follow-up (M2)",IF(AJ467="12 ACTIVATED","7-day check-in; consent &amp; referral soft ask",IF(AJ467="13 Transacting","Repeat-activity support","Onboarding: move to next stage (see playbook §6)"))))))))</f>
        <v/>
      </c>
      <c r="AM467">
        <f>IF(ISNUMBER(AK467),IF(AK467&lt;=TODAY(),"DUE",""),"")</f>
        <v/>
      </c>
      <c r="AN467">
        <f>IF(COUNT(O467,P467,Q467,R467,T467,V467,W467,X467,Y467,Z467,AA467,AC467)=0,"",TODAY()-MAX(O467,P467,Q467,R467,T467,V467,W467,X467,Y467,Z467,AA467,AC467))</f>
        <v/>
      </c>
      <c r="AO467">
        <f>IF(AJ467="","",IF(AND(T467&lt;&gt;"",U467&lt;&gt;"Active (verified)"),"GST: escalate (no tax advice)",IF(AND(IFERROR(VALUE(LEFT(AJ467,2)),0)&gt;=5,AH467&lt;&gt;"YES",ISNUMBER(AN467),AN467&gt;SETTINGS!$B$14),"STUCK in onboarding","")))</f>
        <v/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s="10" t="inlineStr"/>
      <c r="P468" s="10" t="inlineStr"/>
      <c r="Q468" s="10" t="inlineStr"/>
      <c r="R468" s="10" t="inlineStr"/>
      <c r="S468" t="inlineStr"/>
      <c r="T468" s="10" t="inlineStr"/>
      <c r="U468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t="inlineStr"/>
      <c r="AC468" s="10" t="inlineStr"/>
      <c r="AD468" t="inlineStr"/>
      <c r="AE468" t="inlineStr"/>
      <c r="AF468" s="10" t="inlineStr"/>
      <c r="AG468" t="inlineStr"/>
      <c r="AH468">
        <f>IF(AND(B468="",C468=""),"",IF(AND(X468&lt;&gt;"",Y468&lt;&gt;"",Z468&lt;&gt;"",AA468&lt;&gt;"",AB468="Y"),"YES","no"))</f>
        <v/>
      </c>
      <c r="AI468" s="10">
        <f>IF(AH468="YES",MAX(X468,Y468,Z468,AA468),"")</f>
        <v/>
      </c>
      <c r="AJ468">
        <f>IF(AND(B468="",C468=""),"",IF(OR(S468="Not interested",S468="Opt-out / do not contact"),"X Declined / suppressed",IF(S468="Bounced / undeliverable","X Bounced — research",IF(AC468&lt;&gt;"","13 Transacting",IF(AH468="YES","12 ACTIVATED",IF(Z468&lt;&gt;"","11 Listing live",IF(Y468&lt;&gt;"","10 Profile complete",IF(X468&lt;&gt;"","9 Approved",IF(W468&lt;&gt;"","8 KYC submitted",IF(V468&lt;&gt;"","7 Registered",IF(T468&lt;&gt;"","5 Interested",IF(R468&lt;&gt;"","4 Responded",IF(O468&lt;&gt;"","2 Contacted","1 Not yet contacted")))))))))))))</f>
        <v/>
      </c>
      <c r="AK468" s="10">
        <f>IF(AF468&lt;&gt;"",AF468,IF(OR(O468="",R468&lt;&gt;"",LEFT(AJ468,1)="X"),"",IF(Q468&lt;&gt;"","",IF(P468&lt;&gt;"",P468+SETTINGS!$B$4,O468+SETTINGS!$B$3))))</f>
        <v/>
      </c>
      <c r="AL468">
        <f>IF(AJ468="","",IF(LEFT(AJ468,1)="X","None — do not contact",IF(AJ468="1 Not yet contacted","Verify route today, then send M1",IF(AND(R468="",Q468&lt;&gt;""),"Sequence complete — no contact before "&amp;TEXT(Q468+SETTINGS!$B$5,"yyyy-mm-dd"),IF(AND(R468="",P468&lt;&gt;""),"Send final note (M4)",IF(R468="","Send follow-up (M2)",IF(AJ468="12 ACTIVATED","7-day check-in; consent &amp; referral soft ask",IF(AJ468="13 Transacting","Repeat-activity support","Onboarding: move to next stage (see playbook §6)"))))))))</f>
        <v/>
      </c>
      <c r="AM468">
        <f>IF(ISNUMBER(AK468),IF(AK468&lt;=TODAY(),"DUE",""),"")</f>
        <v/>
      </c>
      <c r="AN468">
        <f>IF(COUNT(O468,P468,Q468,R468,T468,V468,W468,X468,Y468,Z468,AA468,AC468)=0,"",TODAY()-MAX(O468,P468,Q468,R468,T468,V468,W468,X468,Y468,Z468,AA468,AC468))</f>
        <v/>
      </c>
      <c r="AO468">
        <f>IF(AJ468="","",IF(AND(T468&lt;&gt;"",U468&lt;&gt;"Active (verified)"),"GST: escalate (no tax advice)",IF(AND(IFERROR(VALUE(LEFT(AJ468,2)),0)&gt;=5,AH468&lt;&gt;"YES",ISNUMBER(AN468),AN468&gt;SETTINGS!$B$14),"STUCK in onboarding","")))</f>
        <v/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s="10" t="inlineStr"/>
      <c r="P469" s="10" t="inlineStr"/>
      <c r="Q469" s="10" t="inlineStr"/>
      <c r="R469" s="10" t="inlineStr"/>
      <c r="S469" t="inlineStr"/>
      <c r="T469" s="10" t="inlineStr"/>
      <c r="U469" t="inlineStr"/>
      <c r="V469" s="10" t="inlineStr"/>
      <c r="W469" s="10" t="inlineStr"/>
      <c r="X469" s="10" t="inlineStr"/>
      <c r="Y469" s="10" t="inlineStr"/>
      <c r="Z469" s="10" t="inlineStr"/>
      <c r="AA469" s="10" t="inlineStr"/>
      <c r="AB469" t="inlineStr"/>
      <c r="AC469" s="10" t="inlineStr"/>
      <c r="AD469" t="inlineStr"/>
      <c r="AE469" t="inlineStr"/>
      <c r="AF469" s="10" t="inlineStr"/>
      <c r="AG469" t="inlineStr"/>
      <c r="AH469">
        <f>IF(AND(B469="",C469=""),"",IF(AND(X469&lt;&gt;"",Y469&lt;&gt;"",Z469&lt;&gt;"",AA469&lt;&gt;"",AB469="Y"),"YES","no"))</f>
        <v/>
      </c>
      <c r="AI469" s="10">
        <f>IF(AH469="YES",MAX(X469,Y469,Z469,AA469),"")</f>
        <v/>
      </c>
      <c r="AJ469">
        <f>IF(AND(B469="",C469=""),"",IF(OR(S469="Not interested",S469="Opt-out / do not contact"),"X Declined / suppressed",IF(S469="Bounced / undeliverable","X Bounced — research",IF(AC469&lt;&gt;"","13 Transacting",IF(AH469="YES","12 ACTIVATED",IF(Z469&lt;&gt;"","11 Listing live",IF(Y469&lt;&gt;"","10 Profile complete",IF(X469&lt;&gt;"","9 Approved",IF(W469&lt;&gt;"","8 KYC submitted",IF(V469&lt;&gt;"","7 Registered",IF(T469&lt;&gt;"","5 Interested",IF(R469&lt;&gt;"","4 Responded",IF(O469&lt;&gt;"","2 Contacted","1 Not yet contacted")))))))))))))</f>
        <v/>
      </c>
      <c r="AK469" s="10">
        <f>IF(AF469&lt;&gt;"",AF469,IF(OR(O469="",R469&lt;&gt;"",LEFT(AJ469,1)="X"),"",IF(Q469&lt;&gt;"","",IF(P469&lt;&gt;"",P469+SETTINGS!$B$4,O469+SETTINGS!$B$3))))</f>
        <v/>
      </c>
      <c r="AL469">
        <f>IF(AJ469="","",IF(LEFT(AJ469,1)="X","None — do not contact",IF(AJ469="1 Not yet contacted","Verify route today, then send M1",IF(AND(R469="",Q469&lt;&gt;""),"Sequence complete — no contact before "&amp;TEXT(Q469+SETTINGS!$B$5,"yyyy-mm-dd"),IF(AND(R469="",P469&lt;&gt;""),"Send final note (M4)",IF(R469="","Send follow-up (M2)",IF(AJ469="12 ACTIVATED","7-day check-in; consent &amp; referral soft ask",IF(AJ469="13 Transacting","Repeat-activity support","Onboarding: move to next stage (see playbook §6)"))))))))</f>
        <v/>
      </c>
      <c r="AM469">
        <f>IF(ISNUMBER(AK469),IF(AK469&lt;=TODAY(),"DUE",""),"")</f>
        <v/>
      </c>
      <c r="AN469">
        <f>IF(COUNT(O469,P469,Q469,R469,T469,V469,W469,X469,Y469,Z469,AA469,AC469)=0,"",TODAY()-MAX(O469,P469,Q469,R469,T469,V469,W469,X469,Y469,Z469,AA469,AC469))</f>
        <v/>
      </c>
      <c r="AO469">
        <f>IF(AJ469="","",IF(AND(T469&lt;&gt;"",U469&lt;&gt;"Active (verified)"),"GST: escalate (no tax advice)",IF(AND(IFERROR(VALUE(LEFT(AJ469,2)),0)&gt;=5,AH469&lt;&gt;"YES",ISNUMBER(AN469),AN469&gt;SETTINGS!$B$14),"STUCK in onboarding","")))</f>
        <v/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s="10" t="inlineStr"/>
      <c r="P470" s="10" t="inlineStr"/>
      <c r="Q470" s="10" t="inlineStr"/>
      <c r="R470" s="10" t="inlineStr"/>
      <c r="S470" t="inlineStr"/>
      <c r="T470" s="10" t="inlineStr"/>
      <c r="U470" t="inlineStr"/>
      <c r="V470" s="10" t="inlineStr"/>
      <c r="W470" s="10" t="inlineStr"/>
      <c r="X470" s="10" t="inlineStr"/>
      <c r="Y470" s="10" t="inlineStr"/>
      <c r="Z470" s="10" t="inlineStr"/>
      <c r="AA470" s="10" t="inlineStr"/>
      <c r="AB470" t="inlineStr"/>
      <c r="AC470" s="10" t="inlineStr"/>
      <c r="AD470" t="inlineStr"/>
      <c r="AE470" t="inlineStr"/>
      <c r="AF470" s="10" t="inlineStr"/>
      <c r="AG470" t="inlineStr"/>
      <c r="AH470">
        <f>IF(AND(B470="",C470=""),"",IF(AND(X470&lt;&gt;"",Y470&lt;&gt;"",Z470&lt;&gt;"",AA470&lt;&gt;"",AB470="Y"),"YES","no"))</f>
        <v/>
      </c>
      <c r="AI470" s="10">
        <f>IF(AH470="YES",MAX(X470,Y470,Z470,AA470),"")</f>
        <v/>
      </c>
      <c r="AJ470">
        <f>IF(AND(B470="",C470=""),"",IF(OR(S470="Not interested",S470="Opt-out / do not contact"),"X Declined / suppressed",IF(S470="Bounced / undeliverable","X Bounced — research",IF(AC470&lt;&gt;"","13 Transacting",IF(AH470="YES","12 ACTIVATED",IF(Z470&lt;&gt;"","11 Listing live",IF(Y470&lt;&gt;"","10 Profile complete",IF(X470&lt;&gt;"","9 Approved",IF(W470&lt;&gt;"","8 KYC submitted",IF(V470&lt;&gt;"","7 Registered",IF(T470&lt;&gt;"","5 Interested",IF(R470&lt;&gt;"","4 Responded",IF(O470&lt;&gt;"","2 Contacted","1 Not yet contacted")))))))))))))</f>
        <v/>
      </c>
      <c r="AK470" s="10">
        <f>IF(AF470&lt;&gt;"",AF470,IF(OR(O470="",R470&lt;&gt;"",LEFT(AJ470,1)="X"),"",IF(Q470&lt;&gt;"","",IF(P470&lt;&gt;"",P470+SETTINGS!$B$4,O470+SETTINGS!$B$3))))</f>
        <v/>
      </c>
      <c r="AL470">
        <f>IF(AJ470="","",IF(LEFT(AJ470,1)="X","None — do not contact",IF(AJ470="1 Not yet contacted","Verify route today, then send M1",IF(AND(R470="",Q470&lt;&gt;""),"Sequence complete — no contact before "&amp;TEXT(Q470+SETTINGS!$B$5,"yyyy-mm-dd"),IF(AND(R470="",P470&lt;&gt;""),"Send final note (M4)",IF(R470="","Send follow-up (M2)",IF(AJ470="12 ACTIVATED","7-day check-in; consent &amp; referral soft ask",IF(AJ470="13 Transacting","Repeat-activity support","Onboarding: move to next stage (see playbook §6)"))))))))</f>
        <v/>
      </c>
      <c r="AM470">
        <f>IF(ISNUMBER(AK470),IF(AK470&lt;=TODAY(),"DUE",""),"")</f>
        <v/>
      </c>
      <c r="AN470">
        <f>IF(COUNT(O470,P470,Q470,R470,T470,V470,W470,X470,Y470,Z470,AA470,AC470)=0,"",TODAY()-MAX(O470,P470,Q470,R470,T470,V470,W470,X470,Y470,Z470,AA470,AC470))</f>
        <v/>
      </c>
      <c r="AO470">
        <f>IF(AJ470="","",IF(AND(T470&lt;&gt;"",U470&lt;&gt;"Active (verified)"),"GST: escalate (no tax advice)",IF(AND(IFERROR(VALUE(LEFT(AJ470,2)),0)&gt;=5,AH470&lt;&gt;"YES",ISNUMBER(AN470),AN470&gt;SETTINGS!$B$14),"STUCK in onboarding","")))</f>
        <v/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s="10" t="inlineStr"/>
      <c r="P471" s="10" t="inlineStr"/>
      <c r="Q471" s="10" t="inlineStr"/>
      <c r="R471" s="10" t="inlineStr"/>
      <c r="S471" t="inlineStr"/>
      <c r="T471" s="10" t="inlineStr"/>
      <c r="U471" t="inlineStr"/>
      <c r="V471" s="10" t="inlineStr"/>
      <c r="W471" s="10" t="inlineStr"/>
      <c r="X471" s="10" t="inlineStr"/>
      <c r="Y471" s="10" t="inlineStr"/>
      <c r="Z471" s="10" t="inlineStr"/>
      <c r="AA471" s="10" t="inlineStr"/>
      <c r="AB471" t="inlineStr"/>
      <c r="AC471" s="10" t="inlineStr"/>
      <c r="AD471" t="inlineStr"/>
      <c r="AE471" t="inlineStr"/>
      <c r="AF471" s="10" t="inlineStr"/>
      <c r="AG471" t="inlineStr"/>
      <c r="AH471">
        <f>IF(AND(B471="",C471=""),"",IF(AND(X471&lt;&gt;"",Y471&lt;&gt;"",Z471&lt;&gt;"",AA471&lt;&gt;"",AB471="Y"),"YES","no"))</f>
        <v/>
      </c>
      <c r="AI471" s="10">
        <f>IF(AH471="YES",MAX(X471,Y471,Z471,AA471),"")</f>
        <v/>
      </c>
      <c r="AJ471">
        <f>IF(AND(B471="",C471=""),"",IF(OR(S471="Not interested",S471="Opt-out / do not contact"),"X Declined / suppressed",IF(S471="Bounced / undeliverable","X Bounced — research",IF(AC471&lt;&gt;"","13 Transacting",IF(AH471="YES","12 ACTIVATED",IF(Z471&lt;&gt;"","11 Listing live",IF(Y471&lt;&gt;"","10 Profile complete",IF(X471&lt;&gt;"","9 Approved",IF(W471&lt;&gt;"","8 KYC submitted",IF(V471&lt;&gt;"","7 Registered",IF(T471&lt;&gt;"","5 Interested",IF(R471&lt;&gt;"","4 Responded",IF(O471&lt;&gt;"","2 Contacted","1 Not yet contacted")))))))))))))</f>
        <v/>
      </c>
      <c r="AK471" s="10">
        <f>IF(AF471&lt;&gt;"",AF471,IF(OR(O471="",R471&lt;&gt;"",LEFT(AJ471,1)="X"),"",IF(Q471&lt;&gt;"","",IF(P471&lt;&gt;"",P471+SETTINGS!$B$4,O471+SETTINGS!$B$3))))</f>
        <v/>
      </c>
      <c r="AL471">
        <f>IF(AJ471="","",IF(LEFT(AJ471,1)="X","None — do not contact",IF(AJ471="1 Not yet contacted","Verify route today, then send M1",IF(AND(R471="",Q471&lt;&gt;""),"Sequence complete — no contact before "&amp;TEXT(Q471+SETTINGS!$B$5,"yyyy-mm-dd"),IF(AND(R471="",P471&lt;&gt;""),"Send final note (M4)",IF(R471="","Send follow-up (M2)",IF(AJ471="12 ACTIVATED","7-day check-in; consent &amp; referral soft ask",IF(AJ471="13 Transacting","Repeat-activity support","Onboarding: move to next stage (see playbook §6)"))))))))</f>
        <v/>
      </c>
      <c r="AM471">
        <f>IF(ISNUMBER(AK471),IF(AK471&lt;=TODAY(),"DUE",""),"")</f>
        <v/>
      </c>
      <c r="AN471">
        <f>IF(COUNT(O471,P471,Q471,R471,T471,V471,W471,X471,Y471,Z471,AA471,AC471)=0,"",TODAY()-MAX(O471,P471,Q471,R471,T471,V471,W471,X471,Y471,Z471,AA471,AC471))</f>
        <v/>
      </c>
      <c r="AO471">
        <f>IF(AJ471="","",IF(AND(T471&lt;&gt;"",U471&lt;&gt;"Active (verified)"),"GST: escalate (no tax advice)",IF(AND(IFERROR(VALUE(LEFT(AJ471,2)),0)&gt;=5,AH471&lt;&gt;"YES",ISNUMBER(AN471),AN471&gt;SETTINGS!$B$14),"STUCK in onboarding","")))</f>
        <v/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s="10" t="inlineStr"/>
      <c r="P472" s="10" t="inlineStr"/>
      <c r="Q472" s="10" t="inlineStr"/>
      <c r="R472" s="10" t="inlineStr"/>
      <c r="S472" t="inlineStr"/>
      <c r="T472" s="10" t="inlineStr"/>
      <c r="U472" t="inlineStr"/>
      <c r="V472" s="10" t="inlineStr"/>
      <c r="W472" s="10" t="inlineStr"/>
      <c r="X472" s="10" t="inlineStr"/>
      <c r="Y472" s="10" t="inlineStr"/>
      <c r="Z472" s="10" t="inlineStr"/>
      <c r="AA472" s="10" t="inlineStr"/>
      <c r="AB472" t="inlineStr"/>
      <c r="AC472" s="10" t="inlineStr"/>
      <c r="AD472" t="inlineStr"/>
      <c r="AE472" t="inlineStr"/>
      <c r="AF472" s="10" t="inlineStr"/>
      <c r="AG472" t="inlineStr"/>
      <c r="AH472">
        <f>IF(AND(B472="",C472=""),"",IF(AND(X472&lt;&gt;"",Y472&lt;&gt;"",Z472&lt;&gt;"",AA472&lt;&gt;"",AB472="Y"),"YES","no"))</f>
        <v/>
      </c>
      <c r="AI472" s="10">
        <f>IF(AH472="YES",MAX(X472,Y472,Z472,AA472),"")</f>
        <v/>
      </c>
      <c r="AJ472">
        <f>IF(AND(B472="",C472=""),"",IF(OR(S472="Not interested",S472="Opt-out / do not contact"),"X Declined / suppressed",IF(S472="Bounced / undeliverable","X Bounced — research",IF(AC472&lt;&gt;"","13 Transacting",IF(AH472="YES","12 ACTIVATED",IF(Z472&lt;&gt;"","11 Listing live",IF(Y472&lt;&gt;"","10 Profile complete",IF(X472&lt;&gt;"","9 Approved",IF(W472&lt;&gt;"","8 KYC submitted",IF(V472&lt;&gt;"","7 Registered",IF(T472&lt;&gt;"","5 Interested",IF(R472&lt;&gt;"","4 Responded",IF(O472&lt;&gt;"","2 Contacted","1 Not yet contacted")))))))))))))</f>
        <v/>
      </c>
      <c r="AK472" s="10">
        <f>IF(AF472&lt;&gt;"",AF472,IF(OR(O472="",R472&lt;&gt;"",LEFT(AJ472,1)="X"),"",IF(Q472&lt;&gt;"","",IF(P472&lt;&gt;"",P472+SETTINGS!$B$4,O472+SETTINGS!$B$3))))</f>
        <v/>
      </c>
      <c r="AL472">
        <f>IF(AJ472="","",IF(LEFT(AJ472,1)="X","None — do not contact",IF(AJ472="1 Not yet contacted","Verify route today, then send M1",IF(AND(R472="",Q472&lt;&gt;""),"Sequence complete — no contact before "&amp;TEXT(Q472+SETTINGS!$B$5,"yyyy-mm-dd"),IF(AND(R472="",P472&lt;&gt;""),"Send final note (M4)",IF(R472="","Send follow-up (M2)",IF(AJ472="12 ACTIVATED","7-day check-in; consent &amp; referral soft ask",IF(AJ472="13 Transacting","Repeat-activity support","Onboarding: move to next stage (see playbook §6)"))))))))</f>
        <v/>
      </c>
      <c r="AM472">
        <f>IF(ISNUMBER(AK472),IF(AK472&lt;=TODAY(),"DUE",""),"")</f>
        <v/>
      </c>
      <c r="AN472">
        <f>IF(COUNT(O472,P472,Q472,R472,T472,V472,W472,X472,Y472,Z472,AA472,AC472)=0,"",TODAY()-MAX(O472,P472,Q472,R472,T472,V472,W472,X472,Y472,Z472,AA472,AC472))</f>
        <v/>
      </c>
      <c r="AO472">
        <f>IF(AJ472="","",IF(AND(T472&lt;&gt;"",U472&lt;&gt;"Active (verified)"),"GST: escalate (no tax advice)",IF(AND(IFERROR(VALUE(LEFT(AJ472,2)),0)&gt;=5,AH472&lt;&gt;"YES",ISNUMBER(AN472),AN472&gt;SETTINGS!$B$14),"STUCK in onboarding","")))</f>
        <v/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s="10" t="inlineStr"/>
      <c r="P473" s="10" t="inlineStr"/>
      <c r="Q473" s="10" t="inlineStr"/>
      <c r="R473" s="10" t="inlineStr"/>
      <c r="S473" t="inlineStr"/>
      <c r="T473" s="10" t="inlineStr"/>
      <c r="U473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t="inlineStr"/>
      <c r="AC473" s="10" t="inlineStr"/>
      <c r="AD473" t="inlineStr"/>
      <c r="AE473" t="inlineStr"/>
      <c r="AF473" s="10" t="inlineStr"/>
      <c r="AG473" t="inlineStr"/>
      <c r="AH473">
        <f>IF(AND(B473="",C473=""),"",IF(AND(X473&lt;&gt;"",Y473&lt;&gt;"",Z473&lt;&gt;"",AA473&lt;&gt;"",AB473="Y"),"YES","no"))</f>
        <v/>
      </c>
      <c r="AI473" s="10">
        <f>IF(AH473="YES",MAX(X473,Y473,Z473,AA473),"")</f>
        <v/>
      </c>
      <c r="AJ473">
        <f>IF(AND(B473="",C473=""),"",IF(OR(S473="Not interested",S473="Opt-out / do not contact"),"X Declined / suppressed",IF(S473="Bounced / undeliverable","X Bounced — research",IF(AC473&lt;&gt;"","13 Transacting",IF(AH473="YES","12 ACTIVATED",IF(Z473&lt;&gt;"","11 Listing live",IF(Y473&lt;&gt;"","10 Profile complete",IF(X473&lt;&gt;"","9 Approved",IF(W473&lt;&gt;"","8 KYC submitted",IF(V473&lt;&gt;"","7 Registered",IF(T473&lt;&gt;"","5 Interested",IF(R473&lt;&gt;"","4 Responded",IF(O473&lt;&gt;"","2 Contacted","1 Not yet contacted")))))))))))))</f>
        <v/>
      </c>
      <c r="AK473" s="10">
        <f>IF(AF473&lt;&gt;"",AF473,IF(OR(O473="",R473&lt;&gt;"",LEFT(AJ473,1)="X"),"",IF(Q473&lt;&gt;"","",IF(P473&lt;&gt;"",P473+SETTINGS!$B$4,O473+SETTINGS!$B$3))))</f>
        <v/>
      </c>
      <c r="AL473">
        <f>IF(AJ473="","",IF(LEFT(AJ473,1)="X","None — do not contact",IF(AJ473="1 Not yet contacted","Verify route today, then send M1",IF(AND(R473="",Q473&lt;&gt;""),"Sequence complete — no contact before "&amp;TEXT(Q473+SETTINGS!$B$5,"yyyy-mm-dd"),IF(AND(R473="",P473&lt;&gt;""),"Send final note (M4)",IF(R473="","Send follow-up (M2)",IF(AJ473="12 ACTIVATED","7-day check-in; consent &amp; referral soft ask",IF(AJ473="13 Transacting","Repeat-activity support","Onboarding: move to next stage (see playbook §6)"))))))))</f>
        <v/>
      </c>
      <c r="AM473">
        <f>IF(ISNUMBER(AK473),IF(AK473&lt;=TODAY(),"DUE",""),"")</f>
        <v/>
      </c>
      <c r="AN473">
        <f>IF(COUNT(O473,P473,Q473,R473,T473,V473,W473,X473,Y473,Z473,AA473,AC473)=0,"",TODAY()-MAX(O473,P473,Q473,R473,T473,V473,W473,X473,Y473,Z473,AA473,AC473))</f>
        <v/>
      </c>
      <c r="AO473">
        <f>IF(AJ473="","",IF(AND(T473&lt;&gt;"",U473&lt;&gt;"Active (verified)"),"GST: escalate (no tax advice)",IF(AND(IFERROR(VALUE(LEFT(AJ473,2)),0)&gt;=5,AH473&lt;&gt;"YES",ISNUMBER(AN473),AN473&gt;SETTINGS!$B$14),"STUCK in onboarding","")))</f>
        <v/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s="10" t="inlineStr"/>
      <c r="P474" s="10" t="inlineStr"/>
      <c r="Q474" s="10" t="inlineStr"/>
      <c r="R474" s="10" t="inlineStr"/>
      <c r="S474" t="inlineStr"/>
      <c r="T474" s="10" t="inlineStr"/>
      <c r="U474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t="inlineStr"/>
      <c r="AC474" s="10" t="inlineStr"/>
      <c r="AD474" t="inlineStr"/>
      <c r="AE474" t="inlineStr"/>
      <c r="AF474" s="10" t="inlineStr"/>
      <c r="AG474" t="inlineStr"/>
      <c r="AH474">
        <f>IF(AND(B474="",C474=""),"",IF(AND(X474&lt;&gt;"",Y474&lt;&gt;"",Z474&lt;&gt;"",AA474&lt;&gt;"",AB474="Y"),"YES","no"))</f>
        <v/>
      </c>
      <c r="AI474" s="10">
        <f>IF(AH474="YES",MAX(X474,Y474,Z474,AA474),"")</f>
        <v/>
      </c>
      <c r="AJ474">
        <f>IF(AND(B474="",C474=""),"",IF(OR(S474="Not interested",S474="Opt-out / do not contact"),"X Declined / suppressed",IF(S474="Bounced / undeliverable","X Bounced — research",IF(AC474&lt;&gt;"","13 Transacting",IF(AH474="YES","12 ACTIVATED",IF(Z474&lt;&gt;"","11 Listing live",IF(Y474&lt;&gt;"","10 Profile complete",IF(X474&lt;&gt;"","9 Approved",IF(W474&lt;&gt;"","8 KYC submitted",IF(V474&lt;&gt;"","7 Registered",IF(T474&lt;&gt;"","5 Interested",IF(R474&lt;&gt;"","4 Responded",IF(O474&lt;&gt;"","2 Contacted","1 Not yet contacted")))))))))))))</f>
        <v/>
      </c>
      <c r="AK474" s="10">
        <f>IF(AF474&lt;&gt;"",AF474,IF(OR(O474="",R474&lt;&gt;"",LEFT(AJ474,1)="X"),"",IF(Q474&lt;&gt;"","",IF(P474&lt;&gt;"",P474+SETTINGS!$B$4,O474+SETTINGS!$B$3))))</f>
        <v/>
      </c>
      <c r="AL474">
        <f>IF(AJ474="","",IF(LEFT(AJ474,1)="X","None — do not contact",IF(AJ474="1 Not yet contacted","Verify route today, then send M1",IF(AND(R474="",Q474&lt;&gt;""),"Sequence complete — no contact before "&amp;TEXT(Q474+SETTINGS!$B$5,"yyyy-mm-dd"),IF(AND(R474="",P474&lt;&gt;""),"Send final note (M4)",IF(R474="","Send follow-up (M2)",IF(AJ474="12 ACTIVATED","7-day check-in; consent &amp; referral soft ask",IF(AJ474="13 Transacting","Repeat-activity support","Onboarding: move to next stage (see playbook §6)"))))))))</f>
        <v/>
      </c>
      <c r="AM474">
        <f>IF(ISNUMBER(AK474),IF(AK474&lt;=TODAY(),"DUE",""),"")</f>
        <v/>
      </c>
      <c r="AN474">
        <f>IF(COUNT(O474,P474,Q474,R474,T474,V474,W474,X474,Y474,Z474,AA474,AC474)=0,"",TODAY()-MAX(O474,P474,Q474,R474,T474,V474,W474,X474,Y474,Z474,AA474,AC474))</f>
        <v/>
      </c>
      <c r="AO474">
        <f>IF(AJ474="","",IF(AND(T474&lt;&gt;"",U474&lt;&gt;"Active (verified)"),"GST: escalate (no tax advice)",IF(AND(IFERROR(VALUE(LEFT(AJ474,2)),0)&gt;=5,AH474&lt;&gt;"YES",ISNUMBER(AN474),AN474&gt;SETTINGS!$B$14),"STUCK in onboarding","")))</f>
        <v/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s="10" t="inlineStr"/>
      <c r="P475" s="10" t="inlineStr"/>
      <c r="Q475" s="10" t="inlineStr"/>
      <c r="R475" s="10" t="inlineStr"/>
      <c r="S475" t="inlineStr"/>
      <c r="T475" s="10" t="inlineStr"/>
      <c r="U475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t="inlineStr"/>
      <c r="AC475" s="10" t="inlineStr"/>
      <c r="AD475" t="inlineStr"/>
      <c r="AE475" t="inlineStr"/>
      <c r="AF475" s="10" t="inlineStr"/>
      <c r="AG475" t="inlineStr"/>
      <c r="AH475">
        <f>IF(AND(B475="",C475=""),"",IF(AND(X475&lt;&gt;"",Y475&lt;&gt;"",Z475&lt;&gt;"",AA475&lt;&gt;"",AB475="Y"),"YES","no"))</f>
        <v/>
      </c>
      <c r="AI475" s="10">
        <f>IF(AH475="YES",MAX(X475,Y475,Z475,AA475),"")</f>
        <v/>
      </c>
      <c r="AJ475">
        <f>IF(AND(B475="",C475=""),"",IF(OR(S475="Not interested",S475="Opt-out / do not contact"),"X Declined / suppressed",IF(S475="Bounced / undeliverable","X Bounced — research",IF(AC475&lt;&gt;"","13 Transacting",IF(AH475="YES","12 ACTIVATED",IF(Z475&lt;&gt;"","11 Listing live",IF(Y475&lt;&gt;"","10 Profile complete",IF(X475&lt;&gt;"","9 Approved",IF(W475&lt;&gt;"","8 KYC submitted",IF(V475&lt;&gt;"","7 Registered",IF(T475&lt;&gt;"","5 Interested",IF(R475&lt;&gt;"","4 Responded",IF(O475&lt;&gt;"","2 Contacted","1 Not yet contacted")))))))))))))</f>
        <v/>
      </c>
      <c r="AK475" s="10">
        <f>IF(AF475&lt;&gt;"",AF475,IF(OR(O475="",R475&lt;&gt;"",LEFT(AJ475,1)="X"),"",IF(Q475&lt;&gt;"","",IF(P475&lt;&gt;"",P475+SETTINGS!$B$4,O475+SETTINGS!$B$3))))</f>
        <v/>
      </c>
      <c r="AL475">
        <f>IF(AJ475="","",IF(LEFT(AJ475,1)="X","None — do not contact",IF(AJ475="1 Not yet contacted","Verify route today, then send M1",IF(AND(R475="",Q475&lt;&gt;""),"Sequence complete — no contact before "&amp;TEXT(Q475+SETTINGS!$B$5,"yyyy-mm-dd"),IF(AND(R475="",P475&lt;&gt;""),"Send final note (M4)",IF(R475="","Send follow-up (M2)",IF(AJ475="12 ACTIVATED","7-day check-in; consent &amp; referral soft ask",IF(AJ475="13 Transacting","Repeat-activity support","Onboarding: move to next stage (see playbook §6)"))))))))</f>
        <v/>
      </c>
      <c r="AM475">
        <f>IF(ISNUMBER(AK475),IF(AK475&lt;=TODAY(),"DUE",""),"")</f>
        <v/>
      </c>
      <c r="AN475">
        <f>IF(COUNT(O475,P475,Q475,R475,T475,V475,W475,X475,Y475,Z475,AA475,AC475)=0,"",TODAY()-MAX(O475,P475,Q475,R475,T475,V475,W475,X475,Y475,Z475,AA475,AC475))</f>
        <v/>
      </c>
      <c r="AO475">
        <f>IF(AJ475="","",IF(AND(T475&lt;&gt;"",U475&lt;&gt;"Active (verified)"),"GST: escalate (no tax advice)",IF(AND(IFERROR(VALUE(LEFT(AJ475,2)),0)&gt;=5,AH475&lt;&gt;"YES",ISNUMBER(AN475),AN475&gt;SETTINGS!$B$14),"STUCK in onboarding","")))</f>
        <v/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s="10" t="inlineStr"/>
      <c r="P476" s="10" t="inlineStr"/>
      <c r="Q476" s="10" t="inlineStr"/>
      <c r="R476" s="10" t="inlineStr"/>
      <c r="S476" t="inlineStr"/>
      <c r="T476" s="10" t="inlineStr"/>
      <c r="U476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t="inlineStr"/>
      <c r="AC476" s="10" t="inlineStr"/>
      <c r="AD476" t="inlineStr"/>
      <c r="AE476" t="inlineStr"/>
      <c r="AF476" s="10" t="inlineStr"/>
      <c r="AG476" t="inlineStr"/>
      <c r="AH476">
        <f>IF(AND(B476="",C476=""),"",IF(AND(X476&lt;&gt;"",Y476&lt;&gt;"",Z476&lt;&gt;"",AA476&lt;&gt;"",AB476="Y"),"YES","no"))</f>
        <v/>
      </c>
      <c r="AI476" s="10">
        <f>IF(AH476="YES",MAX(X476,Y476,Z476,AA476),"")</f>
        <v/>
      </c>
      <c r="AJ476">
        <f>IF(AND(B476="",C476=""),"",IF(OR(S476="Not interested",S476="Opt-out / do not contact"),"X Declined / suppressed",IF(S476="Bounced / undeliverable","X Bounced — research",IF(AC476&lt;&gt;"","13 Transacting",IF(AH476="YES","12 ACTIVATED",IF(Z476&lt;&gt;"","11 Listing live",IF(Y476&lt;&gt;"","10 Profile complete",IF(X476&lt;&gt;"","9 Approved",IF(W476&lt;&gt;"","8 KYC submitted",IF(V476&lt;&gt;"","7 Registered",IF(T476&lt;&gt;"","5 Interested",IF(R476&lt;&gt;"","4 Responded",IF(O476&lt;&gt;"","2 Contacted","1 Not yet contacted")))))))))))))</f>
        <v/>
      </c>
      <c r="AK476" s="10">
        <f>IF(AF476&lt;&gt;"",AF476,IF(OR(O476="",R476&lt;&gt;"",LEFT(AJ476,1)="X"),"",IF(Q476&lt;&gt;"","",IF(P476&lt;&gt;"",P476+SETTINGS!$B$4,O476+SETTINGS!$B$3))))</f>
        <v/>
      </c>
      <c r="AL476">
        <f>IF(AJ476="","",IF(LEFT(AJ476,1)="X","None — do not contact",IF(AJ476="1 Not yet contacted","Verify route today, then send M1",IF(AND(R476="",Q476&lt;&gt;""),"Sequence complete — no contact before "&amp;TEXT(Q476+SETTINGS!$B$5,"yyyy-mm-dd"),IF(AND(R476="",P476&lt;&gt;""),"Send final note (M4)",IF(R476="","Send follow-up (M2)",IF(AJ476="12 ACTIVATED","7-day check-in; consent &amp; referral soft ask",IF(AJ476="13 Transacting","Repeat-activity support","Onboarding: move to next stage (see playbook §6)"))))))))</f>
        <v/>
      </c>
      <c r="AM476">
        <f>IF(ISNUMBER(AK476),IF(AK476&lt;=TODAY(),"DUE",""),"")</f>
        <v/>
      </c>
      <c r="AN476">
        <f>IF(COUNT(O476,P476,Q476,R476,T476,V476,W476,X476,Y476,Z476,AA476,AC476)=0,"",TODAY()-MAX(O476,P476,Q476,R476,T476,V476,W476,X476,Y476,Z476,AA476,AC476))</f>
        <v/>
      </c>
      <c r="AO476">
        <f>IF(AJ476="","",IF(AND(T476&lt;&gt;"",U476&lt;&gt;"Active (verified)"),"GST: escalate (no tax advice)",IF(AND(IFERROR(VALUE(LEFT(AJ476,2)),0)&gt;=5,AH476&lt;&gt;"YES",ISNUMBER(AN476),AN476&gt;SETTINGS!$B$14),"STUCK in onboarding","")))</f>
        <v/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s="10" t="inlineStr"/>
      <c r="P477" s="10" t="inlineStr"/>
      <c r="Q477" s="10" t="inlineStr"/>
      <c r="R477" s="10" t="inlineStr"/>
      <c r="S477" t="inlineStr"/>
      <c r="T477" s="10" t="inlineStr"/>
      <c r="U477" t="inlineStr"/>
      <c r="V477" s="10" t="inlineStr"/>
      <c r="W477" s="10" t="inlineStr"/>
      <c r="X477" s="10" t="inlineStr"/>
      <c r="Y477" s="10" t="inlineStr"/>
      <c r="Z477" s="10" t="inlineStr"/>
      <c r="AA477" s="10" t="inlineStr"/>
      <c r="AB477" t="inlineStr"/>
      <c r="AC477" s="10" t="inlineStr"/>
      <c r="AD477" t="inlineStr"/>
      <c r="AE477" t="inlineStr"/>
      <c r="AF477" s="10" t="inlineStr"/>
      <c r="AG477" t="inlineStr"/>
      <c r="AH477">
        <f>IF(AND(B477="",C477=""),"",IF(AND(X477&lt;&gt;"",Y477&lt;&gt;"",Z477&lt;&gt;"",AA477&lt;&gt;"",AB477="Y"),"YES","no"))</f>
        <v/>
      </c>
      <c r="AI477" s="10">
        <f>IF(AH477="YES",MAX(X477,Y477,Z477,AA477),"")</f>
        <v/>
      </c>
      <c r="AJ477">
        <f>IF(AND(B477="",C477=""),"",IF(OR(S477="Not interested",S477="Opt-out / do not contact"),"X Declined / suppressed",IF(S477="Bounced / undeliverable","X Bounced — research",IF(AC477&lt;&gt;"","13 Transacting",IF(AH477="YES","12 ACTIVATED",IF(Z477&lt;&gt;"","11 Listing live",IF(Y477&lt;&gt;"","10 Profile complete",IF(X477&lt;&gt;"","9 Approved",IF(W477&lt;&gt;"","8 KYC submitted",IF(V477&lt;&gt;"","7 Registered",IF(T477&lt;&gt;"","5 Interested",IF(R477&lt;&gt;"","4 Responded",IF(O477&lt;&gt;"","2 Contacted","1 Not yet contacted")))))))))))))</f>
        <v/>
      </c>
      <c r="AK477" s="10">
        <f>IF(AF477&lt;&gt;"",AF477,IF(OR(O477="",R477&lt;&gt;"",LEFT(AJ477,1)="X"),"",IF(Q477&lt;&gt;"","",IF(P477&lt;&gt;"",P477+SETTINGS!$B$4,O477+SETTINGS!$B$3))))</f>
        <v/>
      </c>
      <c r="AL477">
        <f>IF(AJ477="","",IF(LEFT(AJ477,1)="X","None — do not contact",IF(AJ477="1 Not yet contacted","Verify route today, then send M1",IF(AND(R477="",Q477&lt;&gt;""),"Sequence complete — no contact before "&amp;TEXT(Q477+SETTINGS!$B$5,"yyyy-mm-dd"),IF(AND(R477="",P477&lt;&gt;""),"Send final note (M4)",IF(R477="","Send follow-up (M2)",IF(AJ477="12 ACTIVATED","7-day check-in; consent &amp; referral soft ask",IF(AJ477="13 Transacting","Repeat-activity support","Onboarding: move to next stage (see playbook §6)"))))))))</f>
        <v/>
      </c>
      <c r="AM477">
        <f>IF(ISNUMBER(AK477),IF(AK477&lt;=TODAY(),"DUE",""),"")</f>
        <v/>
      </c>
      <c r="AN477">
        <f>IF(COUNT(O477,P477,Q477,R477,T477,V477,W477,X477,Y477,Z477,AA477,AC477)=0,"",TODAY()-MAX(O477,P477,Q477,R477,T477,V477,W477,X477,Y477,Z477,AA477,AC477))</f>
        <v/>
      </c>
      <c r="AO477">
        <f>IF(AJ477="","",IF(AND(T477&lt;&gt;"",U477&lt;&gt;"Active (verified)"),"GST: escalate (no tax advice)",IF(AND(IFERROR(VALUE(LEFT(AJ477,2)),0)&gt;=5,AH477&lt;&gt;"YES",ISNUMBER(AN477),AN477&gt;SETTINGS!$B$14),"STUCK in onboarding","")))</f>
        <v/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s="10" t="inlineStr"/>
      <c r="P478" s="10" t="inlineStr"/>
      <c r="Q478" s="10" t="inlineStr"/>
      <c r="R478" s="10" t="inlineStr"/>
      <c r="S478" t="inlineStr"/>
      <c r="T478" s="10" t="inlineStr"/>
      <c r="U478" t="inlineStr"/>
      <c r="V478" s="10" t="inlineStr"/>
      <c r="W478" s="10" t="inlineStr"/>
      <c r="X478" s="10" t="inlineStr"/>
      <c r="Y478" s="10" t="inlineStr"/>
      <c r="Z478" s="10" t="inlineStr"/>
      <c r="AA478" s="10" t="inlineStr"/>
      <c r="AB478" t="inlineStr"/>
      <c r="AC478" s="10" t="inlineStr"/>
      <c r="AD478" t="inlineStr"/>
      <c r="AE478" t="inlineStr"/>
      <c r="AF478" s="10" t="inlineStr"/>
      <c r="AG478" t="inlineStr"/>
      <c r="AH478">
        <f>IF(AND(B478="",C478=""),"",IF(AND(X478&lt;&gt;"",Y478&lt;&gt;"",Z478&lt;&gt;"",AA478&lt;&gt;"",AB478="Y"),"YES","no"))</f>
        <v/>
      </c>
      <c r="AI478" s="10">
        <f>IF(AH478="YES",MAX(X478,Y478,Z478,AA478),"")</f>
        <v/>
      </c>
      <c r="AJ478">
        <f>IF(AND(B478="",C478=""),"",IF(OR(S478="Not interested",S478="Opt-out / do not contact"),"X Declined / suppressed",IF(S478="Bounced / undeliverable","X Bounced — research",IF(AC478&lt;&gt;"","13 Transacting",IF(AH478="YES","12 ACTIVATED",IF(Z478&lt;&gt;"","11 Listing live",IF(Y478&lt;&gt;"","10 Profile complete",IF(X478&lt;&gt;"","9 Approved",IF(W478&lt;&gt;"","8 KYC submitted",IF(V478&lt;&gt;"","7 Registered",IF(T478&lt;&gt;"","5 Interested",IF(R478&lt;&gt;"","4 Responded",IF(O478&lt;&gt;"","2 Contacted","1 Not yet contacted")))))))))))))</f>
        <v/>
      </c>
      <c r="AK478" s="10">
        <f>IF(AF478&lt;&gt;"",AF478,IF(OR(O478="",R478&lt;&gt;"",LEFT(AJ478,1)="X"),"",IF(Q478&lt;&gt;"","",IF(P478&lt;&gt;"",P478+SETTINGS!$B$4,O478+SETTINGS!$B$3))))</f>
        <v/>
      </c>
      <c r="AL478">
        <f>IF(AJ478="","",IF(LEFT(AJ478,1)="X","None — do not contact",IF(AJ478="1 Not yet contacted","Verify route today, then send M1",IF(AND(R478="",Q478&lt;&gt;""),"Sequence complete — no contact before "&amp;TEXT(Q478+SETTINGS!$B$5,"yyyy-mm-dd"),IF(AND(R478="",P478&lt;&gt;""),"Send final note (M4)",IF(R478="","Send follow-up (M2)",IF(AJ478="12 ACTIVATED","7-day check-in; consent &amp; referral soft ask",IF(AJ478="13 Transacting","Repeat-activity support","Onboarding: move to next stage (see playbook §6)"))))))))</f>
        <v/>
      </c>
      <c r="AM478">
        <f>IF(ISNUMBER(AK478),IF(AK478&lt;=TODAY(),"DUE",""),"")</f>
        <v/>
      </c>
      <c r="AN478">
        <f>IF(COUNT(O478,P478,Q478,R478,T478,V478,W478,X478,Y478,Z478,AA478,AC478)=0,"",TODAY()-MAX(O478,P478,Q478,R478,T478,V478,W478,X478,Y478,Z478,AA478,AC478))</f>
        <v/>
      </c>
      <c r="AO478">
        <f>IF(AJ478="","",IF(AND(T478&lt;&gt;"",U478&lt;&gt;"Active (verified)"),"GST: escalate (no tax advice)",IF(AND(IFERROR(VALUE(LEFT(AJ478,2)),0)&gt;=5,AH478&lt;&gt;"YES",ISNUMBER(AN478),AN478&gt;SETTINGS!$B$14),"STUCK in onboarding","")))</f>
        <v/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s="10" t="inlineStr"/>
      <c r="P479" s="10" t="inlineStr"/>
      <c r="Q479" s="10" t="inlineStr"/>
      <c r="R479" s="10" t="inlineStr"/>
      <c r="S479" t="inlineStr"/>
      <c r="T479" s="10" t="inlineStr"/>
      <c r="U479" t="inlineStr"/>
      <c r="V479" s="10" t="inlineStr"/>
      <c r="W479" s="10" t="inlineStr"/>
      <c r="X479" s="10" t="inlineStr"/>
      <c r="Y479" s="10" t="inlineStr"/>
      <c r="Z479" s="10" t="inlineStr"/>
      <c r="AA479" s="10" t="inlineStr"/>
      <c r="AB479" t="inlineStr"/>
      <c r="AC479" s="10" t="inlineStr"/>
      <c r="AD479" t="inlineStr"/>
      <c r="AE479" t="inlineStr"/>
      <c r="AF479" s="10" t="inlineStr"/>
      <c r="AG479" t="inlineStr"/>
      <c r="AH479">
        <f>IF(AND(B479="",C479=""),"",IF(AND(X479&lt;&gt;"",Y479&lt;&gt;"",Z479&lt;&gt;"",AA479&lt;&gt;"",AB479="Y"),"YES","no"))</f>
        <v/>
      </c>
      <c r="AI479" s="10">
        <f>IF(AH479="YES",MAX(X479,Y479,Z479,AA479),"")</f>
        <v/>
      </c>
      <c r="AJ479">
        <f>IF(AND(B479="",C479=""),"",IF(OR(S479="Not interested",S479="Opt-out / do not contact"),"X Declined / suppressed",IF(S479="Bounced / undeliverable","X Bounced — research",IF(AC479&lt;&gt;"","13 Transacting",IF(AH479="YES","12 ACTIVATED",IF(Z479&lt;&gt;"","11 Listing live",IF(Y479&lt;&gt;"","10 Profile complete",IF(X479&lt;&gt;"","9 Approved",IF(W479&lt;&gt;"","8 KYC submitted",IF(V479&lt;&gt;"","7 Registered",IF(T479&lt;&gt;"","5 Interested",IF(R479&lt;&gt;"","4 Responded",IF(O479&lt;&gt;"","2 Contacted","1 Not yet contacted")))))))))))))</f>
        <v/>
      </c>
      <c r="AK479" s="10">
        <f>IF(AF479&lt;&gt;"",AF479,IF(OR(O479="",R479&lt;&gt;"",LEFT(AJ479,1)="X"),"",IF(Q479&lt;&gt;"","",IF(P479&lt;&gt;"",P479+SETTINGS!$B$4,O479+SETTINGS!$B$3))))</f>
        <v/>
      </c>
      <c r="AL479">
        <f>IF(AJ479="","",IF(LEFT(AJ479,1)="X","None — do not contact",IF(AJ479="1 Not yet contacted","Verify route today, then send M1",IF(AND(R479="",Q479&lt;&gt;""),"Sequence complete — no contact before "&amp;TEXT(Q479+SETTINGS!$B$5,"yyyy-mm-dd"),IF(AND(R479="",P479&lt;&gt;""),"Send final note (M4)",IF(R479="","Send follow-up (M2)",IF(AJ479="12 ACTIVATED","7-day check-in; consent &amp; referral soft ask",IF(AJ479="13 Transacting","Repeat-activity support","Onboarding: move to next stage (see playbook §6)"))))))))</f>
        <v/>
      </c>
      <c r="AM479">
        <f>IF(ISNUMBER(AK479),IF(AK479&lt;=TODAY(),"DUE",""),"")</f>
        <v/>
      </c>
      <c r="AN479">
        <f>IF(COUNT(O479,P479,Q479,R479,T479,V479,W479,X479,Y479,Z479,AA479,AC479)=0,"",TODAY()-MAX(O479,P479,Q479,R479,T479,V479,W479,X479,Y479,Z479,AA479,AC479))</f>
        <v/>
      </c>
      <c r="AO479">
        <f>IF(AJ479="","",IF(AND(T479&lt;&gt;"",U479&lt;&gt;"Active (verified)"),"GST: escalate (no tax advice)",IF(AND(IFERROR(VALUE(LEFT(AJ479,2)),0)&gt;=5,AH479&lt;&gt;"YES",ISNUMBER(AN479),AN479&gt;SETTINGS!$B$14),"STUCK in onboarding","")))</f>
        <v/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s="10" t="inlineStr"/>
      <c r="P480" s="10" t="inlineStr"/>
      <c r="Q480" s="10" t="inlineStr"/>
      <c r="R480" s="10" t="inlineStr"/>
      <c r="S480" t="inlineStr"/>
      <c r="T480" s="10" t="inlineStr"/>
      <c r="U480" t="inlineStr"/>
      <c r="V480" s="10" t="inlineStr"/>
      <c r="W480" s="10" t="inlineStr"/>
      <c r="X480" s="10" t="inlineStr"/>
      <c r="Y480" s="10" t="inlineStr"/>
      <c r="Z480" s="10" t="inlineStr"/>
      <c r="AA480" s="10" t="inlineStr"/>
      <c r="AB480" t="inlineStr"/>
      <c r="AC480" s="10" t="inlineStr"/>
      <c r="AD480" t="inlineStr"/>
      <c r="AE480" t="inlineStr"/>
      <c r="AF480" s="10" t="inlineStr"/>
      <c r="AG480" t="inlineStr"/>
      <c r="AH480">
        <f>IF(AND(B480="",C480=""),"",IF(AND(X480&lt;&gt;"",Y480&lt;&gt;"",Z480&lt;&gt;"",AA480&lt;&gt;"",AB480="Y"),"YES","no"))</f>
        <v/>
      </c>
      <c r="AI480" s="10">
        <f>IF(AH480="YES",MAX(X480,Y480,Z480,AA480),"")</f>
        <v/>
      </c>
      <c r="AJ480">
        <f>IF(AND(B480="",C480=""),"",IF(OR(S480="Not interested",S480="Opt-out / do not contact"),"X Declined / suppressed",IF(S480="Bounced / undeliverable","X Bounced — research",IF(AC480&lt;&gt;"","13 Transacting",IF(AH480="YES","12 ACTIVATED",IF(Z480&lt;&gt;"","11 Listing live",IF(Y480&lt;&gt;"","10 Profile complete",IF(X480&lt;&gt;"","9 Approved",IF(W480&lt;&gt;"","8 KYC submitted",IF(V480&lt;&gt;"","7 Registered",IF(T480&lt;&gt;"","5 Interested",IF(R480&lt;&gt;"","4 Responded",IF(O480&lt;&gt;"","2 Contacted","1 Not yet contacted")))))))))))))</f>
        <v/>
      </c>
      <c r="AK480" s="10">
        <f>IF(AF480&lt;&gt;"",AF480,IF(OR(O480="",R480&lt;&gt;"",LEFT(AJ480,1)="X"),"",IF(Q480&lt;&gt;"","",IF(P480&lt;&gt;"",P480+SETTINGS!$B$4,O480+SETTINGS!$B$3))))</f>
        <v/>
      </c>
      <c r="AL480">
        <f>IF(AJ480="","",IF(LEFT(AJ480,1)="X","None — do not contact",IF(AJ480="1 Not yet contacted","Verify route today, then send M1",IF(AND(R480="",Q480&lt;&gt;""),"Sequence complete — no contact before "&amp;TEXT(Q480+SETTINGS!$B$5,"yyyy-mm-dd"),IF(AND(R480="",P480&lt;&gt;""),"Send final note (M4)",IF(R480="","Send follow-up (M2)",IF(AJ480="12 ACTIVATED","7-day check-in; consent &amp; referral soft ask",IF(AJ480="13 Transacting","Repeat-activity support","Onboarding: move to next stage (see playbook §6)"))))))))</f>
        <v/>
      </c>
      <c r="AM480">
        <f>IF(ISNUMBER(AK480),IF(AK480&lt;=TODAY(),"DUE",""),"")</f>
        <v/>
      </c>
      <c r="AN480">
        <f>IF(COUNT(O480,P480,Q480,R480,T480,V480,W480,X480,Y480,Z480,AA480,AC480)=0,"",TODAY()-MAX(O480,P480,Q480,R480,T480,V480,W480,X480,Y480,Z480,AA480,AC480))</f>
        <v/>
      </c>
      <c r="AO480">
        <f>IF(AJ480="","",IF(AND(T480&lt;&gt;"",U480&lt;&gt;"Active (verified)"),"GST: escalate (no tax advice)",IF(AND(IFERROR(VALUE(LEFT(AJ480,2)),0)&gt;=5,AH480&lt;&gt;"YES",ISNUMBER(AN480),AN480&gt;SETTINGS!$B$14),"STUCK in onboarding","")))</f>
        <v/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s="10" t="inlineStr"/>
      <c r="P481" s="10" t="inlineStr"/>
      <c r="Q481" s="10" t="inlineStr"/>
      <c r="R481" s="10" t="inlineStr"/>
      <c r="S481" t="inlineStr"/>
      <c r="T481" s="10" t="inlineStr"/>
      <c r="U481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t="inlineStr"/>
      <c r="AC481" s="10" t="inlineStr"/>
      <c r="AD481" t="inlineStr"/>
      <c r="AE481" t="inlineStr"/>
      <c r="AF481" s="10" t="inlineStr"/>
      <c r="AG481" t="inlineStr"/>
      <c r="AH481">
        <f>IF(AND(B481="",C481=""),"",IF(AND(X481&lt;&gt;"",Y481&lt;&gt;"",Z481&lt;&gt;"",AA481&lt;&gt;"",AB481="Y"),"YES","no"))</f>
        <v/>
      </c>
      <c r="AI481" s="10">
        <f>IF(AH481="YES",MAX(X481,Y481,Z481,AA481),"")</f>
        <v/>
      </c>
      <c r="AJ481">
        <f>IF(AND(B481="",C481=""),"",IF(OR(S481="Not interested",S481="Opt-out / do not contact"),"X Declined / suppressed",IF(S481="Bounced / undeliverable","X Bounced — research",IF(AC481&lt;&gt;"","13 Transacting",IF(AH481="YES","12 ACTIVATED",IF(Z481&lt;&gt;"","11 Listing live",IF(Y481&lt;&gt;"","10 Profile complete",IF(X481&lt;&gt;"","9 Approved",IF(W481&lt;&gt;"","8 KYC submitted",IF(V481&lt;&gt;"","7 Registered",IF(T481&lt;&gt;"","5 Interested",IF(R481&lt;&gt;"","4 Responded",IF(O481&lt;&gt;"","2 Contacted","1 Not yet contacted")))))))))))))</f>
        <v/>
      </c>
      <c r="AK481" s="10">
        <f>IF(AF481&lt;&gt;"",AF481,IF(OR(O481="",R481&lt;&gt;"",LEFT(AJ481,1)="X"),"",IF(Q481&lt;&gt;"","",IF(P481&lt;&gt;"",P481+SETTINGS!$B$4,O481+SETTINGS!$B$3))))</f>
        <v/>
      </c>
      <c r="AL481">
        <f>IF(AJ481="","",IF(LEFT(AJ481,1)="X","None — do not contact",IF(AJ481="1 Not yet contacted","Verify route today, then send M1",IF(AND(R481="",Q481&lt;&gt;""),"Sequence complete — no contact before "&amp;TEXT(Q481+SETTINGS!$B$5,"yyyy-mm-dd"),IF(AND(R481="",P481&lt;&gt;""),"Send final note (M4)",IF(R481="","Send follow-up (M2)",IF(AJ481="12 ACTIVATED","7-day check-in; consent &amp; referral soft ask",IF(AJ481="13 Transacting","Repeat-activity support","Onboarding: move to next stage (see playbook §6)"))))))))</f>
        <v/>
      </c>
      <c r="AM481">
        <f>IF(ISNUMBER(AK481),IF(AK481&lt;=TODAY(),"DUE",""),"")</f>
        <v/>
      </c>
      <c r="AN481">
        <f>IF(COUNT(O481,P481,Q481,R481,T481,V481,W481,X481,Y481,Z481,AA481,AC481)=0,"",TODAY()-MAX(O481,P481,Q481,R481,T481,V481,W481,X481,Y481,Z481,AA481,AC481))</f>
        <v/>
      </c>
      <c r="AO481">
        <f>IF(AJ481="","",IF(AND(T481&lt;&gt;"",U481&lt;&gt;"Active (verified)"),"GST: escalate (no tax advice)",IF(AND(IFERROR(VALUE(LEFT(AJ481,2)),0)&gt;=5,AH481&lt;&gt;"YES",ISNUMBER(AN481),AN481&gt;SETTINGS!$B$14),"STUCK in onboarding","")))</f>
        <v/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s="10" t="inlineStr"/>
      <c r="P482" s="10" t="inlineStr"/>
      <c r="Q482" s="10" t="inlineStr"/>
      <c r="R482" s="10" t="inlineStr"/>
      <c r="S482" t="inlineStr"/>
      <c r="T482" s="10" t="inlineStr"/>
      <c r="U482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t="inlineStr"/>
      <c r="AC482" s="10" t="inlineStr"/>
      <c r="AD482" t="inlineStr"/>
      <c r="AE482" t="inlineStr"/>
      <c r="AF482" s="10" t="inlineStr"/>
      <c r="AG482" t="inlineStr"/>
      <c r="AH482">
        <f>IF(AND(B482="",C482=""),"",IF(AND(X482&lt;&gt;"",Y482&lt;&gt;"",Z482&lt;&gt;"",AA482&lt;&gt;"",AB482="Y"),"YES","no"))</f>
        <v/>
      </c>
      <c r="AI482" s="10">
        <f>IF(AH482="YES",MAX(X482,Y482,Z482,AA482),"")</f>
        <v/>
      </c>
      <c r="AJ482">
        <f>IF(AND(B482="",C482=""),"",IF(OR(S482="Not interested",S482="Opt-out / do not contact"),"X Declined / suppressed",IF(S482="Bounced / undeliverable","X Bounced — research",IF(AC482&lt;&gt;"","13 Transacting",IF(AH482="YES","12 ACTIVATED",IF(Z482&lt;&gt;"","11 Listing live",IF(Y482&lt;&gt;"","10 Profile complete",IF(X482&lt;&gt;"","9 Approved",IF(W482&lt;&gt;"","8 KYC submitted",IF(V482&lt;&gt;"","7 Registered",IF(T482&lt;&gt;"","5 Interested",IF(R482&lt;&gt;"","4 Responded",IF(O482&lt;&gt;"","2 Contacted","1 Not yet contacted")))))))))))))</f>
        <v/>
      </c>
      <c r="AK482" s="10">
        <f>IF(AF482&lt;&gt;"",AF482,IF(OR(O482="",R482&lt;&gt;"",LEFT(AJ482,1)="X"),"",IF(Q482&lt;&gt;"","",IF(P482&lt;&gt;"",P482+SETTINGS!$B$4,O482+SETTINGS!$B$3))))</f>
        <v/>
      </c>
      <c r="AL482">
        <f>IF(AJ482="","",IF(LEFT(AJ482,1)="X","None — do not contact",IF(AJ482="1 Not yet contacted","Verify route today, then send M1",IF(AND(R482="",Q482&lt;&gt;""),"Sequence complete — no contact before "&amp;TEXT(Q482+SETTINGS!$B$5,"yyyy-mm-dd"),IF(AND(R482="",P482&lt;&gt;""),"Send final note (M4)",IF(R482="","Send follow-up (M2)",IF(AJ482="12 ACTIVATED","7-day check-in; consent &amp; referral soft ask",IF(AJ482="13 Transacting","Repeat-activity support","Onboarding: move to next stage (see playbook §6)"))))))))</f>
        <v/>
      </c>
      <c r="AM482">
        <f>IF(ISNUMBER(AK482),IF(AK482&lt;=TODAY(),"DUE",""),"")</f>
        <v/>
      </c>
      <c r="AN482">
        <f>IF(COUNT(O482,P482,Q482,R482,T482,V482,W482,X482,Y482,Z482,AA482,AC482)=0,"",TODAY()-MAX(O482,P482,Q482,R482,T482,V482,W482,X482,Y482,Z482,AA482,AC482))</f>
        <v/>
      </c>
      <c r="AO482">
        <f>IF(AJ482="","",IF(AND(T482&lt;&gt;"",U482&lt;&gt;"Active (verified)"),"GST: escalate (no tax advice)",IF(AND(IFERROR(VALUE(LEFT(AJ482,2)),0)&gt;=5,AH482&lt;&gt;"YES",ISNUMBER(AN482),AN482&gt;SETTINGS!$B$14),"STUCK in onboarding","")))</f>
        <v/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s="10" t="inlineStr"/>
      <c r="P483" s="10" t="inlineStr"/>
      <c r="Q483" s="10" t="inlineStr"/>
      <c r="R483" s="10" t="inlineStr"/>
      <c r="S483" t="inlineStr"/>
      <c r="T483" s="10" t="inlineStr"/>
      <c r="U483" t="inlineStr"/>
      <c r="V483" s="10" t="inlineStr"/>
      <c r="W483" s="10" t="inlineStr"/>
      <c r="X483" s="10" t="inlineStr"/>
      <c r="Y483" s="10" t="inlineStr"/>
      <c r="Z483" s="10" t="inlineStr"/>
      <c r="AA483" s="10" t="inlineStr"/>
      <c r="AB483" t="inlineStr"/>
      <c r="AC483" s="10" t="inlineStr"/>
      <c r="AD483" t="inlineStr"/>
      <c r="AE483" t="inlineStr"/>
      <c r="AF483" s="10" t="inlineStr"/>
      <c r="AG483" t="inlineStr"/>
      <c r="AH483">
        <f>IF(AND(B483="",C483=""),"",IF(AND(X483&lt;&gt;"",Y483&lt;&gt;"",Z483&lt;&gt;"",AA483&lt;&gt;"",AB483="Y"),"YES","no"))</f>
        <v/>
      </c>
      <c r="AI483" s="10">
        <f>IF(AH483="YES",MAX(X483,Y483,Z483,AA483),"")</f>
        <v/>
      </c>
      <c r="AJ483">
        <f>IF(AND(B483="",C483=""),"",IF(OR(S483="Not interested",S483="Opt-out / do not contact"),"X Declined / suppressed",IF(S483="Bounced / undeliverable","X Bounced — research",IF(AC483&lt;&gt;"","13 Transacting",IF(AH483="YES","12 ACTIVATED",IF(Z483&lt;&gt;"","11 Listing live",IF(Y483&lt;&gt;"","10 Profile complete",IF(X483&lt;&gt;"","9 Approved",IF(W483&lt;&gt;"","8 KYC submitted",IF(V483&lt;&gt;"","7 Registered",IF(T483&lt;&gt;"","5 Interested",IF(R483&lt;&gt;"","4 Responded",IF(O483&lt;&gt;"","2 Contacted","1 Not yet contacted")))))))))))))</f>
        <v/>
      </c>
      <c r="AK483" s="10">
        <f>IF(AF483&lt;&gt;"",AF483,IF(OR(O483="",R483&lt;&gt;"",LEFT(AJ483,1)="X"),"",IF(Q483&lt;&gt;"","",IF(P483&lt;&gt;"",P483+SETTINGS!$B$4,O483+SETTINGS!$B$3))))</f>
        <v/>
      </c>
      <c r="AL483">
        <f>IF(AJ483="","",IF(LEFT(AJ483,1)="X","None — do not contact",IF(AJ483="1 Not yet contacted","Verify route today, then send M1",IF(AND(R483="",Q483&lt;&gt;""),"Sequence complete — no contact before "&amp;TEXT(Q483+SETTINGS!$B$5,"yyyy-mm-dd"),IF(AND(R483="",P483&lt;&gt;""),"Send final note (M4)",IF(R483="","Send follow-up (M2)",IF(AJ483="12 ACTIVATED","7-day check-in; consent &amp; referral soft ask",IF(AJ483="13 Transacting","Repeat-activity support","Onboarding: move to next stage (see playbook §6)"))))))))</f>
        <v/>
      </c>
      <c r="AM483">
        <f>IF(ISNUMBER(AK483),IF(AK483&lt;=TODAY(),"DUE",""),"")</f>
        <v/>
      </c>
      <c r="AN483">
        <f>IF(COUNT(O483,P483,Q483,R483,T483,V483,W483,X483,Y483,Z483,AA483,AC483)=0,"",TODAY()-MAX(O483,P483,Q483,R483,T483,V483,W483,X483,Y483,Z483,AA483,AC483))</f>
        <v/>
      </c>
      <c r="AO483">
        <f>IF(AJ483="","",IF(AND(T483&lt;&gt;"",U483&lt;&gt;"Active (verified)"),"GST: escalate (no tax advice)",IF(AND(IFERROR(VALUE(LEFT(AJ483,2)),0)&gt;=5,AH483&lt;&gt;"YES",ISNUMBER(AN483),AN483&gt;SETTINGS!$B$14),"STUCK in onboarding","")))</f>
        <v/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s="10" t="inlineStr"/>
      <c r="P484" s="10" t="inlineStr"/>
      <c r="Q484" s="10" t="inlineStr"/>
      <c r="R484" s="10" t="inlineStr"/>
      <c r="S484" t="inlineStr"/>
      <c r="T484" s="10" t="inlineStr"/>
      <c r="U484" t="inlineStr"/>
      <c r="V484" s="10" t="inlineStr"/>
      <c r="W484" s="10" t="inlineStr"/>
      <c r="X484" s="10" t="inlineStr"/>
      <c r="Y484" s="10" t="inlineStr"/>
      <c r="Z484" s="10" t="inlineStr"/>
      <c r="AA484" s="10" t="inlineStr"/>
      <c r="AB484" t="inlineStr"/>
      <c r="AC484" s="10" t="inlineStr"/>
      <c r="AD484" t="inlineStr"/>
      <c r="AE484" t="inlineStr"/>
      <c r="AF484" s="10" t="inlineStr"/>
      <c r="AG484" t="inlineStr"/>
      <c r="AH484">
        <f>IF(AND(B484="",C484=""),"",IF(AND(X484&lt;&gt;"",Y484&lt;&gt;"",Z484&lt;&gt;"",AA484&lt;&gt;"",AB484="Y"),"YES","no"))</f>
        <v/>
      </c>
      <c r="AI484" s="10">
        <f>IF(AH484="YES",MAX(X484,Y484,Z484,AA484),"")</f>
        <v/>
      </c>
      <c r="AJ484">
        <f>IF(AND(B484="",C484=""),"",IF(OR(S484="Not interested",S484="Opt-out / do not contact"),"X Declined / suppressed",IF(S484="Bounced / undeliverable","X Bounced — research",IF(AC484&lt;&gt;"","13 Transacting",IF(AH484="YES","12 ACTIVATED",IF(Z484&lt;&gt;"","11 Listing live",IF(Y484&lt;&gt;"","10 Profile complete",IF(X484&lt;&gt;"","9 Approved",IF(W484&lt;&gt;"","8 KYC submitted",IF(V484&lt;&gt;"","7 Registered",IF(T484&lt;&gt;"","5 Interested",IF(R484&lt;&gt;"","4 Responded",IF(O484&lt;&gt;"","2 Contacted","1 Not yet contacted")))))))))))))</f>
        <v/>
      </c>
      <c r="AK484" s="10">
        <f>IF(AF484&lt;&gt;"",AF484,IF(OR(O484="",R484&lt;&gt;"",LEFT(AJ484,1)="X"),"",IF(Q484&lt;&gt;"","",IF(P484&lt;&gt;"",P484+SETTINGS!$B$4,O484+SETTINGS!$B$3))))</f>
        <v/>
      </c>
      <c r="AL484">
        <f>IF(AJ484="","",IF(LEFT(AJ484,1)="X","None — do not contact",IF(AJ484="1 Not yet contacted","Verify route today, then send M1",IF(AND(R484="",Q484&lt;&gt;""),"Sequence complete — no contact before "&amp;TEXT(Q484+SETTINGS!$B$5,"yyyy-mm-dd"),IF(AND(R484="",P484&lt;&gt;""),"Send final note (M4)",IF(R484="","Send follow-up (M2)",IF(AJ484="12 ACTIVATED","7-day check-in; consent &amp; referral soft ask",IF(AJ484="13 Transacting","Repeat-activity support","Onboarding: move to next stage (see playbook §6)"))))))))</f>
        <v/>
      </c>
      <c r="AM484">
        <f>IF(ISNUMBER(AK484),IF(AK484&lt;=TODAY(),"DUE",""),"")</f>
        <v/>
      </c>
      <c r="AN484">
        <f>IF(COUNT(O484,P484,Q484,R484,T484,V484,W484,X484,Y484,Z484,AA484,AC484)=0,"",TODAY()-MAX(O484,P484,Q484,R484,T484,V484,W484,X484,Y484,Z484,AA484,AC484))</f>
        <v/>
      </c>
      <c r="AO484">
        <f>IF(AJ484="","",IF(AND(T484&lt;&gt;"",U484&lt;&gt;"Active (verified)"),"GST: escalate (no tax advice)",IF(AND(IFERROR(VALUE(LEFT(AJ484,2)),0)&gt;=5,AH484&lt;&gt;"YES",ISNUMBER(AN484),AN484&gt;SETTINGS!$B$14),"STUCK in onboarding","")))</f>
        <v/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s="10" t="inlineStr"/>
      <c r="P485" s="10" t="inlineStr"/>
      <c r="Q485" s="10" t="inlineStr"/>
      <c r="R485" s="10" t="inlineStr"/>
      <c r="S485" t="inlineStr"/>
      <c r="T485" s="10" t="inlineStr"/>
      <c r="U485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t="inlineStr"/>
      <c r="AC485" s="10" t="inlineStr"/>
      <c r="AD485" t="inlineStr"/>
      <c r="AE485" t="inlineStr"/>
      <c r="AF485" s="10" t="inlineStr"/>
      <c r="AG485" t="inlineStr"/>
      <c r="AH485">
        <f>IF(AND(B485="",C485=""),"",IF(AND(X485&lt;&gt;"",Y485&lt;&gt;"",Z485&lt;&gt;"",AA485&lt;&gt;"",AB485="Y"),"YES","no"))</f>
        <v/>
      </c>
      <c r="AI485" s="10">
        <f>IF(AH485="YES",MAX(X485,Y485,Z485,AA485),"")</f>
        <v/>
      </c>
      <c r="AJ485">
        <f>IF(AND(B485="",C485=""),"",IF(OR(S485="Not interested",S485="Opt-out / do not contact"),"X Declined / suppressed",IF(S485="Bounced / undeliverable","X Bounced — research",IF(AC485&lt;&gt;"","13 Transacting",IF(AH485="YES","12 ACTIVATED",IF(Z485&lt;&gt;"","11 Listing live",IF(Y485&lt;&gt;"","10 Profile complete",IF(X485&lt;&gt;"","9 Approved",IF(W485&lt;&gt;"","8 KYC submitted",IF(V485&lt;&gt;"","7 Registered",IF(T485&lt;&gt;"","5 Interested",IF(R485&lt;&gt;"","4 Responded",IF(O485&lt;&gt;"","2 Contacted","1 Not yet contacted")))))))))))))</f>
        <v/>
      </c>
      <c r="AK485" s="10">
        <f>IF(AF485&lt;&gt;"",AF485,IF(OR(O485="",R485&lt;&gt;"",LEFT(AJ485,1)="X"),"",IF(Q485&lt;&gt;"","",IF(P485&lt;&gt;"",P485+SETTINGS!$B$4,O485+SETTINGS!$B$3))))</f>
        <v/>
      </c>
      <c r="AL485">
        <f>IF(AJ485="","",IF(LEFT(AJ485,1)="X","None — do not contact",IF(AJ485="1 Not yet contacted","Verify route today, then send M1",IF(AND(R485="",Q485&lt;&gt;""),"Sequence complete — no contact before "&amp;TEXT(Q485+SETTINGS!$B$5,"yyyy-mm-dd"),IF(AND(R485="",P485&lt;&gt;""),"Send final note (M4)",IF(R485="","Send follow-up (M2)",IF(AJ485="12 ACTIVATED","7-day check-in; consent &amp; referral soft ask",IF(AJ485="13 Transacting","Repeat-activity support","Onboarding: move to next stage (see playbook §6)"))))))))</f>
        <v/>
      </c>
      <c r="AM485">
        <f>IF(ISNUMBER(AK485),IF(AK485&lt;=TODAY(),"DUE",""),"")</f>
        <v/>
      </c>
      <c r="AN485">
        <f>IF(COUNT(O485,P485,Q485,R485,T485,V485,W485,X485,Y485,Z485,AA485,AC485)=0,"",TODAY()-MAX(O485,P485,Q485,R485,T485,V485,W485,X485,Y485,Z485,AA485,AC485))</f>
        <v/>
      </c>
      <c r="AO485">
        <f>IF(AJ485="","",IF(AND(T485&lt;&gt;"",U485&lt;&gt;"Active (verified)"),"GST: escalate (no tax advice)",IF(AND(IFERROR(VALUE(LEFT(AJ485,2)),0)&gt;=5,AH485&lt;&gt;"YES",ISNUMBER(AN485),AN485&gt;SETTINGS!$B$14),"STUCK in onboarding","")))</f>
        <v/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s="10" t="inlineStr"/>
      <c r="P486" s="10" t="inlineStr"/>
      <c r="Q486" s="10" t="inlineStr"/>
      <c r="R486" s="10" t="inlineStr"/>
      <c r="S486" t="inlineStr"/>
      <c r="T486" s="10" t="inlineStr"/>
      <c r="U486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t="inlineStr"/>
      <c r="AC486" s="10" t="inlineStr"/>
      <c r="AD486" t="inlineStr"/>
      <c r="AE486" t="inlineStr"/>
      <c r="AF486" s="10" t="inlineStr"/>
      <c r="AG486" t="inlineStr"/>
      <c r="AH486">
        <f>IF(AND(B486="",C486=""),"",IF(AND(X486&lt;&gt;"",Y486&lt;&gt;"",Z486&lt;&gt;"",AA486&lt;&gt;"",AB486="Y"),"YES","no"))</f>
        <v/>
      </c>
      <c r="AI486" s="10">
        <f>IF(AH486="YES",MAX(X486,Y486,Z486,AA486),"")</f>
        <v/>
      </c>
      <c r="AJ486">
        <f>IF(AND(B486="",C486=""),"",IF(OR(S486="Not interested",S486="Opt-out / do not contact"),"X Declined / suppressed",IF(S486="Bounced / undeliverable","X Bounced — research",IF(AC486&lt;&gt;"","13 Transacting",IF(AH486="YES","12 ACTIVATED",IF(Z486&lt;&gt;"","11 Listing live",IF(Y486&lt;&gt;"","10 Profile complete",IF(X486&lt;&gt;"","9 Approved",IF(W486&lt;&gt;"","8 KYC submitted",IF(V486&lt;&gt;"","7 Registered",IF(T486&lt;&gt;"","5 Interested",IF(R486&lt;&gt;"","4 Responded",IF(O486&lt;&gt;"","2 Contacted","1 Not yet contacted")))))))))))))</f>
        <v/>
      </c>
      <c r="AK486" s="10">
        <f>IF(AF486&lt;&gt;"",AF486,IF(OR(O486="",R486&lt;&gt;"",LEFT(AJ486,1)="X"),"",IF(Q486&lt;&gt;"","",IF(P486&lt;&gt;"",P486+SETTINGS!$B$4,O486+SETTINGS!$B$3))))</f>
        <v/>
      </c>
      <c r="AL486">
        <f>IF(AJ486="","",IF(LEFT(AJ486,1)="X","None — do not contact",IF(AJ486="1 Not yet contacted","Verify route today, then send M1",IF(AND(R486="",Q486&lt;&gt;""),"Sequence complete — no contact before "&amp;TEXT(Q486+SETTINGS!$B$5,"yyyy-mm-dd"),IF(AND(R486="",P486&lt;&gt;""),"Send final note (M4)",IF(R486="","Send follow-up (M2)",IF(AJ486="12 ACTIVATED","7-day check-in; consent &amp; referral soft ask",IF(AJ486="13 Transacting","Repeat-activity support","Onboarding: move to next stage (see playbook §6)"))))))))</f>
        <v/>
      </c>
      <c r="AM486">
        <f>IF(ISNUMBER(AK486),IF(AK486&lt;=TODAY(),"DUE",""),"")</f>
        <v/>
      </c>
      <c r="AN486">
        <f>IF(COUNT(O486,P486,Q486,R486,T486,V486,W486,X486,Y486,Z486,AA486,AC486)=0,"",TODAY()-MAX(O486,P486,Q486,R486,T486,V486,W486,X486,Y486,Z486,AA486,AC486))</f>
        <v/>
      </c>
      <c r="AO486">
        <f>IF(AJ486="","",IF(AND(T486&lt;&gt;"",U486&lt;&gt;"Active (verified)"),"GST: escalate (no tax advice)",IF(AND(IFERROR(VALUE(LEFT(AJ486,2)),0)&gt;=5,AH486&lt;&gt;"YES",ISNUMBER(AN486),AN486&gt;SETTINGS!$B$14),"STUCK in onboarding","")))</f>
        <v/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s="10" t="inlineStr"/>
      <c r="P487" s="10" t="inlineStr"/>
      <c r="Q487" s="10" t="inlineStr"/>
      <c r="R487" s="10" t="inlineStr"/>
      <c r="S487" t="inlineStr"/>
      <c r="T487" s="10" t="inlineStr"/>
      <c r="U487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t="inlineStr"/>
      <c r="AC487" s="10" t="inlineStr"/>
      <c r="AD487" t="inlineStr"/>
      <c r="AE487" t="inlineStr"/>
      <c r="AF487" s="10" t="inlineStr"/>
      <c r="AG487" t="inlineStr"/>
      <c r="AH487">
        <f>IF(AND(B487="",C487=""),"",IF(AND(X487&lt;&gt;"",Y487&lt;&gt;"",Z487&lt;&gt;"",AA487&lt;&gt;"",AB487="Y"),"YES","no"))</f>
        <v/>
      </c>
      <c r="AI487" s="10">
        <f>IF(AH487="YES",MAX(X487,Y487,Z487,AA487),"")</f>
        <v/>
      </c>
      <c r="AJ487">
        <f>IF(AND(B487="",C487=""),"",IF(OR(S487="Not interested",S487="Opt-out / do not contact"),"X Declined / suppressed",IF(S487="Bounced / undeliverable","X Bounced — research",IF(AC487&lt;&gt;"","13 Transacting",IF(AH487="YES","12 ACTIVATED",IF(Z487&lt;&gt;"","11 Listing live",IF(Y487&lt;&gt;"","10 Profile complete",IF(X487&lt;&gt;"","9 Approved",IF(W487&lt;&gt;"","8 KYC submitted",IF(V487&lt;&gt;"","7 Registered",IF(T487&lt;&gt;"","5 Interested",IF(R487&lt;&gt;"","4 Responded",IF(O487&lt;&gt;"","2 Contacted","1 Not yet contacted")))))))))))))</f>
        <v/>
      </c>
      <c r="AK487" s="10">
        <f>IF(AF487&lt;&gt;"",AF487,IF(OR(O487="",R487&lt;&gt;"",LEFT(AJ487,1)="X"),"",IF(Q487&lt;&gt;"","",IF(P487&lt;&gt;"",P487+SETTINGS!$B$4,O487+SETTINGS!$B$3))))</f>
        <v/>
      </c>
      <c r="AL487">
        <f>IF(AJ487="","",IF(LEFT(AJ487,1)="X","None — do not contact",IF(AJ487="1 Not yet contacted","Verify route today, then send M1",IF(AND(R487="",Q487&lt;&gt;""),"Sequence complete — no contact before "&amp;TEXT(Q487+SETTINGS!$B$5,"yyyy-mm-dd"),IF(AND(R487="",P487&lt;&gt;""),"Send final note (M4)",IF(R487="","Send follow-up (M2)",IF(AJ487="12 ACTIVATED","7-day check-in; consent &amp; referral soft ask",IF(AJ487="13 Transacting","Repeat-activity support","Onboarding: move to next stage (see playbook §6)"))))))))</f>
        <v/>
      </c>
      <c r="AM487">
        <f>IF(ISNUMBER(AK487),IF(AK487&lt;=TODAY(),"DUE",""),"")</f>
        <v/>
      </c>
      <c r="AN487">
        <f>IF(COUNT(O487,P487,Q487,R487,T487,V487,W487,X487,Y487,Z487,AA487,AC487)=0,"",TODAY()-MAX(O487,P487,Q487,R487,T487,V487,W487,X487,Y487,Z487,AA487,AC487))</f>
        <v/>
      </c>
      <c r="AO487">
        <f>IF(AJ487="","",IF(AND(T487&lt;&gt;"",U487&lt;&gt;"Active (verified)"),"GST: escalate (no tax advice)",IF(AND(IFERROR(VALUE(LEFT(AJ487,2)),0)&gt;=5,AH487&lt;&gt;"YES",ISNUMBER(AN487),AN487&gt;SETTINGS!$B$14),"STUCK in onboarding","")))</f>
        <v/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s="10" t="inlineStr"/>
      <c r="P488" s="10" t="inlineStr"/>
      <c r="Q488" s="10" t="inlineStr"/>
      <c r="R488" s="10" t="inlineStr"/>
      <c r="S488" t="inlineStr"/>
      <c r="T488" s="10" t="inlineStr"/>
      <c r="U488" t="inlineStr"/>
      <c r="V488" s="10" t="inlineStr"/>
      <c r="W488" s="10" t="inlineStr"/>
      <c r="X488" s="10" t="inlineStr"/>
      <c r="Y488" s="10" t="inlineStr"/>
      <c r="Z488" s="10" t="inlineStr"/>
      <c r="AA488" s="10" t="inlineStr"/>
      <c r="AB488" t="inlineStr"/>
      <c r="AC488" s="10" t="inlineStr"/>
      <c r="AD488" t="inlineStr"/>
      <c r="AE488" t="inlineStr"/>
      <c r="AF488" s="10" t="inlineStr"/>
      <c r="AG488" t="inlineStr"/>
      <c r="AH488">
        <f>IF(AND(B488="",C488=""),"",IF(AND(X488&lt;&gt;"",Y488&lt;&gt;"",Z488&lt;&gt;"",AA488&lt;&gt;"",AB488="Y"),"YES","no"))</f>
        <v/>
      </c>
      <c r="AI488" s="10">
        <f>IF(AH488="YES",MAX(X488,Y488,Z488,AA488),"")</f>
        <v/>
      </c>
      <c r="AJ488">
        <f>IF(AND(B488="",C488=""),"",IF(OR(S488="Not interested",S488="Opt-out / do not contact"),"X Declined / suppressed",IF(S488="Bounced / undeliverable","X Bounced — research",IF(AC488&lt;&gt;"","13 Transacting",IF(AH488="YES","12 ACTIVATED",IF(Z488&lt;&gt;"","11 Listing live",IF(Y488&lt;&gt;"","10 Profile complete",IF(X488&lt;&gt;"","9 Approved",IF(W488&lt;&gt;"","8 KYC submitted",IF(V488&lt;&gt;"","7 Registered",IF(T488&lt;&gt;"","5 Interested",IF(R488&lt;&gt;"","4 Responded",IF(O488&lt;&gt;"","2 Contacted","1 Not yet contacted")))))))))))))</f>
        <v/>
      </c>
      <c r="AK488" s="10">
        <f>IF(AF488&lt;&gt;"",AF488,IF(OR(O488="",R488&lt;&gt;"",LEFT(AJ488,1)="X"),"",IF(Q488&lt;&gt;"","",IF(P488&lt;&gt;"",P488+SETTINGS!$B$4,O488+SETTINGS!$B$3))))</f>
        <v/>
      </c>
      <c r="AL488">
        <f>IF(AJ488="","",IF(LEFT(AJ488,1)="X","None — do not contact",IF(AJ488="1 Not yet contacted","Verify route today, then send M1",IF(AND(R488="",Q488&lt;&gt;""),"Sequence complete — no contact before "&amp;TEXT(Q488+SETTINGS!$B$5,"yyyy-mm-dd"),IF(AND(R488="",P488&lt;&gt;""),"Send final note (M4)",IF(R488="","Send follow-up (M2)",IF(AJ488="12 ACTIVATED","7-day check-in; consent &amp; referral soft ask",IF(AJ488="13 Transacting","Repeat-activity support","Onboarding: move to next stage (see playbook §6)"))))))))</f>
        <v/>
      </c>
      <c r="AM488">
        <f>IF(ISNUMBER(AK488),IF(AK488&lt;=TODAY(),"DUE",""),"")</f>
        <v/>
      </c>
      <c r="AN488">
        <f>IF(COUNT(O488,P488,Q488,R488,T488,V488,W488,X488,Y488,Z488,AA488,AC488)=0,"",TODAY()-MAX(O488,P488,Q488,R488,T488,V488,W488,X488,Y488,Z488,AA488,AC488))</f>
        <v/>
      </c>
      <c r="AO488">
        <f>IF(AJ488="","",IF(AND(T488&lt;&gt;"",U488&lt;&gt;"Active (verified)"),"GST: escalate (no tax advice)",IF(AND(IFERROR(VALUE(LEFT(AJ488,2)),0)&gt;=5,AH488&lt;&gt;"YES",ISNUMBER(AN488),AN488&gt;SETTINGS!$B$14),"STUCK in onboarding","")))</f>
        <v/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s="10" t="inlineStr"/>
      <c r="P489" s="10" t="inlineStr"/>
      <c r="Q489" s="10" t="inlineStr"/>
      <c r="R489" s="10" t="inlineStr"/>
      <c r="S489" t="inlineStr"/>
      <c r="T489" s="10" t="inlineStr"/>
      <c r="U489" t="inlineStr"/>
      <c r="V489" s="10" t="inlineStr"/>
      <c r="W489" s="10" t="inlineStr"/>
      <c r="X489" s="10" t="inlineStr"/>
      <c r="Y489" s="10" t="inlineStr"/>
      <c r="Z489" s="10" t="inlineStr"/>
      <c r="AA489" s="10" t="inlineStr"/>
      <c r="AB489" t="inlineStr"/>
      <c r="AC489" s="10" t="inlineStr"/>
      <c r="AD489" t="inlineStr"/>
      <c r="AE489" t="inlineStr"/>
      <c r="AF489" s="10" t="inlineStr"/>
      <c r="AG489" t="inlineStr"/>
      <c r="AH489">
        <f>IF(AND(B489="",C489=""),"",IF(AND(X489&lt;&gt;"",Y489&lt;&gt;"",Z489&lt;&gt;"",AA489&lt;&gt;"",AB489="Y"),"YES","no"))</f>
        <v/>
      </c>
      <c r="AI489" s="10">
        <f>IF(AH489="YES",MAX(X489,Y489,Z489,AA489),"")</f>
        <v/>
      </c>
      <c r="AJ489">
        <f>IF(AND(B489="",C489=""),"",IF(OR(S489="Not interested",S489="Opt-out / do not contact"),"X Declined / suppressed",IF(S489="Bounced / undeliverable","X Bounced — research",IF(AC489&lt;&gt;"","13 Transacting",IF(AH489="YES","12 ACTIVATED",IF(Z489&lt;&gt;"","11 Listing live",IF(Y489&lt;&gt;"","10 Profile complete",IF(X489&lt;&gt;"","9 Approved",IF(W489&lt;&gt;"","8 KYC submitted",IF(V489&lt;&gt;"","7 Registered",IF(T489&lt;&gt;"","5 Interested",IF(R489&lt;&gt;"","4 Responded",IF(O489&lt;&gt;"","2 Contacted","1 Not yet contacted")))))))))))))</f>
        <v/>
      </c>
      <c r="AK489" s="10">
        <f>IF(AF489&lt;&gt;"",AF489,IF(OR(O489="",R489&lt;&gt;"",LEFT(AJ489,1)="X"),"",IF(Q489&lt;&gt;"","",IF(P489&lt;&gt;"",P489+SETTINGS!$B$4,O489+SETTINGS!$B$3))))</f>
        <v/>
      </c>
      <c r="AL489">
        <f>IF(AJ489="","",IF(LEFT(AJ489,1)="X","None — do not contact",IF(AJ489="1 Not yet contacted","Verify route today, then send M1",IF(AND(R489="",Q489&lt;&gt;""),"Sequence complete — no contact before "&amp;TEXT(Q489+SETTINGS!$B$5,"yyyy-mm-dd"),IF(AND(R489="",P489&lt;&gt;""),"Send final note (M4)",IF(R489="","Send follow-up (M2)",IF(AJ489="12 ACTIVATED","7-day check-in; consent &amp; referral soft ask",IF(AJ489="13 Transacting","Repeat-activity support","Onboarding: move to next stage (see playbook §6)"))))))))</f>
        <v/>
      </c>
      <c r="AM489">
        <f>IF(ISNUMBER(AK489),IF(AK489&lt;=TODAY(),"DUE",""),"")</f>
        <v/>
      </c>
      <c r="AN489">
        <f>IF(COUNT(O489,P489,Q489,R489,T489,V489,W489,X489,Y489,Z489,AA489,AC489)=0,"",TODAY()-MAX(O489,P489,Q489,R489,T489,V489,W489,X489,Y489,Z489,AA489,AC489))</f>
        <v/>
      </c>
      <c r="AO489">
        <f>IF(AJ489="","",IF(AND(T489&lt;&gt;"",U489&lt;&gt;"Active (verified)"),"GST: escalate (no tax advice)",IF(AND(IFERROR(VALUE(LEFT(AJ489,2)),0)&gt;=5,AH489&lt;&gt;"YES",ISNUMBER(AN489),AN489&gt;SETTINGS!$B$14),"STUCK in onboarding","")))</f>
        <v/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s="10" t="inlineStr"/>
      <c r="P490" s="10" t="inlineStr"/>
      <c r="Q490" s="10" t="inlineStr"/>
      <c r="R490" s="10" t="inlineStr"/>
      <c r="S490" t="inlineStr"/>
      <c r="T490" s="10" t="inlineStr"/>
      <c r="U490" t="inlineStr"/>
      <c r="V490" s="10" t="inlineStr"/>
      <c r="W490" s="10" t="inlineStr"/>
      <c r="X490" s="10" t="inlineStr"/>
      <c r="Y490" s="10" t="inlineStr"/>
      <c r="Z490" s="10" t="inlineStr"/>
      <c r="AA490" s="10" t="inlineStr"/>
      <c r="AB490" t="inlineStr"/>
      <c r="AC490" s="10" t="inlineStr"/>
      <c r="AD490" t="inlineStr"/>
      <c r="AE490" t="inlineStr"/>
      <c r="AF490" s="10" t="inlineStr"/>
      <c r="AG490" t="inlineStr"/>
      <c r="AH490">
        <f>IF(AND(B490="",C490=""),"",IF(AND(X490&lt;&gt;"",Y490&lt;&gt;"",Z490&lt;&gt;"",AA490&lt;&gt;"",AB490="Y"),"YES","no"))</f>
        <v/>
      </c>
      <c r="AI490" s="10">
        <f>IF(AH490="YES",MAX(X490,Y490,Z490,AA490),"")</f>
        <v/>
      </c>
      <c r="AJ490">
        <f>IF(AND(B490="",C490=""),"",IF(OR(S490="Not interested",S490="Opt-out / do not contact"),"X Declined / suppressed",IF(S490="Bounced / undeliverable","X Bounced — research",IF(AC490&lt;&gt;"","13 Transacting",IF(AH490="YES","12 ACTIVATED",IF(Z490&lt;&gt;"","11 Listing live",IF(Y490&lt;&gt;"","10 Profile complete",IF(X490&lt;&gt;"","9 Approved",IF(W490&lt;&gt;"","8 KYC submitted",IF(V490&lt;&gt;"","7 Registered",IF(T490&lt;&gt;"","5 Interested",IF(R490&lt;&gt;"","4 Responded",IF(O490&lt;&gt;"","2 Contacted","1 Not yet contacted")))))))))))))</f>
        <v/>
      </c>
      <c r="AK490" s="10">
        <f>IF(AF490&lt;&gt;"",AF490,IF(OR(O490="",R490&lt;&gt;"",LEFT(AJ490,1)="X"),"",IF(Q490&lt;&gt;"","",IF(P490&lt;&gt;"",P490+SETTINGS!$B$4,O490+SETTINGS!$B$3))))</f>
        <v/>
      </c>
      <c r="AL490">
        <f>IF(AJ490="","",IF(LEFT(AJ490,1)="X","None — do not contact",IF(AJ490="1 Not yet contacted","Verify route today, then send M1",IF(AND(R490="",Q490&lt;&gt;""),"Sequence complete — no contact before "&amp;TEXT(Q490+SETTINGS!$B$5,"yyyy-mm-dd"),IF(AND(R490="",P490&lt;&gt;""),"Send final note (M4)",IF(R490="","Send follow-up (M2)",IF(AJ490="12 ACTIVATED","7-day check-in; consent &amp; referral soft ask",IF(AJ490="13 Transacting","Repeat-activity support","Onboarding: move to next stage (see playbook §6)"))))))))</f>
        <v/>
      </c>
      <c r="AM490">
        <f>IF(ISNUMBER(AK490),IF(AK490&lt;=TODAY(),"DUE",""),"")</f>
        <v/>
      </c>
      <c r="AN490">
        <f>IF(COUNT(O490,P490,Q490,R490,T490,V490,W490,X490,Y490,Z490,AA490,AC490)=0,"",TODAY()-MAX(O490,P490,Q490,R490,T490,V490,W490,X490,Y490,Z490,AA490,AC490))</f>
        <v/>
      </c>
      <c r="AO490">
        <f>IF(AJ490="","",IF(AND(T490&lt;&gt;"",U490&lt;&gt;"Active (verified)"),"GST: escalate (no tax advice)",IF(AND(IFERROR(VALUE(LEFT(AJ490,2)),0)&gt;=5,AH490&lt;&gt;"YES",ISNUMBER(AN490),AN490&gt;SETTINGS!$B$14),"STUCK in onboarding","")))</f>
        <v/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s="10" t="inlineStr"/>
      <c r="P491" s="10" t="inlineStr"/>
      <c r="Q491" s="10" t="inlineStr"/>
      <c r="R491" s="10" t="inlineStr"/>
      <c r="S491" t="inlineStr"/>
      <c r="T491" s="10" t="inlineStr"/>
      <c r="U491" t="inlineStr"/>
      <c r="V491" s="10" t="inlineStr"/>
      <c r="W491" s="10" t="inlineStr"/>
      <c r="X491" s="10" t="inlineStr"/>
      <c r="Y491" s="10" t="inlineStr"/>
      <c r="Z491" s="10" t="inlineStr"/>
      <c r="AA491" s="10" t="inlineStr"/>
      <c r="AB491" t="inlineStr"/>
      <c r="AC491" s="10" t="inlineStr"/>
      <c r="AD491" t="inlineStr"/>
      <c r="AE491" t="inlineStr"/>
      <c r="AF491" s="10" t="inlineStr"/>
      <c r="AG491" t="inlineStr"/>
      <c r="AH491">
        <f>IF(AND(B491="",C491=""),"",IF(AND(X491&lt;&gt;"",Y491&lt;&gt;"",Z491&lt;&gt;"",AA491&lt;&gt;"",AB491="Y"),"YES","no"))</f>
        <v/>
      </c>
      <c r="AI491" s="10">
        <f>IF(AH491="YES",MAX(X491,Y491,Z491,AA491),"")</f>
        <v/>
      </c>
      <c r="AJ491">
        <f>IF(AND(B491="",C491=""),"",IF(OR(S491="Not interested",S491="Opt-out / do not contact"),"X Declined / suppressed",IF(S491="Bounced / undeliverable","X Bounced — research",IF(AC491&lt;&gt;"","13 Transacting",IF(AH491="YES","12 ACTIVATED",IF(Z491&lt;&gt;"","11 Listing live",IF(Y491&lt;&gt;"","10 Profile complete",IF(X491&lt;&gt;"","9 Approved",IF(W491&lt;&gt;"","8 KYC submitted",IF(V491&lt;&gt;"","7 Registered",IF(T491&lt;&gt;"","5 Interested",IF(R491&lt;&gt;"","4 Responded",IF(O491&lt;&gt;"","2 Contacted","1 Not yet contacted")))))))))))))</f>
        <v/>
      </c>
      <c r="AK491" s="10">
        <f>IF(AF491&lt;&gt;"",AF491,IF(OR(O491="",R491&lt;&gt;"",LEFT(AJ491,1)="X"),"",IF(Q491&lt;&gt;"","",IF(P491&lt;&gt;"",P491+SETTINGS!$B$4,O491+SETTINGS!$B$3))))</f>
        <v/>
      </c>
      <c r="AL491">
        <f>IF(AJ491="","",IF(LEFT(AJ491,1)="X","None — do not contact",IF(AJ491="1 Not yet contacted","Verify route today, then send M1",IF(AND(R491="",Q491&lt;&gt;""),"Sequence complete — no contact before "&amp;TEXT(Q491+SETTINGS!$B$5,"yyyy-mm-dd"),IF(AND(R491="",P491&lt;&gt;""),"Send final note (M4)",IF(R491="","Send follow-up (M2)",IF(AJ491="12 ACTIVATED","7-day check-in; consent &amp; referral soft ask",IF(AJ491="13 Transacting","Repeat-activity support","Onboarding: move to next stage (see playbook §6)"))))))))</f>
        <v/>
      </c>
      <c r="AM491">
        <f>IF(ISNUMBER(AK491),IF(AK491&lt;=TODAY(),"DUE",""),"")</f>
        <v/>
      </c>
      <c r="AN491">
        <f>IF(COUNT(O491,P491,Q491,R491,T491,V491,W491,X491,Y491,Z491,AA491,AC491)=0,"",TODAY()-MAX(O491,P491,Q491,R491,T491,V491,W491,X491,Y491,Z491,AA491,AC491))</f>
        <v/>
      </c>
      <c r="AO491">
        <f>IF(AJ491="","",IF(AND(T491&lt;&gt;"",U491&lt;&gt;"Active (verified)"),"GST: escalate (no tax advice)",IF(AND(IFERROR(VALUE(LEFT(AJ491,2)),0)&gt;=5,AH491&lt;&gt;"YES",ISNUMBER(AN491),AN491&gt;SETTINGS!$B$14),"STUCK in onboarding","")))</f>
        <v/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s="10" t="inlineStr"/>
      <c r="P492" s="10" t="inlineStr"/>
      <c r="Q492" s="10" t="inlineStr"/>
      <c r="R492" s="10" t="inlineStr"/>
      <c r="S492" t="inlineStr"/>
      <c r="T492" s="10" t="inlineStr"/>
      <c r="U492" t="inlineStr"/>
      <c r="V492" s="10" t="inlineStr"/>
      <c r="W492" s="10" t="inlineStr"/>
      <c r="X492" s="10" t="inlineStr"/>
      <c r="Y492" s="10" t="inlineStr"/>
      <c r="Z492" s="10" t="inlineStr"/>
      <c r="AA492" s="10" t="inlineStr"/>
      <c r="AB492" t="inlineStr"/>
      <c r="AC492" s="10" t="inlineStr"/>
      <c r="AD492" t="inlineStr"/>
      <c r="AE492" t="inlineStr"/>
      <c r="AF492" s="10" t="inlineStr"/>
      <c r="AG492" t="inlineStr"/>
      <c r="AH492">
        <f>IF(AND(B492="",C492=""),"",IF(AND(X492&lt;&gt;"",Y492&lt;&gt;"",Z492&lt;&gt;"",AA492&lt;&gt;"",AB492="Y"),"YES","no"))</f>
        <v/>
      </c>
      <c r="AI492" s="10">
        <f>IF(AH492="YES",MAX(X492,Y492,Z492,AA492),"")</f>
        <v/>
      </c>
      <c r="AJ492">
        <f>IF(AND(B492="",C492=""),"",IF(OR(S492="Not interested",S492="Opt-out / do not contact"),"X Declined / suppressed",IF(S492="Bounced / undeliverable","X Bounced — research",IF(AC492&lt;&gt;"","13 Transacting",IF(AH492="YES","12 ACTIVATED",IF(Z492&lt;&gt;"","11 Listing live",IF(Y492&lt;&gt;"","10 Profile complete",IF(X492&lt;&gt;"","9 Approved",IF(W492&lt;&gt;"","8 KYC submitted",IF(V492&lt;&gt;"","7 Registered",IF(T492&lt;&gt;"","5 Interested",IF(R492&lt;&gt;"","4 Responded",IF(O492&lt;&gt;"","2 Contacted","1 Not yet contacted")))))))))))))</f>
        <v/>
      </c>
      <c r="AK492" s="10">
        <f>IF(AF492&lt;&gt;"",AF492,IF(OR(O492="",R492&lt;&gt;"",LEFT(AJ492,1)="X"),"",IF(Q492&lt;&gt;"","",IF(P492&lt;&gt;"",P492+SETTINGS!$B$4,O492+SETTINGS!$B$3))))</f>
        <v/>
      </c>
      <c r="AL492">
        <f>IF(AJ492="","",IF(LEFT(AJ492,1)="X","None — do not contact",IF(AJ492="1 Not yet contacted","Verify route today, then send M1",IF(AND(R492="",Q492&lt;&gt;""),"Sequence complete — no contact before "&amp;TEXT(Q492+SETTINGS!$B$5,"yyyy-mm-dd"),IF(AND(R492="",P492&lt;&gt;""),"Send final note (M4)",IF(R492="","Send follow-up (M2)",IF(AJ492="12 ACTIVATED","7-day check-in; consent &amp; referral soft ask",IF(AJ492="13 Transacting","Repeat-activity support","Onboarding: move to next stage (see playbook §6)"))))))))</f>
        <v/>
      </c>
      <c r="AM492">
        <f>IF(ISNUMBER(AK492),IF(AK492&lt;=TODAY(),"DUE",""),"")</f>
        <v/>
      </c>
      <c r="AN492">
        <f>IF(COUNT(O492,P492,Q492,R492,T492,V492,W492,X492,Y492,Z492,AA492,AC492)=0,"",TODAY()-MAX(O492,P492,Q492,R492,T492,V492,W492,X492,Y492,Z492,AA492,AC492))</f>
        <v/>
      </c>
      <c r="AO492">
        <f>IF(AJ492="","",IF(AND(T492&lt;&gt;"",U492&lt;&gt;"Active (verified)"),"GST: escalate (no tax advice)",IF(AND(IFERROR(VALUE(LEFT(AJ492,2)),0)&gt;=5,AH492&lt;&gt;"YES",ISNUMBER(AN492),AN492&gt;SETTINGS!$B$14),"STUCK in onboarding","")))</f>
        <v/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s="10" t="inlineStr"/>
      <c r="P493" s="10" t="inlineStr"/>
      <c r="Q493" s="10" t="inlineStr"/>
      <c r="R493" s="10" t="inlineStr"/>
      <c r="S493" t="inlineStr"/>
      <c r="T493" s="10" t="inlineStr"/>
      <c r="U493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t="inlineStr"/>
      <c r="AC493" s="10" t="inlineStr"/>
      <c r="AD493" t="inlineStr"/>
      <c r="AE493" t="inlineStr"/>
      <c r="AF493" s="10" t="inlineStr"/>
      <c r="AG493" t="inlineStr"/>
      <c r="AH493">
        <f>IF(AND(B493="",C493=""),"",IF(AND(X493&lt;&gt;"",Y493&lt;&gt;"",Z493&lt;&gt;"",AA493&lt;&gt;"",AB493="Y"),"YES","no"))</f>
        <v/>
      </c>
      <c r="AI493" s="10">
        <f>IF(AH493="YES",MAX(X493,Y493,Z493,AA493),"")</f>
        <v/>
      </c>
      <c r="AJ493">
        <f>IF(AND(B493="",C493=""),"",IF(OR(S493="Not interested",S493="Opt-out / do not contact"),"X Declined / suppressed",IF(S493="Bounced / undeliverable","X Bounced — research",IF(AC493&lt;&gt;"","13 Transacting",IF(AH493="YES","12 ACTIVATED",IF(Z493&lt;&gt;"","11 Listing live",IF(Y493&lt;&gt;"","10 Profile complete",IF(X493&lt;&gt;"","9 Approved",IF(W493&lt;&gt;"","8 KYC submitted",IF(V493&lt;&gt;"","7 Registered",IF(T493&lt;&gt;"","5 Interested",IF(R493&lt;&gt;"","4 Responded",IF(O493&lt;&gt;"","2 Contacted","1 Not yet contacted")))))))))))))</f>
        <v/>
      </c>
      <c r="AK493" s="10">
        <f>IF(AF493&lt;&gt;"",AF493,IF(OR(O493="",R493&lt;&gt;"",LEFT(AJ493,1)="X"),"",IF(Q493&lt;&gt;"","",IF(P493&lt;&gt;"",P493+SETTINGS!$B$4,O493+SETTINGS!$B$3))))</f>
        <v/>
      </c>
      <c r="AL493">
        <f>IF(AJ493="","",IF(LEFT(AJ493,1)="X","None — do not contact",IF(AJ493="1 Not yet contacted","Verify route today, then send M1",IF(AND(R493="",Q493&lt;&gt;""),"Sequence complete — no contact before "&amp;TEXT(Q493+SETTINGS!$B$5,"yyyy-mm-dd"),IF(AND(R493="",P493&lt;&gt;""),"Send final note (M4)",IF(R493="","Send follow-up (M2)",IF(AJ493="12 ACTIVATED","7-day check-in; consent &amp; referral soft ask",IF(AJ493="13 Transacting","Repeat-activity support","Onboarding: move to next stage (see playbook §6)"))))))))</f>
        <v/>
      </c>
      <c r="AM493">
        <f>IF(ISNUMBER(AK493),IF(AK493&lt;=TODAY(),"DUE",""),"")</f>
        <v/>
      </c>
      <c r="AN493">
        <f>IF(COUNT(O493,P493,Q493,R493,T493,V493,W493,X493,Y493,Z493,AA493,AC493)=0,"",TODAY()-MAX(O493,P493,Q493,R493,T493,V493,W493,X493,Y493,Z493,AA493,AC493))</f>
        <v/>
      </c>
      <c r="AO493">
        <f>IF(AJ493="","",IF(AND(T493&lt;&gt;"",U493&lt;&gt;"Active (verified)"),"GST: escalate (no tax advice)",IF(AND(IFERROR(VALUE(LEFT(AJ493,2)),0)&gt;=5,AH493&lt;&gt;"YES",ISNUMBER(AN493),AN493&gt;SETTINGS!$B$14),"STUCK in onboarding","")))</f>
        <v/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s="10" t="inlineStr"/>
      <c r="P494" s="10" t="inlineStr"/>
      <c r="Q494" s="10" t="inlineStr"/>
      <c r="R494" s="10" t="inlineStr"/>
      <c r="S494" t="inlineStr"/>
      <c r="T494" s="10" t="inlineStr"/>
      <c r="U494" t="inlineStr"/>
      <c r="V494" s="10" t="inlineStr"/>
      <c r="W494" s="10" t="inlineStr"/>
      <c r="X494" s="10" t="inlineStr"/>
      <c r="Y494" s="10" t="inlineStr"/>
      <c r="Z494" s="10" t="inlineStr"/>
      <c r="AA494" s="10" t="inlineStr"/>
      <c r="AB494" t="inlineStr"/>
      <c r="AC494" s="10" t="inlineStr"/>
      <c r="AD494" t="inlineStr"/>
      <c r="AE494" t="inlineStr"/>
      <c r="AF494" s="10" t="inlineStr"/>
      <c r="AG494" t="inlineStr"/>
      <c r="AH494">
        <f>IF(AND(B494="",C494=""),"",IF(AND(X494&lt;&gt;"",Y494&lt;&gt;"",Z494&lt;&gt;"",AA494&lt;&gt;"",AB494="Y"),"YES","no"))</f>
        <v/>
      </c>
      <c r="AI494" s="10">
        <f>IF(AH494="YES",MAX(X494,Y494,Z494,AA494),"")</f>
        <v/>
      </c>
      <c r="AJ494">
        <f>IF(AND(B494="",C494=""),"",IF(OR(S494="Not interested",S494="Opt-out / do not contact"),"X Declined / suppressed",IF(S494="Bounced / undeliverable","X Bounced — research",IF(AC494&lt;&gt;"","13 Transacting",IF(AH494="YES","12 ACTIVATED",IF(Z494&lt;&gt;"","11 Listing live",IF(Y494&lt;&gt;"","10 Profile complete",IF(X494&lt;&gt;"","9 Approved",IF(W494&lt;&gt;"","8 KYC submitted",IF(V494&lt;&gt;"","7 Registered",IF(T494&lt;&gt;"","5 Interested",IF(R494&lt;&gt;"","4 Responded",IF(O494&lt;&gt;"","2 Contacted","1 Not yet contacted")))))))))))))</f>
        <v/>
      </c>
      <c r="AK494" s="10">
        <f>IF(AF494&lt;&gt;"",AF494,IF(OR(O494="",R494&lt;&gt;"",LEFT(AJ494,1)="X"),"",IF(Q494&lt;&gt;"","",IF(P494&lt;&gt;"",P494+SETTINGS!$B$4,O494+SETTINGS!$B$3))))</f>
        <v/>
      </c>
      <c r="AL494">
        <f>IF(AJ494="","",IF(LEFT(AJ494,1)="X","None — do not contact",IF(AJ494="1 Not yet contacted","Verify route today, then send M1",IF(AND(R494="",Q494&lt;&gt;""),"Sequence complete — no contact before "&amp;TEXT(Q494+SETTINGS!$B$5,"yyyy-mm-dd"),IF(AND(R494="",P494&lt;&gt;""),"Send final note (M4)",IF(R494="","Send follow-up (M2)",IF(AJ494="12 ACTIVATED","7-day check-in; consent &amp; referral soft ask",IF(AJ494="13 Transacting","Repeat-activity support","Onboarding: move to next stage (see playbook §6)"))))))))</f>
        <v/>
      </c>
      <c r="AM494">
        <f>IF(ISNUMBER(AK494),IF(AK494&lt;=TODAY(),"DUE",""),"")</f>
        <v/>
      </c>
      <c r="AN494">
        <f>IF(COUNT(O494,P494,Q494,R494,T494,V494,W494,X494,Y494,Z494,AA494,AC494)=0,"",TODAY()-MAX(O494,P494,Q494,R494,T494,V494,W494,X494,Y494,Z494,AA494,AC494))</f>
        <v/>
      </c>
      <c r="AO494">
        <f>IF(AJ494="","",IF(AND(T494&lt;&gt;"",U494&lt;&gt;"Active (verified)"),"GST: escalate (no tax advice)",IF(AND(IFERROR(VALUE(LEFT(AJ494,2)),0)&gt;=5,AH494&lt;&gt;"YES",ISNUMBER(AN494),AN494&gt;SETTINGS!$B$14),"STUCK in onboarding","")))</f>
        <v/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s="10" t="inlineStr"/>
      <c r="P495" s="10" t="inlineStr"/>
      <c r="Q495" s="10" t="inlineStr"/>
      <c r="R495" s="10" t="inlineStr"/>
      <c r="S495" t="inlineStr"/>
      <c r="T495" s="10" t="inlineStr"/>
      <c r="U495" t="inlineStr"/>
      <c r="V495" s="10" t="inlineStr"/>
      <c r="W495" s="10" t="inlineStr"/>
      <c r="X495" s="10" t="inlineStr"/>
      <c r="Y495" s="10" t="inlineStr"/>
      <c r="Z495" s="10" t="inlineStr"/>
      <c r="AA495" s="10" t="inlineStr"/>
      <c r="AB495" t="inlineStr"/>
      <c r="AC495" s="10" t="inlineStr"/>
      <c r="AD495" t="inlineStr"/>
      <c r="AE495" t="inlineStr"/>
      <c r="AF495" s="10" t="inlineStr"/>
      <c r="AG495" t="inlineStr"/>
      <c r="AH495">
        <f>IF(AND(B495="",C495=""),"",IF(AND(X495&lt;&gt;"",Y495&lt;&gt;"",Z495&lt;&gt;"",AA495&lt;&gt;"",AB495="Y"),"YES","no"))</f>
        <v/>
      </c>
      <c r="AI495" s="10">
        <f>IF(AH495="YES",MAX(X495,Y495,Z495,AA495),"")</f>
        <v/>
      </c>
      <c r="AJ495">
        <f>IF(AND(B495="",C495=""),"",IF(OR(S495="Not interested",S495="Opt-out / do not contact"),"X Declined / suppressed",IF(S495="Bounced / undeliverable","X Bounced — research",IF(AC495&lt;&gt;"","13 Transacting",IF(AH495="YES","12 ACTIVATED",IF(Z495&lt;&gt;"","11 Listing live",IF(Y495&lt;&gt;"","10 Profile complete",IF(X495&lt;&gt;"","9 Approved",IF(W495&lt;&gt;"","8 KYC submitted",IF(V495&lt;&gt;"","7 Registered",IF(T495&lt;&gt;"","5 Interested",IF(R495&lt;&gt;"","4 Responded",IF(O495&lt;&gt;"","2 Contacted","1 Not yet contacted")))))))))))))</f>
        <v/>
      </c>
      <c r="AK495" s="10">
        <f>IF(AF495&lt;&gt;"",AF495,IF(OR(O495="",R495&lt;&gt;"",LEFT(AJ495,1)="X"),"",IF(Q495&lt;&gt;"","",IF(P495&lt;&gt;"",P495+SETTINGS!$B$4,O495+SETTINGS!$B$3))))</f>
        <v/>
      </c>
      <c r="AL495">
        <f>IF(AJ495="","",IF(LEFT(AJ495,1)="X","None — do not contact",IF(AJ495="1 Not yet contacted","Verify route today, then send M1",IF(AND(R495="",Q495&lt;&gt;""),"Sequence complete — no contact before "&amp;TEXT(Q495+SETTINGS!$B$5,"yyyy-mm-dd"),IF(AND(R495="",P495&lt;&gt;""),"Send final note (M4)",IF(R495="","Send follow-up (M2)",IF(AJ495="12 ACTIVATED","7-day check-in; consent &amp; referral soft ask",IF(AJ495="13 Transacting","Repeat-activity support","Onboarding: move to next stage (see playbook §6)"))))))))</f>
        <v/>
      </c>
      <c r="AM495">
        <f>IF(ISNUMBER(AK495),IF(AK495&lt;=TODAY(),"DUE",""),"")</f>
        <v/>
      </c>
      <c r="AN495">
        <f>IF(COUNT(O495,P495,Q495,R495,T495,V495,W495,X495,Y495,Z495,AA495,AC495)=0,"",TODAY()-MAX(O495,P495,Q495,R495,T495,V495,W495,X495,Y495,Z495,AA495,AC495))</f>
        <v/>
      </c>
      <c r="AO495">
        <f>IF(AJ495="","",IF(AND(T495&lt;&gt;"",U495&lt;&gt;"Active (verified)"),"GST: escalate (no tax advice)",IF(AND(IFERROR(VALUE(LEFT(AJ495,2)),0)&gt;=5,AH495&lt;&gt;"YES",ISNUMBER(AN495),AN495&gt;SETTINGS!$B$14),"STUCK in onboarding","")))</f>
        <v/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s="10" t="inlineStr"/>
      <c r="P496" s="10" t="inlineStr"/>
      <c r="Q496" s="10" t="inlineStr"/>
      <c r="R496" s="10" t="inlineStr"/>
      <c r="S496" t="inlineStr"/>
      <c r="T496" s="10" t="inlineStr"/>
      <c r="U496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t="inlineStr"/>
      <c r="AC496" s="10" t="inlineStr"/>
      <c r="AD496" t="inlineStr"/>
      <c r="AE496" t="inlineStr"/>
      <c r="AF496" s="10" t="inlineStr"/>
      <c r="AG496" t="inlineStr"/>
      <c r="AH496">
        <f>IF(AND(B496="",C496=""),"",IF(AND(X496&lt;&gt;"",Y496&lt;&gt;"",Z496&lt;&gt;"",AA496&lt;&gt;"",AB496="Y"),"YES","no"))</f>
        <v/>
      </c>
      <c r="AI496" s="10">
        <f>IF(AH496="YES",MAX(X496,Y496,Z496,AA496),"")</f>
        <v/>
      </c>
      <c r="AJ496">
        <f>IF(AND(B496="",C496=""),"",IF(OR(S496="Not interested",S496="Opt-out / do not contact"),"X Declined / suppressed",IF(S496="Bounced / undeliverable","X Bounced — research",IF(AC496&lt;&gt;"","13 Transacting",IF(AH496="YES","12 ACTIVATED",IF(Z496&lt;&gt;"","11 Listing live",IF(Y496&lt;&gt;"","10 Profile complete",IF(X496&lt;&gt;"","9 Approved",IF(W496&lt;&gt;"","8 KYC submitted",IF(V496&lt;&gt;"","7 Registered",IF(T496&lt;&gt;"","5 Interested",IF(R496&lt;&gt;"","4 Responded",IF(O496&lt;&gt;"","2 Contacted","1 Not yet contacted")))))))))))))</f>
        <v/>
      </c>
      <c r="AK496" s="10">
        <f>IF(AF496&lt;&gt;"",AF496,IF(OR(O496="",R496&lt;&gt;"",LEFT(AJ496,1)="X"),"",IF(Q496&lt;&gt;"","",IF(P496&lt;&gt;"",P496+SETTINGS!$B$4,O496+SETTINGS!$B$3))))</f>
        <v/>
      </c>
      <c r="AL496">
        <f>IF(AJ496="","",IF(LEFT(AJ496,1)="X","None — do not contact",IF(AJ496="1 Not yet contacted","Verify route today, then send M1",IF(AND(R496="",Q496&lt;&gt;""),"Sequence complete — no contact before "&amp;TEXT(Q496+SETTINGS!$B$5,"yyyy-mm-dd"),IF(AND(R496="",P496&lt;&gt;""),"Send final note (M4)",IF(R496="","Send follow-up (M2)",IF(AJ496="12 ACTIVATED","7-day check-in; consent &amp; referral soft ask",IF(AJ496="13 Transacting","Repeat-activity support","Onboarding: move to next stage (see playbook §6)"))))))))</f>
        <v/>
      </c>
      <c r="AM496">
        <f>IF(ISNUMBER(AK496),IF(AK496&lt;=TODAY(),"DUE",""),"")</f>
        <v/>
      </c>
      <c r="AN496">
        <f>IF(COUNT(O496,P496,Q496,R496,T496,V496,W496,X496,Y496,Z496,AA496,AC496)=0,"",TODAY()-MAX(O496,P496,Q496,R496,T496,V496,W496,X496,Y496,Z496,AA496,AC496))</f>
        <v/>
      </c>
      <c r="AO496">
        <f>IF(AJ496="","",IF(AND(T496&lt;&gt;"",U496&lt;&gt;"Active (verified)"),"GST: escalate (no tax advice)",IF(AND(IFERROR(VALUE(LEFT(AJ496,2)),0)&gt;=5,AH496&lt;&gt;"YES",ISNUMBER(AN496),AN496&gt;SETTINGS!$B$14),"STUCK in onboarding","")))</f>
        <v/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s="10" t="inlineStr"/>
      <c r="P497" s="10" t="inlineStr"/>
      <c r="Q497" s="10" t="inlineStr"/>
      <c r="R497" s="10" t="inlineStr"/>
      <c r="S497" t="inlineStr"/>
      <c r="T497" s="10" t="inlineStr"/>
      <c r="U497" t="inlineStr"/>
      <c r="V497" s="10" t="inlineStr"/>
      <c r="W497" s="10" t="inlineStr"/>
      <c r="X497" s="10" t="inlineStr"/>
      <c r="Y497" s="10" t="inlineStr"/>
      <c r="Z497" s="10" t="inlineStr"/>
      <c r="AA497" s="10" t="inlineStr"/>
      <c r="AB497" t="inlineStr"/>
      <c r="AC497" s="10" t="inlineStr"/>
      <c r="AD497" t="inlineStr"/>
      <c r="AE497" t="inlineStr"/>
      <c r="AF497" s="10" t="inlineStr"/>
      <c r="AG497" t="inlineStr"/>
      <c r="AH497">
        <f>IF(AND(B497="",C497=""),"",IF(AND(X497&lt;&gt;"",Y497&lt;&gt;"",Z497&lt;&gt;"",AA497&lt;&gt;"",AB497="Y"),"YES","no"))</f>
        <v/>
      </c>
      <c r="AI497" s="10">
        <f>IF(AH497="YES",MAX(X497,Y497,Z497,AA497),"")</f>
        <v/>
      </c>
      <c r="AJ497">
        <f>IF(AND(B497="",C497=""),"",IF(OR(S497="Not interested",S497="Opt-out / do not contact"),"X Declined / suppressed",IF(S497="Bounced / undeliverable","X Bounced — research",IF(AC497&lt;&gt;"","13 Transacting",IF(AH497="YES","12 ACTIVATED",IF(Z497&lt;&gt;"","11 Listing live",IF(Y497&lt;&gt;"","10 Profile complete",IF(X497&lt;&gt;"","9 Approved",IF(W497&lt;&gt;"","8 KYC submitted",IF(V497&lt;&gt;"","7 Registered",IF(T497&lt;&gt;"","5 Interested",IF(R497&lt;&gt;"","4 Responded",IF(O497&lt;&gt;"","2 Contacted","1 Not yet contacted")))))))))))))</f>
        <v/>
      </c>
      <c r="AK497" s="10">
        <f>IF(AF497&lt;&gt;"",AF497,IF(OR(O497="",R497&lt;&gt;"",LEFT(AJ497,1)="X"),"",IF(Q497&lt;&gt;"","",IF(P497&lt;&gt;"",P497+SETTINGS!$B$4,O497+SETTINGS!$B$3))))</f>
        <v/>
      </c>
      <c r="AL497">
        <f>IF(AJ497="","",IF(LEFT(AJ497,1)="X","None — do not contact",IF(AJ497="1 Not yet contacted","Verify route today, then send M1",IF(AND(R497="",Q497&lt;&gt;""),"Sequence complete — no contact before "&amp;TEXT(Q497+SETTINGS!$B$5,"yyyy-mm-dd"),IF(AND(R497="",P497&lt;&gt;""),"Send final note (M4)",IF(R497="","Send follow-up (M2)",IF(AJ497="12 ACTIVATED","7-day check-in; consent &amp; referral soft ask",IF(AJ497="13 Transacting","Repeat-activity support","Onboarding: move to next stage (see playbook §6)"))))))))</f>
        <v/>
      </c>
      <c r="AM497">
        <f>IF(ISNUMBER(AK497),IF(AK497&lt;=TODAY(),"DUE",""),"")</f>
        <v/>
      </c>
      <c r="AN497">
        <f>IF(COUNT(O497,P497,Q497,R497,T497,V497,W497,X497,Y497,Z497,AA497,AC497)=0,"",TODAY()-MAX(O497,P497,Q497,R497,T497,V497,W497,X497,Y497,Z497,AA497,AC497))</f>
        <v/>
      </c>
      <c r="AO497">
        <f>IF(AJ497="","",IF(AND(T497&lt;&gt;"",U497&lt;&gt;"Active (verified)"),"GST: escalate (no tax advice)",IF(AND(IFERROR(VALUE(LEFT(AJ497,2)),0)&gt;=5,AH497&lt;&gt;"YES",ISNUMBER(AN497),AN497&gt;SETTINGS!$B$14),"STUCK in onboarding","")))</f>
        <v/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s="10" t="inlineStr"/>
      <c r="P498" s="10" t="inlineStr"/>
      <c r="Q498" s="10" t="inlineStr"/>
      <c r="R498" s="10" t="inlineStr"/>
      <c r="S498" t="inlineStr"/>
      <c r="T498" s="10" t="inlineStr"/>
      <c r="U498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t="inlineStr"/>
      <c r="AC498" s="10" t="inlineStr"/>
      <c r="AD498" t="inlineStr"/>
      <c r="AE498" t="inlineStr"/>
      <c r="AF498" s="10" t="inlineStr"/>
      <c r="AG498" t="inlineStr"/>
      <c r="AH498">
        <f>IF(AND(B498="",C498=""),"",IF(AND(X498&lt;&gt;"",Y498&lt;&gt;"",Z498&lt;&gt;"",AA498&lt;&gt;"",AB498="Y"),"YES","no"))</f>
        <v/>
      </c>
      <c r="AI498" s="10">
        <f>IF(AH498="YES",MAX(X498,Y498,Z498,AA498),"")</f>
        <v/>
      </c>
      <c r="AJ498">
        <f>IF(AND(B498="",C498=""),"",IF(OR(S498="Not interested",S498="Opt-out / do not contact"),"X Declined / suppressed",IF(S498="Bounced / undeliverable","X Bounced — research",IF(AC498&lt;&gt;"","13 Transacting",IF(AH498="YES","12 ACTIVATED",IF(Z498&lt;&gt;"","11 Listing live",IF(Y498&lt;&gt;"","10 Profile complete",IF(X498&lt;&gt;"","9 Approved",IF(W498&lt;&gt;"","8 KYC submitted",IF(V498&lt;&gt;"","7 Registered",IF(T498&lt;&gt;"","5 Interested",IF(R498&lt;&gt;"","4 Responded",IF(O498&lt;&gt;"","2 Contacted","1 Not yet contacted")))))))))))))</f>
        <v/>
      </c>
      <c r="AK498" s="10">
        <f>IF(AF498&lt;&gt;"",AF498,IF(OR(O498="",R498&lt;&gt;"",LEFT(AJ498,1)="X"),"",IF(Q498&lt;&gt;"","",IF(P498&lt;&gt;"",P498+SETTINGS!$B$4,O498+SETTINGS!$B$3))))</f>
        <v/>
      </c>
      <c r="AL498">
        <f>IF(AJ498="","",IF(LEFT(AJ498,1)="X","None — do not contact",IF(AJ498="1 Not yet contacted","Verify route today, then send M1",IF(AND(R498="",Q498&lt;&gt;""),"Sequence complete — no contact before "&amp;TEXT(Q498+SETTINGS!$B$5,"yyyy-mm-dd"),IF(AND(R498="",P498&lt;&gt;""),"Send final note (M4)",IF(R498="","Send follow-up (M2)",IF(AJ498="12 ACTIVATED","7-day check-in; consent &amp; referral soft ask",IF(AJ498="13 Transacting","Repeat-activity support","Onboarding: move to next stage (see playbook §6)"))))))))</f>
        <v/>
      </c>
      <c r="AM498">
        <f>IF(ISNUMBER(AK498),IF(AK498&lt;=TODAY(),"DUE",""),"")</f>
        <v/>
      </c>
      <c r="AN498">
        <f>IF(COUNT(O498,P498,Q498,R498,T498,V498,W498,X498,Y498,Z498,AA498,AC498)=0,"",TODAY()-MAX(O498,P498,Q498,R498,T498,V498,W498,X498,Y498,Z498,AA498,AC498))</f>
        <v/>
      </c>
      <c r="AO498">
        <f>IF(AJ498="","",IF(AND(T498&lt;&gt;"",U498&lt;&gt;"Active (verified)"),"GST: escalate (no tax advice)",IF(AND(IFERROR(VALUE(LEFT(AJ498,2)),0)&gt;=5,AH498&lt;&gt;"YES",ISNUMBER(AN498),AN498&gt;SETTINGS!$B$14),"STUCK in onboarding","")))</f>
        <v/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s="10" t="inlineStr"/>
      <c r="P499" s="10" t="inlineStr"/>
      <c r="Q499" s="10" t="inlineStr"/>
      <c r="R499" s="10" t="inlineStr"/>
      <c r="S499" t="inlineStr"/>
      <c r="T499" s="10" t="inlineStr"/>
      <c r="U499" t="inlineStr"/>
      <c r="V499" s="10" t="inlineStr"/>
      <c r="W499" s="10" t="inlineStr"/>
      <c r="X499" s="10" t="inlineStr"/>
      <c r="Y499" s="10" t="inlineStr"/>
      <c r="Z499" s="10" t="inlineStr"/>
      <c r="AA499" s="10" t="inlineStr"/>
      <c r="AB499" t="inlineStr"/>
      <c r="AC499" s="10" t="inlineStr"/>
      <c r="AD499" t="inlineStr"/>
      <c r="AE499" t="inlineStr"/>
      <c r="AF499" s="10" t="inlineStr"/>
      <c r="AG499" t="inlineStr"/>
      <c r="AH499">
        <f>IF(AND(B499="",C499=""),"",IF(AND(X499&lt;&gt;"",Y499&lt;&gt;"",Z499&lt;&gt;"",AA499&lt;&gt;"",AB499="Y"),"YES","no"))</f>
        <v/>
      </c>
      <c r="AI499" s="10">
        <f>IF(AH499="YES",MAX(X499,Y499,Z499,AA499),"")</f>
        <v/>
      </c>
      <c r="AJ499">
        <f>IF(AND(B499="",C499=""),"",IF(OR(S499="Not interested",S499="Opt-out / do not contact"),"X Declined / suppressed",IF(S499="Bounced / undeliverable","X Bounced — research",IF(AC499&lt;&gt;"","13 Transacting",IF(AH499="YES","12 ACTIVATED",IF(Z499&lt;&gt;"","11 Listing live",IF(Y499&lt;&gt;"","10 Profile complete",IF(X499&lt;&gt;"","9 Approved",IF(W499&lt;&gt;"","8 KYC submitted",IF(V499&lt;&gt;"","7 Registered",IF(T499&lt;&gt;"","5 Interested",IF(R499&lt;&gt;"","4 Responded",IF(O499&lt;&gt;"","2 Contacted","1 Not yet contacted")))))))))))))</f>
        <v/>
      </c>
      <c r="AK499" s="10">
        <f>IF(AF499&lt;&gt;"",AF499,IF(OR(O499="",R499&lt;&gt;"",LEFT(AJ499,1)="X"),"",IF(Q499&lt;&gt;"","",IF(P499&lt;&gt;"",P499+SETTINGS!$B$4,O499+SETTINGS!$B$3))))</f>
        <v/>
      </c>
      <c r="AL499">
        <f>IF(AJ499="","",IF(LEFT(AJ499,1)="X","None — do not contact",IF(AJ499="1 Not yet contacted","Verify route today, then send M1",IF(AND(R499="",Q499&lt;&gt;""),"Sequence complete — no contact before "&amp;TEXT(Q499+SETTINGS!$B$5,"yyyy-mm-dd"),IF(AND(R499="",P499&lt;&gt;""),"Send final note (M4)",IF(R499="","Send follow-up (M2)",IF(AJ499="12 ACTIVATED","7-day check-in; consent &amp; referral soft ask",IF(AJ499="13 Transacting","Repeat-activity support","Onboarding: move to next stage (see playbook §6)"))))))))</f>
        <v/>
      </c>
      <c r="AM499">
        <f>IF(ISNUMBER(AK499),IF(AK499&lt;=TODAY(),"DUE",""),"")</f>
        <v/>
      </c>
      <c r="AN499">
        <f>IF(COUNT(O499,P499,Q499,R499,T499,V499,W499,X499,Y499,Z499,AA499,AC499)=0,"",TODAY()-MAX(O499,P499,Q499,R499,T499,V499,W499,X499,Y499,Z499,AA499,AC499))</f>
        <v/>
      </c>
      <c r="AO499">
        <f>IF(AJ499="","",IF(AND(T499&lt;&gt;"",U499&lt;&gt;"Active (verified)"),"GST: escalate (no tax advice)",IF(AND(IFERROR(VALUE(LEFT(AJ499,2)),0)&gt;=5,AH499&lt;&gt;"YES",ISNUMBER(AN499),AN499&gt;SETTINGS!$B$14),"STUCK in onboarding","")))</f>
        <v/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s="10" t="inlineStr"/>
      <c r="P500" s="10" t="inlineStr"/>
      <c r="Q500" s="10" t="inlineStr"/>
      <c r="R500" s="10" t="inlineStr"/>
      <c r="S500" t="inlineStr"/>
      <c r="T500" s="10" t="inlineStr"/>
      <c r="U500" t="inlineStr"/>
      <c r="V500" s="10" t="inlineStr"/>
      <c r="W500" s="10" t="inlineStr"/>
      <c r="X500" s="10" t="inlineStr"/>
      <c r="Y500" s="10" t="inlineStr"/>
      <c r="Z500" s="10" t="inlineStr"/>
      <c r="AA500" s="10" t="inlineStr"/>
      <c r="AB500" t="inlineStr"/>
      <c r="AC500" s="10" t="inlineStr"/>
      <c r="AD500" t="inlineStr"/>
      <c r="AE500" t="inlineStr"/>
      <c r="AF500" s="10" t="inlineStr"/>
      <c r="AG500" t="inlineStr"/>
      <c r="AH500">
        <f>IF(AND(B500="",C500=""),"",IF(AND(X500&lt;&gt;"",Y500&lt;&gt;"",Z500&lt;&gt;"",AA500&lt;&gt;"",AB500="Y"),"YES","no"))</f>
        <v/>
      </c>
      <c r="AI500" s="10">
        <f>IF(AH500="YES",MAX(X500,Y500,Z500,AA500),"")</f>
        <v/>
      </c>
      <c r="AJ500">
        <f>IF(AND(B500="",C500=""),"",IF(OR(S500="Not interested",S500="Opt-out / do not contact"),"X Declined / suppressed",IF(S500="Bounced / undeliverable","X Bounced — research",IF(AC500&lt;&gt;"","13 Transacting",IF(AH500="YES","12 ACTIVATED",IF(Z500&lt;&gt;"","11 Listing live",IF(Y500&lt;&gt;"","10 Profile complete",IF(X500&lt;&gt;"","9 Approved",IF(W500&lt;&gt;"","8 KYC submitted",IF(V500&lt;&gt;"","7 Registered",IF(T500&lt;&gt;"","5 Interested",IF(R500&lt;&gt;"","4 Responded",IF(O500&lt;&gt;"","2 Contacted","1 Not yet contacted")))))))))))))</f>
        <v/>
      </c>
      <c r="AK500" s="10">
        <f>IF(AF500&lt;&gt;"",AF500,IF(OR(O500="",R500&lt;&gt;"",LEFT(AJ500,1)="X"),"",IF(Q500&lt;&gt;"","",IF(P500&lt;&gt;"",P500+SETTINGS!$B$4,O500+SETTINGS!$B$3))))</f>
        <v/>
      </c>
      <c r="AL500">
        <f>IF(AJ500="","",IF(LEFT(AJ500,1)="X","None — do not contact",IF(AJ500="1 Not yet contacted","Verify route today, then send M1",IF(AND(R500="",Q500&lt;&gt;""),"Sequence complete — no contact before "&amp;TEXT(Q500+SETTINGS!$B$5,"yyyy-mm-dd"),IF(AND(R500="",P500&lt;&gt;""),"Send final note (M4)",IF(R500="","Send follow-up (M2)",IF(AJ500="12 ACTIVATED","7-day check-in; consent &amp; referral soft ask",IF(AJ500="13 Transacting","Repeat-activity support","Onboarding: move to next stage (see playbook §6)"))))))))</f>
        <v/>
      </c>
      <c r="AM500">
        <f>IF(ISNUMBER(AK500),IF(AK500&lt;=TODAY(),"DUE",""),"")</f>
        <v/>
      </c>
      <c r="AN500">
        <f>IF(COUNT(O500,P500,Q500,R500,T500,V500,W500,X500,Y500,Z500,AA500,AC500)=0,"",TODAY()-MAX(O500,P500,Q500,R500,T500,V500,W500,X500,Y500,Z500,AA500,AC500))</f>
        <v/>
      </c>
      <c r="AO500">
        <f>IF(AJ500="","",IF(AND(T500&lt;&gt;"",U500&lt;&gt;"Active (verified)"),"GST: escalate (no tax advice)",IF(AND(IFERROR(VALUE(LEFT(AJ500,2)),0)&gt;=5,AH500&lt;&gt;"YES",ISNUMBER(AN500),AN500&gt;SETTINGS!$B$14),"STUCK in onboarding","")))</f>
        <v/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s="10" t="inlineStr"/>
      <c r="P501" s="10" t="inlineStr"/>
      <c r="Q501" s="10" t="inlineStr"/>
      <c r="R501" s="10" t="inlineStr"/>
      <c r="S501" t="inlineStr"/>
      <c r="T501" s="10" t="inlineStr"/>
      <c r="U501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t="inlineStr"/>
      <c r="AC501" s="10" t="inlineStr"/>
      <c r="AD501" t="inlineStr"/>
      <c r="AE501" t="inlineStr"/>
      <c r="AF501" s="10" t="inlineStr"/>
      <c r="AG501" t="inlineStr"/>
      <c r="AH501">
        <f>IF(AND(B501="",C501=""),"",IF(AND(X501&lt;&gt;"",Y501&lt;&gt;"",Z501&lt;&gt;"",AA501&lt;&gt;"",AB501="Y"),"YES","no"))</f>
        <v/>
      </c>
      <c r="AI501" s="10">
        <f>IF(AH501="YES",MAX(X501,Y501,Z501,AA501),"")</f>
        <v/>
      </c>
      <c r="AJ501">
        <f>IF(AND(B501="",C501=""),"",IF(OR(S501="Not interested",S501="Opt-out / do not contact"),"X Declined / suppressed",IF(S501="Bounced / undeliverable","X Bounced — research",IF(AC501&lt;&gt;"","13 Transacting",IF(AH501="YES","12 ACTIVATED",IF(Z501&lt;&gt;"","11 Listing live",IF(Y501&lt;&gt;"","10 Profile complete",IF(X501&lt;&gt;"","9 Approved",IF(W501&lt;&gt;"","8 KYC submitted",IF(V501&lt;&gt;"","7 Registered",IF(T501&lt;&gt;"","5 Interested",IF(R501&lt;&gt;"","4 Responded",IF(O501&lt;&gt;"","2 Contacted","1 Not yet contacted")))))))))))))</f>
        <v/>
      </c>
      <c r="AK501" s="10">
        <f>IF(AF501&lt;&gt;"",AF501,IF(OR(O501="",R501&lt;&gt;"",LEFT(AJ501,1)="X"),"",IF(Q501&lt;&gt;"","",IF(P501&lt;&gt;"",P501+SETTINGS!$B$4,O501+SETTINGS!$B$3))))</f>
        <v/>
      </c>
      <c r="AL501">
        <f>IF(AJ501="","",IF(LEFT(AJ501,1)="X","None — do not contact",IF(AJ501="1 Not yet contacted","Verify route today, then send M1",IF(AND(R501="",Q501&lt;&gt;""),"Sequence complete — no contact before "&amp;TEXT(Q501+SETTINGS!$B$5,"yyyy-mm-dd"),IF(AND(R501="",P501&lt;&gt;""),"Send final note (M4)",IF(R501="","Send follow-up (M2)",IF(AJ501="12 ACTIVATED","7-day check-in; consent &amp; referral soft ask",IF(AJ501="13 Transacting","Repeat-activity support","Onboarding: move to next stage (see playbook §6)"))))))))</f>
        <v/>
      </c>
      <c r="AM501">
        <f>IF(ISNUMBER(AK501),IF(AK501&lt;=TODAY(),"DUE",""),"")</f>
        <v/>
      </c>
      <c r="AN501">
        <f>IF(COUNT(O501,P501,Q501,R501,T501,V501,W501,X501,Y501,Z501,AA501,AC501)=0,"",TODAY()-MAX(O501,P501,Q501,R501,T501,V501,W501,X501,Y501,Z501,AA501,AC501))</f>
        <v/>
      </c>
      <c r="AO501">
        <f>IF(AJ501="","",IF(AND(T501&lt;&gt;"",U501&lt;&gt;"Active (verified)"),"GST: escalate (no tax advice)",IF(AND(IFERROR(VALUE(LEFT(AJ501,2)),0)&gt;=5,AH501&lt;&gt;"YES",ISNUMBER(AN501),AN501&gt;SETTINGS!$B$14),"STUCK in onboarding","")))</f>
        <v/>
      </c>
    </row>
  </sheetData>
  <autoFilter ref="A1:AO501"/>
  <conditionalFormatting sqref="AM2:AM501">
    <cfRule type="expression" priority="1" dxfId="0">
      <formula>AM2="DUE"</formula>
    </cfRule>
  </conditionalFormatting>
  <conditionalFormatting sqref="AH2:AH501">
    <cfRule type="expression" priority="2" dxfId="1">
      <formula>AH2="YES"</formula>
    </cfRule>
  </conditionalFormatting>
  <conditionalFormatting sqref="AO2:AO501">
    <cfRule type="expression" priority="3" dxfId="2">
      <formula>LEN(AO2)&gt;0</formula>
    </cfRule>
  </conditionalFormatting>
  <dataValidations count="7">
    <dataValidation sqref="L2:L501" showDropDown="0" showInputMessage="0" showErrorMessage="0" allowBlank="1" type="list">
      <formula1>LISTS!$A$2:$A$10</formula1>
    </dataValidation>
    <dataValidation sqref="M2:M501" showDropDown="0" showInputMessage="0" showErrorMessage="0" allowBlank="1" type="list">
      <formula1>LISTS!$B$2:$B$8</formula1>
    </dataValidation>
    <dataValidation sqref="S2:S501" showDropDown="0" showInputMessage="0" showErrorMessage="0" allowBlank="1" type="list">
      <formula1>LISTS!$C$2:$C$7</formula1>
    </dataValidation>
    <dataValidation sqref="AB2:AB501 AD2:AD501" showDropDown="0" showInputMessage="0" showErrorMessage="0" allowBlank="1" type="list">
      <formula1>LISTS!$D$2:$D$3</formula1>
    </dataValidation>
    <dataValidation sqref="U2:U501" showDropDown="0" showInputMessage="0" showErrorMessage="0" allowBlank="1" type="list">
      <formula1>LISTS!$E$2:$E$5</formula1>
    </dataValidation>
    <dataValidation sqref="N2:N501" showDropDown="0" showInputMessage="0" showErrorMessage="0" allowBlank="1" type="list">
      <formula1>LISTS!$I$2:$I$7</formula1>
    </dataValidation>
    <dataValidation sqref="D2:D501" showDropDown="0" showInputMessage="0" showErrorMessage="0" allowBlank="1" type="list">
      <formula1>LISTS!$H$2:$H$7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Campaign</t>
        </is>
      </c>
      <c r="B1" s="4" t="inlineStr">
        <is>
          <t>Purpose</t>
        </is>
      </c>
      <c r="C1" s="4" t="inlineStr">
        <is>
          <t>Audience</t>
        </is>
      </c>
      <c r="D1" s="4" t="inlineStr">
        <is>
          <t>Planned contacts</t>
        </is>
      </c>
      <c r="E1" s="4" t="inlineStr">
        <is>
          <t>Channel(s)</t>
        </is>
      </c>
      <c r="F1" s="4" t="inlineStr">
        <is>
          <t>Gate(s) required (BLOCKERS IDs)</t>
        </is>
      </c>
      <c r="G1" s="4" t="inlineStr">
        <is>
          <t>Planned start</t>
        </is>
      </c>
      <c r="H1" s="4" t="inlineStr">
        <is>
          <t>Owner</t>
        </is>
      </c>
      <c r="I1" s="4" t="inlineStr">
        <is>
          <t>Status</t>
        </is>
      </c>
    </row>
    <row r="2">
      <c r="A2" s="11" t="inlineStr">
        <is>
          <t>W-1 Journey test (friendly)</t>
        </is>
      </c>
      <c r="B2" s="11" t="inlineStr">
        <is>
          <t>Prove registration → KYC → approval → profile → listing → payout works, before any cold contact</t>
        </is>
      </c>
      <c r="C2" s="11" t="inlineStr">
        <is>
          <t>5–10 professionals from the founder's own network, across product and service categories</t>
        </is>
      </c>
      <c r="D2" s="11" t="n">
        <v>10</v>
      </c>
      <c r="E2" s="11" t="inlineStr">
        <is>
          <t>Warm, in person / call</t>
        </is>
      </c>
      <c r="F2" s="11" t="inlineStr">
        <is>
          <t>G2, G6, G7</t>
        </is>
      </c>
      <c r="G2" s="11" t="inlineStr"/>
      <c r="H2" s="11" t="inlineStr">
        <is>
          <t>Founder</t>
        </is>
      </c>
      <c r="I2" s="11" t="inlineStr">
        <is>
          <t>Planned</t>
        </is>
      </c>
    </row>
    <row r="3">
      <c r="A3" s="11" t="inlineStr">
        <is>
          <t>X Legacy accounts (dormant)</t>
        </is>
      </c>
      <c r="B3" s="11" t="inlineStr">
        <is>
          <t>NOT an acquisition campaign. Founder: legacy sellers registered 3–5 years ago, none active. Only the legally required terms-migration notice; anyone who replies is handled as Inbound</t>
        </is>
      </c>
      <c r="C3" s="11" t="inlineStr">
        <is>
          <t>Dormant legacy registrations</t>
        </is>
      </c>
      <c r="D3" s="11" t="inlineStr"/>
      <c r="E3" s="11" t="inlineStr">
        <is>
          <t>Service notice only (legal wording)</t>
        </is>
      </c>
      <c r="F3" s="11" t="inlineStr">
        <is>
          <t>G9, G3</t>
        </is>
      </c>
      <c r="G3" s="11" t="inlineStr"/>
      <c r="H3" s="11" t="inlineStr">
        <is>
          <t>Founder + Legal</t>
        </is>
      </c>
      <c r="I3" s="11" t="inlineStr">
        <is>
          <t>Not an acquisition campaign</t>
        </is>
      </c>
    </row>
    <row r="4">
      <c r="A4" s="11" t="inlineStr">
        <is>
          <t>W0 Pilot</t>
        </is>
      </c>
      <c r="B4" s="11" t="inlineStr">
        <is>
          <t>Learn message/CTA; first cold-to-activated journeys</t>
        </is>
      </c>
      <c r="C4" s="11" t="inlineStr">
        <is>
          <t>Golden 300 v2 ranks 1–25 (Delhi NCR, Mumbai)</t>
        </is>
      </c>
      <c r="D4" s="11" t="n">
        <v>25</v>
      </c>
      <c r="E4" s="11" t="inlineStr">
        <is>
          <t>Email; Instagram DM</t>
        </is>
      </c>
      <c r="F4" s="11" t="inlineStr">
        <is>
          <t>G1–G8</t>
        </is>
      </c>
      <c r="G4" s="11" t="inlineStr"/>
      <c r="H4" s="11" t="inlineStr">
        <is>
          <t>Founder</t>
        </is>
      </c>
      <c r="I4" s="11" t="inlineStr">
        <is>
          <t>Planned</t>
        </is>
      </c>
    </row>
    <row r="5">
      <c r="A5" s="11" t="inlineStr">
        <is>
          <t>W1 Founding cohort</t>
        </is>
      </c>
      <c r="B5" s="11" t="inlineStr">
        <is>
          <t>First pods in 4 anchor cities</t>
        </is>
      </c>
      <c r="C5" s="11" t="inlineStr">
        <is>
          <t>Ranks 26–100</t>
        </is>
      </c>
      <c r="D5" s="11" t="n">
        <v>75</v>
      </c>
      <c r="E5" s="11" t="inlineStr">
        <is>
          <t>Email; Instagram DM; LinkedIn (practices)</t>
        </is>
      </c>
      <c r="F5" s="11" t="inlineStr">
        <is>
          <t>W0 exit + G1–G10</t>
        </is>
      </c>
      <c r="G5" s="11" t="inlineStr"/>
      <c r="H5" s="11" t="inlineStr">
        <is>
          <t>Outreach lead</t>
        </is>
      </c>
      <c r="I5" s="11" t="inlineStr">
        <is>
          <t>Planned</t>
        </is>
      </c>
    </row>
    <row r="6">
      <c r="A6" s="11" t="inlineStr">
        <is>
          <t>W2 Expansion</t>
        </is>
      </c>
      <c r="B6" s="11" t="inlineStr">
        <is>
          <t>Category balance; complete pods</t>
        </is>
      </c>
      <c r="C6" s="11" t="inlineStr">
        <is>
          <t>Ranks 101–300</t>
        </is>
      </c>
      <c r="D6" s="11" t="n">
        <v>200</v>
      </c>
      <c r="E6" s="11" t="inlineStr">
        <is>
          <t>Proven channels only</t>
        </is>
      </c>
      <c r="F6" s="11" t="inlineStr">
        <is>
          <t>W1 exit</t>
        </is>
      </c>
      <c r="G6" s="11" t="inlineStr"/>
      <c r="H6" s="11" t="inlineStr">
        <is>
          <t>Outreach lead</t>
        </is>
      </c>
      <c r="I6" s="11" t="inlineStr">
        <is>
          <t>Planned</t>
        </is>
      </c>
    </row>
    <row r="7">
      <c r="A7" s="11" t="inlineStr">
        <is>
          <t>W3 Reserve &amp; enrichment</t>
        </is>
      </c>
      <c r="B7" s="11" t="inlineStr">
        <is>
          <t>Fill pod gaps (Beauty, Content) via enriched routes</t>
        </is>
      </c>
      <c r="C7" s="11" t="inlineStr">
        <is>
          <t>Enrichment queue + founding reserve</t>
        </is>
      </c>
      <c r="D7" s="11" t="inlineStr"/>
      <c r="E7" s="11" t="inlineStr">
        <is>
          <t>Email; Instagram DM</t>
        </is>
      </c>
      <c r="F7" s="11" t="inlineStr">
        <is>
          <t>W2 exit</t>
        </is>
      </c>
      <c r="G7" s="11" t="inlineStr"/>
      <c r="H7" s="11" t="inlineStr">
        <is>
          <t>Outreach lead</t>
        </is>
      </c>
      <c r="I7" s="11" t="inlineStr">
        <is>
          <t>Planned</t>
        </is>
      </c>
    </row>
    <row r="8">
      <c r="A8" s="11" t="inlineStr">
        <is>
          <t>W4 Launch window</t>
        </is>
      </c>
      <c r="B8" s="11" t="inlineStr">
        <is>
          <t>Premium names by warm introduction; opted-in launch updates</t>
        </is>
      </c>
      <c r="C8" s="11" t="inlineStr">
        <is>
          <t>P3 premium (warm only); opted-in professionals</t>
        </is>
      </c>
      <c r="D8" s="11" t="inlineStr"/>
      <c r="E8" s="11" t="inlineStr">
        <is>
          <t>Warm introduction; AiSensy (opted-in only)</t>
        </is>
      </c>
      <c r="F8" s="11" t="inlineStr">
        <is>
          <t>Complete pods; consent register</t>
        </is>
      </c>
      <c r="G8" s="11" t="inlineStr"/>
      <c r="H8" s="11" t="inlineStr">
        <is>
          <t>Founder</t>
        </is>
      </c>
      <c r="I8" s="11" t="inlineStr">
        <is>
          <t>Planned</t>
        </is>
      </c>
    </row>
    <row r="9">
      <c r="A9" s="11" t="inlineStr">
        <is>
          <t>Inbound</t>
        </is>
      </c>
      <c r="B9" s="11" t="inlineStr">
        <is>
          <t>Professionals who approach Uepaki</t>
        </is>
      </c>
      <c r="C9" s="11" t="inlineStr">
        <is>
          <t>—</t>
        </is>
      </c>
      <c r="D9" s="11" t="inlineStr"/>
      <c r="E9" s="11" t="inlineStr">
        <is>
          <t>—</t>
        </is>
      </c>
      <c r="F9" s="11" t="inlineStr">
        <is>
          <t>—</t>
        </is>
      </c>
      <c r="G9" s="11" t="inlineStr"/>
      <c r="H9" s="11" t="inlineStr">
        <is>
          <t>Onboarding lead</t>
        </is>
      </c>
      <c r="I9" s="11" t="inlineStr">
        <is>
          <t>Ongoing</t>
        </is>
      </c>
    </row>
    <row r="10">
      <c r="A10" s="11" t="inlineStr">
        <is>
          <t>Peer introduction</t>
        </is>
      </c>
      <c r="B10" s="11" t="inlineStr">
        <is>
          <t>Unpaid, consent-based introductions</t>
        </is>
      </c>
      <c r="C10" s="11" t="inlineStr">
        <is>
          <t>Peers named by activated professionals</t>
        </is>
      </c>
      <c r="D10" s="11" t="inlineStr"/>
      <c r="E10" s="11" t="inlineStr">
        <is>
          <t>1:1</t>
        </is>
      </c>
      <c r="F10" s="11" t="inlineStr">
        <is>
          <t>Introducer consent</t>
        </is>
      </c>
      <c r="G10" s="11" t="inlineStr"/>
      <c r="H10" s="11" t="inlineStr">
        <is>
          <t>Outreach lead</t>
        </is>
      </c>
      <c r="I10" s="11" t="inlineStr">
        <is>
          <t>From W1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0" customWidth="1" min="18" max="18"/>
  </cols>
  <sheetData>
    <row r="1">
      <c r="A1" s="3" t="inlineStr">
        <is>
          <t>Campaign dashboard (live from PROSPECTS)</t>
        </is>
      </c>
    </row>
    <row r="2">
      <c r="A2" t="inlineStr">
        <is>
          <t>Rules apply only after the contact minimum in SETTINGS. "Too early" means do not judge yet.</t>
        </is>
      </c>
    </row>
    <row r="4" ht="44" customHeight="1">
      <c r="A4" s="12" t="inlineStr">
        <is>
          <t>Campaign</t>
        </is>
      </c>
      <c r="B4" s="12" t="inlineStr">
        <is>
          <t>Prospects</t>
        </is>
      </c>
      <c r="C4" s="12" t="inlineStr">
        <is>
          <t>Contacted</t>
        </is>
      </c>
      <c r="D4" s="12" t="inlineStr">
        <is>
          <t>Bounced</t>
        </is>
      </c>
      <c r="E4" s="12" t="inlineStr">
        <is>
          <t>Delivered</t>
        </is>
      </c>
      <c r="F4" s="12" t="inlineStr">
        <is>
          <t>Responded</t>
        </is>
      </c>
      <c r="G4" s="12" t="inlineStr">
        <is>
          <t>Positive</t>
        </is>
      </c>
      <c r="H4" s="12" t="inlineStr">
        <is>
          <t>Declined/opt-out</t>
        </is>
      </c>
      <c r="I4" s="12" t="inlineStr">
        <is>
          <t>Registered</t>
        </is>
      </c>
      <c r="J4" s="12" t="inlineStr">
        <is>
          <t>Approved</t>
        </is>
      </c>
      <c r="K4" s="12" t="inlineStr">
        <is>
          <t>Activated</t>
        </is>
      </c>
      <c r="L4" s="12" t="inlineStr">
        <is>
          <t>Transacting</t>
        </is>
      </c>
      <c r="M4" s="12" t="inlineStr">
        <is>
          <t>Reply rate</t>
        </is>
      </c>
      <c r="N4" s="12" t="inlineStr">
        <is>
          <t>Interest rate (of responded)</t>
        </is>
      </c>
      <c r="O4" s="12" t="inlineStr">
        <is>
          <t>Activation per contacted</t>
        </is>
      </c>
      <c r="P4" s="12" t="inlineStr">
        <is>
          <t>Bounce rate</t>
        </is>
      </c>
      <c r="Q4" s="12" t="inlineStr">
        <is>
          <t>Opt-out rate</t>
        </is>
      </c>
      <c r="R4" s="12" t="inlineStr">
        <is>
          <t>Rule status</t>
        </is>
      </c>
    </row>
    <row r="5">
      <c r="A5" t="inlineStr">
        <is>
          <t>W-1 Journey test (friendly)</t>
        </is>
      </c>
      <c r="B5">
        <f>COUNTIFS(PROSPECTS!$L$2:$L$501,$A5)</f>
        <v/>
      </c>
      <c r="C5">
        <f>COUNTIFS(PROSPECTS!$L$2:$L$501,$A5,PROSPECTS!$O$2:$O$501,"&lt;&gt;")</f>
        <v/>
      </c>
      <c r="D5">
        <f>COUNTIFS(PROSPECTS!$L$2:$L$501,$A5,PROSPECTS!$S$2:$S$501,"Bounced / undeliverable")</f>
        <v/>
      </c>
      <c r="E5">
        <f>C5-D5</f>
        <v/>
      </c>
      <c r="F5">
        <f>COUNTIFS(PROSPECTS!$L$2:$L$501,$A5,PROSPECTS!$R$2:$R$501,"&lt;&gt;")</f>
        <v/>
      </c>
      <c r="G5">
        <f>COUNTIFS(PROSPECTS!$L$2:$L$501,$A5,PROSPECTS!$T$2:$T$501,"&lt;&gt;")</f>
        <v/>
      </c>
      <c r="H5">
        <f>COUNTIFS(PROSPECTS!$L$2:$L$501,$A5,PROSPECTS!$S$2:$S$501,"Not interested")+COUNTIFS(PROSPECTS!$L$2:$L$501,$A5,PROSPECTS!$S$2:$S$501,"Opt-out / do not contact")</f>
        <v/>
      </c>
      <c r="I5">
        <f>COUNTIFS(PROSPECTS!$L$2:$L$501,$A5,PROSPECTS!$V$2:$V$501,"&lt;&gt;")</f>
        <v/>
      </c>
      <c r="J5">
        <f>COUNTIFS(PROSPECTS!$L$2:$L$501,$A5,PROSPECTS!$X$2:$X$501,"&lt;&gt;")</f>
        <v/>
      </c>
      <c r="K5">
        <f>COUNTIFS(PROSPECTS!$L$2:$L$501,$A5,PROSPECTS!$AH$2:$AH$501,"YES")</f>
        <v/>
      </c>
      <c r="L5">
        <f>COUNTIFS(PROSPECTS!$L$2:$L$501,$A5,PROSPECTS!$AC$2:$AC$501,"&lt;&gt;")</f>
        <v/>
      </c>
      <c r="M5" s="13">
        <f>IF(E5=0,"",F5/E5)</f>
        <v/>
      </c>
      <c r="N5" s="13">
        <f>IF(F5=0,"",G5/F5)</f>
        <v/>
      </c>
      <c r="O5" s="13">
        <f>IF(C5=0,"",K5/C5)</f>
        <v/>
      </c>
      <c r="P5" s="13">
        <f>IF(C5=0,"",D5/C5)</f>
        <v/>
      </c>
      <c r="Q5" s="13">
        <f>IF(C5=0,"",COUNTIFS(PROSPECTS!$L$2:$L$501,$A5,PROSPECTS!$S$2:$S$501,"Opt-out / do not contact")/C5)</f>
        <v/>
      </c>
      <c r="R5">
        <f>IF(C5=0,"Not started",IF(AND(C5&gt;=10,P5&gt;SETTINGS!$B$12),"STOP — bounce rate: re-verify routes",IF(AND(C5&gt;=10,Q5&gt;SETTINGS!$B$13),"STOP — opt-out guardrail: review with founder",IF(E5&lt;SETTINGS!$B$15,"Too early (&lt; contact minimum)",IF(M5&lt;SETTINGS!$B$7,"STOP &amp; REWORK message/segment before more volume",IF(M5&gt;=SETTINGS!$B$8,IF(AND(G5&gt;0,K5&gt;0),"SCALE within onboarding capacity","Replies good — check activation before scaling"),"CONTINUE — watch"))))))</f>
        <v/>
      </c>
    </row>
    <row r="6">
      <c r="A6" t="inlineStr">
        <is>
          <t>X Legacy accounts (dormant)</t>
        </is>
      </c>
      <c r="B6">
        <f>COUNTIFS(PROSPECTS!$L$2:$L$501,$A6)</f>
        <v/>
      </c>
      <c r="C6">
        <f>COUNTIFS(PROSPECTS!$L$2:$L$501,$A6,PROSPECTS!$O$2:$O$501,"&lt;&gt;")</f>
        <v/>
      </c>
      <c r="D6">
        <f>COUNTIFS(PROSPECTS!$L$2:$L$501,$A6,PROSPECTS!$S$2:$S$501,"Bounced / undeliverable")</f>
        <v/>
      </c>
      <c r="E6">
        <f>C6-D6</f>
        <v/>
      </c>
      <c r="F6">
        <f>COUNTIFS(PROSPECTS!$L$2:$L$501,$A6,PROSPECTS!$R$2:$R$501,"&lt;&gt;")</f>
        <v/>
      </c>
      <c r="G6">
        <f>COUNTIFS(PROSPECTS!$L$2:$L$501,$A6,PROSPECTS!$T$2:$T$501,"&lt;&gt;")</f>
        <v/>
      </c>
      <c r="H6">
        <f>COUNTIFS(PROSPECTS!$L$2:$L$501,$A6,PROSPECTS!$S$2:$S$501,"Not interested")+COUNTIFS(PROSPECTS!$L$2:$L$501,$A6,PROSPECTS!$S$2:$S$501,"Opt-out / do not contact")</f>
        <v/>
      </c>
      <c r="I6">
        <f>COUNTIFS(PROSPECTS!$L$2:$L$501,$A6,PROSPECTS!$V$2:$V$501,"&lt;&gt;")</f>
        <v/>
      </c>
      <c r="J6">
        <f>COUNTIFS(PROSPECTS!$L$2:$L$501,$A6,PROSPECTS!$X$2:$X$501,"&lt;&gt;")</f>
        <v/>
      </c>
      <c r="K6">
        <f>COUNTIFS(PROSPECTS!$L$2:$L$501,$A6,PROSPECTS!$AH$2:$AH$501,"YES")</f>
        <v/>
      </c>
      <c r="L6">
        <f>COUNTIFS(PROSPECTS!$L$2:$L$501,$A6,PROSPECTS!$AC$2:$AC$501,"&lt;&gt;")</f>
        <v/>
      </c>
      <c r="M6" s="13">
        <f>IF(E6=0,"",F6/E6)</f>
        <v/>
      </c>
      <c r="N6" s="13">
        <f>IF(F6=0,"",G6/F6)</f>
        <v/>
      </c>
      <c r="O6" s="13">
        <f>IF(C6=0,"",K6/C6)</f>
        <v/>
      </c>
      <c r="P6" s="13">
        <f>IF(C6=0,"",D6/C6)</f>
        <v/>
      </c>
      <c r="Q6" s="13">
        <f>IF(C6=0,"",COUNTIFS(PROSPECTS!$L$2:$L$501,$A6,PROSPECTS!$S$2:$S$501,"Opt-out / do not contact")/C6)</f>
        <v/>
      </c>
      <c r="R6">
        <f>IF(C6=0,"Not started",IF(AND(C6&gt;=10,P6&gt;SETTINGS!$B$12),"STOP — bounce rate: re-verify routes",IF(AND(C6&gt;=10,Q6&gt;SETTINGS!$B$13),"STOP — opt-out guardrail: review with founder",IF(E6&lt;SETTINGS!$B$15,"Too early (&lt; contact minimum)",IF(M6&lt;SETTINGS!$B$7,"STOP &amp; REWORK message/segment before more volume",IF(M6&gt;=SETTINGS!$B$8,IF(AND(G6&gt;0,K6&gt;0),"SCALE within onboarding capacity","Replies good — check activation before scaling"),"CONTINUE — watch"))))))</f>
        <v/>
      </c>
    </row>
    <row r="7">
      <c r="A7" t="inlineStr">
        <is>
          <t>W0 Pilot</t>
        </is>
      </c>
      <c r="B7">
        <f>COUNTIFS(PROSPECTS!$L$2:$L$501,$A7)</f>
        <v/>
      </c>
      <c r="C7">
        <f>COUNTIFS(PROSPECTS!$L$2:$L$501,$A7,PROSPECTS!$O$2:$O$501,"&lt;&gt;")</f>
        <v/>
      </c>
      <c r="D7">
        <f>COUNTIFS(PROSPECTS!$L$2:$L$501,$A7,PROSPECTS!$S$2:$S$501,"Bounced / undeliverable")</f>
        <v/>
      </c>
      <c r="E7">
        <f>C7-D7</f>
        <v/>
      </c>
      <c r="F7">
        <f>COUNTIFS(PROSPECTS!$L$2:$L$501,$A7,PROSPECTS!$R$2:$R$501,"&lt;&gt;")</f>
        <v/>
      </c>
      <c r="G7">
        <f>COUNTIFS(PROSPECTS!$L$2:$L$501,$A7,PROSPECTS!$T$2:$T$501,"&lt;&gt;")</f>
        <v/>
      </c>
      <c r="H7">
        <f>COUNTIFS(PROSPECTS!$L$2:$L$501,$A7,PROSPECTS!$S$2:$S$501,"Not interested")+COUNTIFS(PROSPECTS!$L$2:$L$501,$A7,PROSPECTS!$S$2:$S$501,"Opt-out / do not contact")</f>
        <v/>
      </c>
      <c r="I7">
        <f>COUNTIFS(PROSPECTS!$L$2:$L$501,$A7,PROSPECTS!$V$2:$V$501,"&lt;&gt;")</f>
        <v/>
      </c>
      <c r="J7">
        <f>COUNTIFS(PROSPECTS!$L$2:$L$501,$A7,PROSPECTS!$X$2:$X$501,"&lt;&gt;")</f>
        <v/>
      </c>
      <c r="K7">
        <f>COUNTIFS(PROSPECTS!$L$2:$L$501,$A7,PROSPECTS!$AH$2:$AH$501,"YES")</f>
        <v/>
      </c>
      <c r="L7">
        <f>COUNTIFS(PROSPECTS!$L$2:$L$501,$A7,PROSPECTS!$AC$2:$AC$501,"&lt;&gt;")</f>
        <v/>
      </c>
      <c r="M7" s="13">
        <f>IF(E7=0,"",F7/E7)</f>
        <v/>
      </c>
      <c r="N7" s="13">
        <f>IF(F7=0,"",G7/F7)</f>
        <v/>
      </c>
      <c r="O7" s="13">
        <f>IF(C7=0,"",K7/C7)</f>
        <v/>
      </c>
      <c r="P7" s="13">
        <f>IF(C7=0,"",D7/C7)</f>
        <v/>
      </c>
      <c r="Q7" s="13">
        <f>IF(C7=0,"",COUNTIFS(PROSPECTS!$L$2:$L$501,$A7,PROSPECTS!$S$2:$S$501,"Opt-out / do not contact")/C7)</f>
        <v/>
      </c>
      <c r="R7">
        <f>IF(C7=0,"Not started",IF(AND(C7&gt;=10,P7&gt;SETTINGS!$B$12),"STOP — bounce rate: re-verify routes",IF(AND(C7&gt;=10,Q7&gt;SETTINGS!$B$13),"STOP — opt-out guardrail: review with founder",IF(E7&lt;SETTINGS!$B$15,"Too early (&lt; contact minimum)",IF(M7&lt;SETTINGS!$B$7,"STOP &amp; REWORK message/segment before more volume",IF(M7&gt;=SETTINGS!$B$8,IF(AND(G7&gt;0,K7&gt;0),"SCALE within onboarding capacity","Replies good — check activation before scaling"),"CONTINUE — watch"))))))</f>
        <v/>
      </c>
    </row>
    <row r="8">
      <c r="A8" t="inlineStr">
        <is>
          <t>W1 Founding cohort</t>
        </is>
      </c>
      <c r="B8">
        <f>COUNTIFS(PROSPECTS!$L$2:$L$501,$A8)</f>
        <v/>
      </c>
      <c r="C8">
        <f>COUNTIFS(PROSPECTS!$L$2:$L$501,$A8,PROSPECTS!$O$2:$O$501,"&lt;&gt;")</f>
        <v/>
      </c>
      <c r="D8">
        <f>COUNTIFS(PROSPECTS!$L$2:$L$501,$A8,PROSPECTS!$S$2:$S$501,"Bounced / undeliverable")</f>
        <v/>
      </c>
      <c r="E8">
        <f>C8-D8</f>
        <v/>
      </c>
      <c r="F8">
        <f>COUNTIFS(PROSPECTS!$L$2:$L$501,$A8,PROSPECTS!$R$2:$R$501,"&lt;&gt;")</f>
        <v/>
      </c>
      <c r="G8">
        <f>COUNTIFS(PROSPECTS!$L$2:$L$501,$A8,PROSPECTS!$T$2:$T$501,"&lt;&gt;")</f>
        <v/>
      </c>
      <c r="H8">
        <f>COUNTIFS(PROSPECTS!$L$2:$L$501,$A8,PROSPECTS!$S$2:$S$501,"Not interested")+COUNTIFS(PROSPECTS!$L$2:$L$501,$A8,PROSPECTS!$S$2:$S$501,"Opt-out / do not contact")</f>
        <v/>
      </c>
      <c r="I8">
        <f>COUNTIFS(PROSPECTS!$L$2:$L$501,$A8,PROSPECTS!$V$2:$V$501,"&lt;&gt;")</f>
        <v/>
      </c>
      <c r="J8">
        <f>COUNTIFS(PROSPECTS!$L$2:$L$501,$A8,PROSPECTS!$X$2:$X$501,"&lt;&gt;")</f>
        <v/>
      </c>
      <c r="K8">
        <f>COUNTIFS(PROSPECTS!$L$2:$L$501,$A8,PROSPECTS!$AH$2:$AH$501,"YES")</f>
        <v/>
      </c>
      <c r="L8">
        <f>COUNTIFS(PROSPECTS!$L$2:$L$501,$A8,PROSPECTS!$AC$2:$AC$501,"&lt;&gt;")</f>
        <v/>
      </c>
      <c r="M8" s="13">
        <f>IF(E8=0,"",F8/E8)</f>
        <v/>
      </c>
      <c r="N8" s="13">
        <f>IF(F8=0,"",G8/F8)</f>
        <v/>
      </c>
      <c r="O8" s="13">
        <f>IF(C8=0,"",K8/C8)</f>
        <v/>
      </c>
      <c r="P8" s="13">
        <f>IF(C8=0,"",D8/C8)</f>
        <v/>
      </c>
      <c r="Q8" s="13">
        <f>IF(C8=0,"",COUNTIFS(PROSPECTS!$L$2:$L$501,$A8,PROSPECTS!$S$2:$S$501,"Opt-out / do not contact")/C8)</f>
        <v/>
      </c>
      <c r="R8">
        <f>IF(C8=0,"Not started",IF(AND(C8&gt;=10,P8&gt;SETTINGS!$B$12),"STOP — bounce rate: re-verify routes",IF(AND(C8&gt;=10,Q8&gt;SETTINGS!$B$13),"STOP — opt-out guardrail: review with founder",IF(E8&lt;SETTINGS!$B$15,"Too early (&lt; contact minimum)",IF(M8&lt;SETTINGS!$B$7,"STOP &amp; REWORK message/segment before more volume",IF(M8&gt;=SETTINGS!$B$8,IF(AND(G8&gt;0,K8&gt;0),"SCALE within onboarding capacity","Replies good — check activation before scaling"),"CONTINUE — watch"))))))</f>
        <v/>
      </c>
    </row>
    <row r="9">
      <c r="A9" t="inlineStr">
        <is>
          <t>W2 Expansion</t>
        </is>
      </c>
      <c r="B9">
        <f>COUNTIFS(PROSPECTS!$L$2:$L$501,$A9)</f>
        <v/>
      </c>
      <c r="C9">
        <f>COUNTIFS(PROSPECTS!$L$2:$L$501,$A9,PROSPECTS!$O$2:$O$501,"&lt;&gt;")</f>
        <v/>
      </c>
      <c r="D9">
        <f>COUNTIFS(PROSPECTS!$L$2:$L$501,$A9,PROSPECTS!$S$2:$S$501,"Bounced / undeliverable")</f>
        <v/>
      </c>
      <c r="E9">
        <f>C9-D9</f>
        <v/>
      </c>
      <c r="F9">
        <f>COUNTIFS(PROSPECTS!$L$2:$L$501,$A9,PROSPECTS!$R$2:$R$501,"&lt;&gt;")</f>
        <v/>
      </c>
      <c r="G9">
        <f>COUNTIFS(PROSPECTS!$L$2:$L$501,$A9,PROSPECTS!$T$2:$T$501,"&lt;&gt;")</f>
        <v/>
      </c>
      <c r="H9">
        <f>COUNTIFS(PROSPECTS!$L$2:$L$501,$A9,PROSPECTS!$S$2:$S$501,"Not interested")+COUNTIFS(PROSPECTS!$L$2:$L$501,$A9,PROSPECTS!$S$2:$S$501,"Opt-out / do not contact")</f>
        <v/>
      </c>
      <c r="I9">
        <f>COUNTIFS(PROSPECTS!$L$2:$L$501,$A9,PROSPECTS!$V$2:$V$501,"&lt;&gt;")</f>
        <v/>
      </c>
      <c r="J9">
        <f>COUNTIFS(PROSPECTS!$L$2:$L$501,$A9,PROSPECTS!$X$2:$X$501,"&lt;&gt;")</f>
        <v/>
      </c>
      <c r="K9">
        <f>COUNTIFS(PROSPECTS!$L$2:$L$501,$A9,PROSPECTS!$AH$2:$AH$501,"YES")</f>
        <v/>
      </c>
      <c r="L9">
        <f>COUNTIFS(PROSPECTS!$L$2:$L$501,$A9,PROSPECTS!$AC$2:$AC$501,"&lt;&gt;")</f>
        <v/>
      </c>
      <c r="M9" s="13">
        <f>IF(E9=0,"",F9/E9)</f>
        <v/>
      </c>
      <c r="N9" s="13">
        <f>IF(F9=0,"",G9/F9)</f>
        <v/>
      </c>
      <c r="O9" s="13">
        <f>IF(C9=0,"",K9/C9)</f>
        <v/>
      </c>
      <c r="P9" s="13">
        <f>IF(C9=0,"",D9/C9)</f>
        <v/>
      </c>
      <c r="Q9" s="13">
        <f>IF(C9=0,"",COUNTIFS(PROSPECTS!$L$2:$L$501,$A9,PROSPECTS!$S$2:$S$501,"Opt-out / do not contact")/C9)</f>
        <v/>
      </c>
      <c r="R9">
        <f>IF(C9=0,"Not started",IF(AND(C9&gt;=10,P9&gt;SETTINGS!$B$12),"STOP — bounce rate: re-verify routes",IF(AND(C9&gt;=10,Q9&gt;SETTINGS!$B$13),"STOP — opt-out guardrail: review with founder",IF(E9&lt;SETTINGS!$B$15,"Too early (&lt; contact minimum)",IF(M9&lt;SETTINGS!$B$7,"STOP &amp; REWORK message/segment before more volume",IF(M9&gt;=SETTINGS!$B$8,IF(AND(G9&gt;0,K9&gt;0),"SCALE within onboarding capacity","Replies good — check activation before scaling"),"CONTINUE — watch"))))))</f>
        <v/>
      </c>
    </row>
    <row r="10">
      <c r="A10" t="inlineStr">
        <is>
          <t>W3 Reserve &amp; enrichment</t>
        </is>
      </c>
      <c r="B10">
        <f>COUNTIFS(PROSPECTS!$L$2:$L$501,$A10)</f>
        <v/>
      </c>
      <c r="C10">
        <f>COUNTIFS(PROSPECTS!$L$2:$L$501,$A10,PROSPECTS!$O$2:$O$501,"&lt;&gt;")</f>
        <v/>
      </c>
      <c r="D10">
        <f>COUNTIFS(PROSPECTS!$L$2:$L$501,$A10,PROSPECTS!$S$2:$S$501,"Bounced / undeliverable")</f>
        <v/>
      </c>
      <c r="E10">
        <f>C10-D10</f>
        <v/>
      </c>
      <c r="F10">
        <f>COUNTIFS(PROSPECTS!$L$2:$L$501,$A10,PROSPECTS!$R$2:$R$501,"&lt;&gt;")</f>
        <v/>
      </c>
      <c r="G10">
        <f>COUNTIFS(PROSPECTS!$L$2:$L$501,$A10,PROSPECTS!$T$2:$T$501,"&lt;&gt;")</f>
        <v/>
      </c>
      <c r="H10">
        <f>COUNTIFS(PROSPECTS!$L$2:$L$501,$A10,PROSPECTS!$S$2:$S$501,"Not interested")+COUNTIFS(PROSPECTS!$L$2:$L$501,$A10,PROSPECTS!$S$2:$S$501,"Opt-out / do not contact")</f>
        <v/>
      </c>
      <c r="I10">
        <f>COUNTIFS(PROSPECTS!$L$2:$L$501,$A10,PROSPECTS!$V$2:$V$501,"&lt;&gt;")</f>
        <v/>
      </c>
      <c r="J10">
        <f>COUNTIFS(PROSPECTS!$L$2:$L$501,$A10,PROSPECTS!$X$2:$X$501,"&lt;&gt;")</f>
        <v/>
      </c>
      <c r="K10">
        <f>COUNTIFS(PROSPECTS!$L$2:$L$501,$A10,PROSPECTS!$AH$2:$AH$501,"YES")</f>
        <v/>
      </c>
      <c r="L10">
        <f>COUNTIFS(PROSPECTS!$L$2:$L$501,$A10,PROSPECTS!$AC$2:$AC$501,"&lt;&gt;")</f>
        <v/>
      </c>
      <c r="M10" s="13">
        <f>IF(E10=0,"",F10/E10)</f>
        <v/>
      </c>
      <c r="N10" s="13">
        <f>IF(F10=0,"",G10/F10)</f>
        <v/>
      </c>
      <c r="O10" s="13">
        <f>IF(C10=0,"",K10/C10)</f>
        <v/>
      </c>
      <c r="P10" s="13">
        <f>IF(C10=0,"",D10/C10)</f>
        <v/>
      </c>
      <c r="Q10" s="13">
        <f>IF(C10=0,"",COUNTIFS(PROSPECTS!$L$2:$L$501,$A10,PROSPECTS!$S$2:$S$501,"Opt-out / do not contact")/C10)</f>
        <v/>
      </c>
      <c r="R10">
        <f>IF(C10=0,"Not started",IF(AND(C10&gt;=10,P10&gt;SETTINGS!$B$12),"STOP — bounce rate: re-verify routes",IF(AND(C10&gt;=10,Q10&gt;SETTINGS!$B$13),"STOP — opt-out guardrail: review with founder",IF(E10&lt;SETTINGS!$B$15,"Too early (&lt; contact minimum)",IF(M10&lt;SETTINGS!$B$7,"STOP &amp; REWORK message/segment before more volume",IF(M10&gt;=SETTINGS!$B$8,IF(AND(G10&gt;0,K10&gt;0),"SCALE within onboarding capacity","Replies good — check activation before scaling"),"CONTINUE — watch"))))))</f>
        <v/>
      </c>
    </row>
    <row r="11">
      <c r="A11" t="inlineStr">
        <is>
          <t>W4 Launch window</t>
        </is>
      </c>
      <c r="B11">
        <f>COUNTIFS(PROSPECTS!$L$2:$L$501,$A11)</f>
        <v/>
      </c>
      <c r="C11">
        <f>COUNTIFS(PROSPECTS!$L$2:$L$501,$A11,PROSPECTS!$O$2:$O$501,"&lt;&gt;")</f>
        <v/>
      </c>
      <c r="D11">
        <f>COUNTIFS(PROSPECTS!$L$2:$L$501,$A11,PROSPECTS!$S$2:$S$501,"Bounced / undeliverable")</f>
        <v/>
      </c>
      <c r="E11">
        <f>C11-D11</f>
        <v/>
      </c>
      <c r="F11">
        <f>COUNTIFS(PROSPECTS!$L$2:$L$501,$A11,PROSPECTS!$R$2:$R$501,"&lt;&gt;")</f>
        <v/>
      </c>
      <c r="G11">
        <f>COUNTIFS(PROSPECTS!$L$2:$L$501,$A11,PROSPECTS!$T$2:$T$501,"&lt;&gt;")</f>
        <v/>
      </c>
      <c r="H11">
        <f>COUNTIFS(PROSPECTS!$L$2:$L$501,$A11,PROSPECTS!$S$2:$S$501,"Not interested")+COUNTIFS(PROSPECTS!$L$2:$L$501,$A11,PROSPECTS!$S$2:$S$501,"Opt-out / do not contact")</f>
        <v/>
      </c>
      <c r="I11">
        <f>COUNTIFS(PROSPECTS!$L$2:$L$501,$A11,PROSPECTS!$V$2:$V$501,"&lt;&gt;")</f>
        <v/>
      </c>
      <c r="J11">
        <f>COUNTIFS(PROSPECTS!$L$2:$L$501,$A11,PROSPECTS!$X$2:$X$501,"&lt;&gt;")</f>
        <v/>
      </c>
      <c r="K11">
        <f>COUNTIFS(PROSPECTS!$L$2:$L$501,$A11,PROSPECTS!$AH$2:$AH$501,"YES")</f>
        <v/>
      </c>
      <c r="L11">
        <f>COUNTIFS(PROSPECTS!$L$2:$L$501,$A11,PROSPECTS!$AC$2:$AC$501,"&lt;&gt;")</f>
        <v/>
      </c>
      <c r="M11" s="13">
        <f>IF(E11=0,"",F11/E11)</f>
        <v/>
      </c>
      <c r="N11" s="13">
        <f>IF(F11=0,"",G11/F11)</f>
        <v/>
      </c>
      <c r="O11" s="13">
        <f>IF(C11=0,"",K11/C11)</f>
        <v/>
      </c>
      <c r="P11" s="13">
        <f>IF(C11=0,"",D11/C11)</f>
        <v/>
      </c>
      <c r="Q11" s="13">
        <f>IF(C11=0,"",COUNTIFS(PROSPECTS!$L$2:$L$501,$A11,PROSPECTS!$S$2:$S$501,"Opt-out / do not contact")/C11)</f>
        <v/>
      </c>
      <c r="R11">
        <f>IF(C11=0,"Not started",IF(AND(C11&gt;=10,P11&gt;SETTINGS!$B$12),"STOP — bounce rate: re-verify routes",IF(AND(C11&gt;=10,Q11&gt;SETTINGS!$B$13),"STOP — opt-out guardrail: review with founder",IF(E11&lt;SETTINGS!$B$15,"Too early (&lt; contact minimum)",IF(M11&lt;SETTINGS!$B$7,"STOP &amp; REWORK message/segment before more volume",IF(M11&gt;=SETTINGS!$B$8,IF(AND(G11&gt;0,K11&gt;0),"SCALE within onboarding capacity","Replies good — check activation before scaling"),"CONTINUE — watch"))))))</f>
        <v/>
      </c>
    </row>
    <row r="12">
      <c r="A12" t="inlineStr">
        <is>
          <t>Inbound</t>
        </is>
      </c>
      <c r="B12">
        <f>COUNTIFS(PROSPECTS!$L$2:$L$501,$A12)</f>
        <v/>
      </c>
      <c r="C12">
        <f>COUNTIFS(PROSPECTS!$L$2:$L$501,$A12,PROSPECTS!$O$2:$O$501,"&lt;&gt;")</f>
        <v/>
      </c>
      <c r="D12">
        <f>COUNTIFS(PROSPECTS!$L$2:$L$501,$A12,PROSPECTS!$S$2:$S$501,"Bounced / undeliverable")</f>
        <v/>
      </c>
      <c r="E12">
        <f>C12-D12</f>
        <v/>
      </c>
      <c r="F12">
        <f>COUNTIFS(PROSPECTS!$L$2:$L$501,$A12,PROSPECTS!$R$2:$R$501,"&lt;&gt;")</f>
        <v/>
      </c>
      <c r="G12">
        <f>COUNTIFS(PROSPECTS!$L$2:$L$501,$A12,PROSPECTS!$T$2:$T$501,"&lt;&gt;")</f>
        <v/>
      </c>
      <c r="H12">
        <f>COUNTIFS(PROSPECTS!$L$2:$L$501,$A12,PROSPECTS!$S$2:$S$501,"Not interested")+COUNTIFS(PROSPECTS!$L$2:$L$501,$A12,PROSPECTS!$S$2:$S$501,"Opt-out / do not contact")</f>
        <v/>
      </c>
      <c r="I12">
        <f>COUNTIFS(PROSPECTS!$L$2:$L$501,$A12,PROSPECTS!$V$2:$V$501,"&lt;&gt;")</f>
        <v/>
      </c>
      <c r="J12">
        <f>COUNTIFS(PROSPECTS!$L$2:$L$501,$A12,PROSPECTS!$X$2:$X$501,"&lt;&gt;")</f>
        <v/>
      </c>
      <c r="K12">
        <f>COUNTIFS(PROSPECTS!$L$2:$L$501,$A12,PROSPECTS!$AH$2:$AH$501,"YES")</f>
        <v/>
      </c>
      <c r="L12">
        <f>COUNTIFS(PROSPECTS!$L$2:$L$501,$A12,PROSPECTS!$AC$2:$AC$501,"&lt;&gt;")</f>
        <v/>
      </c>
      <c r="M12" s="13">
        <f>IF(E12=0,"",F12/E12)</f>
        <v/>
      </c>
      <c r="N12" s="13">
        <f>IF(F12=0,"",G12/F12)</f>
        <v/>
      </c>
      <c r="O12" s="13">
        <f>IF(C12=0,"",K12/C12)</f>
        <v/>
      </c>
      <c r="P12" s="13">
        <f>IF(C12=0,"",D12/C12)</f>
        <v/>
      </c>
      <c r="Q12" s="13">
        <f>IF(C12=0,"",COUNTIFS(PROSPECTS!$L$2:$L$501,$A12,PROSPECTS!$S$2:$S$501,"Opt-out / do not contact")/C12)</f>
        <v/>
      </c>
      <c r="R12">
        <f>IF(C12=0,"Not started",IF(AND(C12&gt;=10,P12&gt;SETTINGS!$B$12),"STOP — bounce rate: re-verify routes",IF(AND(C12&gt;=10,Q12&gt;SETTINGS!$B$13),"STOP — opt-out guardrail: review with founder",IF(E12&lt;SETTINGS!$B$15,"Too early (&lt; contact minimum)",IF(M12&lt;SETTINGS!$B$7,"STOP &amp; REWORK message/segment before more volume",IF(M12&gt;=SETTINGS!$B$8,IF(AND(G12&gt;0,K12&gt;0),"SCALE within onboarding capacity","Replies good — check activation before scaling"),"CONTINUE — watch"))))))</f>
        <v/>
      </c>
    </row>
    <row r="13">
      <c r="A13" t="inlineStr">
        <is>
          <t>Peer introduction</t>
        </is>
      </c>
      <c r="B13">
        <f>COUNTIFS(PROSPECTS!$L$2:$L$501,$A13)</f>
        <v/>
      </c>
      <c r="C13">
        <f>COUNTIFS(PROSPECTS!$L$2:$L$501,$A13,PROSPECTS!$O$2:$O$501,"&lt;&gt;")</f>
        <v/>
      </c>
      <c r="D13">
        <f>COUNTIFS(PROSPECTS!$L$2:$L$501,$A13,PROSPECTS!$S$2:$S$501,"Bounced / undeliverable")</f>
        <v/>
      </c>
      <c r="E13">
        <f>C13-D13</f>
        <v/>
      </c>
      <c r="F13">
        <f>COUNTIFS(PROSPECTS!$L$2:$L$501,$A13,PROSPECTS!$R$2:$R$501,"&lt;&gt;")</f>
        <v/>
      </c>
      <c r="G13">
        <f>COUNTIFS(PROSPECTS!$L$2:$L$501,$A13,PROSPECTS!$T$2:$T$501,"&lt;&gt;")</f>
        <v/>
      </c>
      <c r="H13">
        <f>COUNTIFS(PROSPECTS!$L$2:$L$501,$A13,PROSPECTS!$S$2:$S$501,"Not interested")+COUNTIFS(PROSPECTS!$L$2:$L$501,$A13,PROSPECTS!$S$2:$S$501,"Opt-out / do not contact")</f>
        <v/>
      </c>
      <c r="I13">
        <f>COUNTIFS(PROSPECTS!$L$2:$L$501,$A13,PROSPECTS!$V$2:$V$501,"&lt;&gt;")</f>
        <v/>
      </c>
      <c r="J13">
        <f>COUNTIFS(PROSPECTS!$L$2:$L$501,$A13,PROSPECTS!$X$2:$X$501,"&lt;&gt;")</f>
        <v/>
      </c>
      <c r="K13">
        <f>COUNTIFS(PROSPECTS!$L$2:$L$501,$A13,PROSPECTS!$AH$2:$AH$501,"YES")</f>
        <v/>
      </c>
      <c r="L13">
        <f>COUNTIFS(PROSPECTS!$L$2:$L$501,$A13,PROSPECTS!$AC$2:$AC$501,"&lt;&gt;")</f>
        <v/>
      </c>
      <c r="M13" s="13">
        <f>IF(E13=0,"",F13/E13)</f>
        <v/>
      </c>
      <c r="N13" s="13">
        <f>IF(F13=0,"",G13/F13)</f>
        <v/>
      </c>
      <c r="O13" s="13">
        <f>IF(C13=0,"",K13/C13)</f>
        <v/>
      </c>
      <c r="P13" s="13">
        <f>IF(C13=0,"",D13/C13)</f>
        <v/>
      </c>
      <c r="Q13" s="13">
        <f>IF(C13=0,"",COUNTIFS(PROSPECTS!$L$2:$L$501,$A13,PROSPECTS!$S$2:$S$501,"Opt-out / do not contact")/C13)</f>
        <v/>
      </c>
      <c r="R13">
        <f>IF(C13=0,"Not started",IF(AND(C13&gt;=10,P13&gt;SETTINGS!$B$12),"STOP — bounce rate: re-verify routes",IF(AND(C13&gt;=10,Q13&gt;SETTINGS!$B$13),"STOP — opt-out guardrail: review with founder",IF(E13&lt;SETTINGS!$B$15,"Too early (&lt; contact minimum)",IF(M13&lt;SETTINGS!$B$7,"STOP &amp; REWORK message/segment before more volume",IF(M13&gt;=SETTINGS!$B$8,IF(AND(G13&gt;0,K13&gt;0),"SCALE within onboarding capacity","Replies good — check activation before scaling"),"CONTINUE — watch"))))))</f>
        <v/>
      </c>
    </row>
    <row r="14">
      <c r="A14" s="14" t="inlineStr">
        <is>
          <t>TOTAL</t>
        </is>
      </c>
      <c r="B14" s="14">
        <f>SUM(B5:B13)</f>
        <v/>
      </c>
      <c r="C14" s="14">
        <f>SUM(C5:C13)</f>
        <v/>
      </c>
      <c r="D14" s="14">
        <f>SUM(D5:D13)</f>
        <v/>
      </c>
      <c r="E14" s="14">
        <f>SUM(E5:E13)</f>
        <v/>
      </c>
      <c r="F14" s="14">
        <f>SUM(F5:F13)</f>
        <v/>
      </c>
      <c r="G14" s="14">
        <f>SUM(G5:G13)</f>
        <v/>
      </c>
      <c r="H14" s="14">
        <f>SUM(H5:H13)</f>
        <v/>
      </c>
      <c r="I14" s="14">
        <f>SUM(I5:I13)</f>
        <v/>
      </c>
      <c r="J14" s="14">
        <f>SUM(J5:J13)</f>
        <v/>
      </c>
      <c r="K14" s="14">
        <f>SUM(K5:K13)</f>
        <v/>
      </c>
      <c r="L14" s="14">
        <f>SUM(L5:L13)</f>
        <v/>
      </c>
    </row>
  </sheetData>
  <conditionalFormatting sqref="R5:R14">
    <cfRule type="expression" priority="1" dxfId="0">
      <formula>LEFT(R5,4)="STOP"</formula>
    </cfRule>
    <cfRule type="expression" priority="2" dxfId="1">
      <formula>LEFT(R5,5)="SCALE"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Funnel &amp; conversion KPIs (live). North star: ACTIVATED. Ultimate: TRANSACTING.</t>
        </is>
      </c>
    </row>
    <row r="2">
      <c r="A2" t="inlineStr">
        <is>
          <t>Messages sent is an input, never a result. Thresholds are TEST thresholds (SETTINGS).</t>
        </is>
      </c>
    </row>
    <row r="4">
      <c r="A4" s="4" t="inlineStr">
        <is>
          <t>Stage</t>
        </is>
      </c>
      <c r="B4" s="4" t="inlineStr">
        <is>
          <t>Count</t>
        </is>
      </c>
    </row>
    <row r="5">
      <c r="A5" t="inlineStr">
        <is>
          <t>Prospects in tracker</t>
        </is>
      </c>
      <c r="B5">
        <f>COUNTA(PROSPECTS!$B$2:$B$501)+COUNTIFS(PROSPECTS!$B$2:$B$501,"",PROSPECTS!$C$2:$C$501,"&lt;&gt;")</f>
        <v/>
      </c>
    </row>
    <row r="6">
      <c r="A6" t="inlineStr">
        <is>
          <t>Contacted</t>
        </is>
      </c>
      <c r="B6">
        <f>COUNT(PROSPECTS!$O$2:$O$501)</f>
        <v/>
      </c>
    </row>
    <row r="7">
      <c r="A7" t="inlineStr">
        <is>
          <t>Responded</t>
        </is>
      </c>
      <c r="B7">
        <f>COUNT(PROSPECTS!$R$2:$R$501)</f>
        <v/>
      </c>
    </row>
    <row r="8">
      <c r="A8" t="inlineStr">
        <is>
          <t>Interested</t>
        </is>
      </c>
      <c r="B8">
        <f>COUNT(PROSPECTS!$T$2:$T$501)</f>
        <v/>
      </c>
    </row>
    <row r="9">
      <c r="A9" t="inlineStr">
        <is>
          <t>Registered</t>
        </is>
      </c>
      <c r="B9">
        <f>COUNT(PROSPECTS!$V$2:$V$501)</f>
        <v/>
      </c>
    </row>
    <row r="10">
      <c r="A10" t="inlineStr">
        <is>
          <t>KYC submitted</t>
        </is>
      </c>
      <c r="B10">
        <f>COUNT(PROSPECTS!$W$2:$W$501)</f>
        <v/>
      </c>
    </row>
    <row r="11">
      <c r="A11" t="inlineStr">
        <is>
          <t>Approved</t>
        </is>
      </c>
      <c r="B11">
        <f>COUNT(PROSPECTS!$X$2:$X$501)</f>
        <v/>
      </c>
    </row>
    <row r="12">
      <c r="A12" t="inlineStr">
        <is>
          <t>Profile complete</t>
        </is>
      </c>
      <c r="B12">
        <f>COUNT(PROSPECTS!$Y$2:$Y$501)</f>
        <v/>
      </c>
    </row>
    <row r="13">
      <c r="A13" t="inlineStr">
        <is>
          <t>Listing live</t>
        </is>
      </c>
      <c r="B13">
        <f>COUNT(PROSPECTS!$Z$2:$Z$501)</f>
        <v/>
      </c>
    </row>
    <row r="14">
      <c r="A14" t="inlineStr">
        <is>
          <t>ACTIVATED</t>
        </is>
      </c>
      <c r="B14">
        <f>COUNTIF(PROSPECTS!$AH$2:$AH$501,"YES")</f>
        <v/>
      </c>
    </row>
    <row r="15">
      <c r="A15" t="inlineStr">
        <is>
          <t>TRANSACTING</t>
        </is>
      </c>
      <c r="B15">
        <f>COUNT(PROSPECTS!$AC$2:$AC$501)</f>
        <v/>
      </c>
    </row>
    <row r="17">
      <c r="A17" t="inlineStr">
        <is>
          <t>Conversion</t>
        </is>
      </c>
      <c r="B17" t="inlineStr">
        <is>
          <t>Rate</t>
        </is>
      </c>
      <c r="C17" t="inlineStr">
        <is>
          <t>Test threshold (investigate below)</t>
        </is>
      </c>
      <c r="D17" t="inlineStr">
        <is>
          <t>Status</t>
        </is>
      </c>
    </row>
    <row r="18"/>
    <row r="19">
      <c r="A19" t="inlineStr">
        <is>
          <t>Contacted → Responded</t>
        </is>
      </c>
      <c r="B19" s="13">
        <f>IF(B6=0,"",B7/B6)</f>
        <v/>
      </c>
      <c r="C19" s="13">
        <f>SETTINGS!$B$7</f>
        <v/>
      </c>
      <c r="D19">
        <f>IF(B6&lt;SETTINGS!$B$6,"Too early",IF(B19&lt;C19,"INVESTIGATE","OK"))</f>
        <v/>
      </c>
    </row>
    <row r="20">
      <c r="A20" t="inlineStr">
        <is>
          <t>Responded → Interested</t>
        </is>
      </c>
      <c r="B20" s="13">
        <f>IF(B7=0,"",B8/B7)</f>
        <v/>
      </c>
      <c r="D20">
        <f>IF(B7&lt;SETTINGS!$B$6,"Too early","Measure")</f>
        <v/>
      </c>
    </row>
    <row r="21">
      <c r="A21" t="inlineStr">
        <is>
          <t>Interested → Registered</t>
        </is>
      </c>
      <c r="B21" s="13">
        <f>IF(B8=0,"",B9/B8)</f>
        <v/>
      </c>
      <c r="C21" s="13">
        <f>SETTINGS!$B$9</f>
        <v/>
      </c>
      <c r="D21">
        <f>IF(B8&lt;SETTINGS!$B$6,"Too early",IF(B21&lt;C21,"INVESTIGATE","OK"))</f>
        <v/>
      </c>
    </row>
    <row r="22">
      <c r="A22" t="inlineStr">
        <is>
          <t>Registered → Approved</t>
        </is>
      </c>
      <c r="B22" s="13">
        <f>IF(B9=0,"",B11/B9)</f>
        <v/>
      </c>
      <c r="C22" s="13">
        <f>SETTINGS!$B$10</f>
        <v/>
      </c>
      <c r="D22">
        <f>IF(B9&lt;SETTINGS!$B$6,"Too early",IF(B22&lt;C22,"INVESTIGATE","OK"))</f>
        <v/>
      </c>
    </row>
    <row r="23">
      <c r="A23" t="inlineStr">
        <is>
          <t>Approved → Profile complete</t>
        </is>
      </c>
      <c r="B23" s="13">
        <f>IF(B11=0,"",B12/B11)</f>
        <v/>
      </c>
      <c r="D23">
        <f>IF(B11&lt;SETTINGS!$B$6,"Too early","Measure")</f>
        <v/>
      </c>
    </row>
    <row r="24">
      <c r="A24" t="inlineStr">
        <is>
          <t>Profile → Listing live</t>
        </is>
      </c>
      <c r="B24" s="13">
        <f>IF(B12=0,"",B13/B12)</f>
        <v/>
      </c>
      <c r="D24">
        <f>IF(B12&lt;SETTINGS!$B$6,"Too early","Measure")</f>
        <v/>
      </c>
    </row>
    <row r="25">
      <c r="A25" t="inlineStr">
        <is>
          <t>Approved → Activated</t>
        </is>
      </c>
      <c r="B25" s="13">
        <f>IF(B11=0,"",B14/B11)</f>
        <v/>
      </c>
      <c r="C25" s="13">
        <f>SETTINGS!$B$11</f>
        <v/>
      </c>
      <c r="D25">
        <f>IF(B11&lt;SETTINGS!$B$6,"Too early",IF(B25&lt;C25,"INVESTIGATE","OK"))</f>
        <v/>
      </c>
    </row>
    <row r="26">
      <c r="A26" t="inlineStr">
        <is>
          <t>Activated → Transacting</t>
        </is>
      </c>
      <c r="B26" s="13">
        <f>IF(B14=0,"",B15/B14)</f>
        <v/>
      </c>
      <c r="D26">
        <f>IF(B14&lt;SETTINGS!$B$6,"Too early","Measure")</f>
        <v/>
      </c>
    </row>
    <row r="27">
      <c r="A27" t="inlineStr">
        <is>
          <t>Contacted → Activated (end-to-end)</t>
        </is>
      </c>
      <c r="B27" s="13">
        <f>IF(B6=0,"",B14/B6)</f>
        <v/>
      </c>
      <c r="D27">
        <f>IF(B6&lt;SETTINGS!$B$6,"Too early","Measure")</f>
        <v/>
      </c>
    </row>
    <row r="30">
      <c r="A30" s="14" t="inlineStr">
        <is>
          <t>By category (guardrail: no category &gt; 30% of activated)</t>
        </is>
      </c>
    </row>
    <row r="31">
      <c r="A31" s="4" t="inlineStr">
        <is>
          <t>Category</t>
        </is>
      </c>
      <c r="B31" s="4" t="inlineStr">
        <is>
          <t>Prospects</t>
        </is>
      </c>
      <c r="C31" s="4" t="inlineStr">
        <is>
          <t>Contacted</t>
        </is>
      </c>
      <c r="D31" s="4" t="inlineStr">
        <is>
          <t>Responded</t>
        </is>
      </c>
      <c r="E31" s="4" t="inlineStr">
        <is>
          <t>Interested</t>
        </is>
      </c>
      <c r="F31" s="4" t="inlineStr">
        <is>
          <t>Registered</t>
        </is>
      </c>
      <c r="G31" s="4" t="inlineStr">
        <is>
          <t>Activated</t>
        </is>
      </c>
      <c r="H31" s="4" t="inlineStr">
        <is>
          <t>Transacting</t>
        </is>
      </c>
      <c r="I31" s="4" t="inlineStr">
        <is>
          <t>Reply rate</t>
        </is>
      </c>
      <c r="J31" s="4" t="inlineStr">
        <is>
          <t>Contacted → Activated</t>
        </is>
      </c>
    </row>
    <row r="32">
      <c r="A32" t="inlineStr">
        <is>
          <t>Fashion &amp; Lifestyle</t>
        </is>
      </c>
      <c r="B32">
        <f>COUNTIFS(PROSPECTS!$D$2:$D$501,$A32)</f>
        <v/>
      </c>
      <c r="C32">
        <f>COUNTIFS(PROSPECTS!$D$2:$D$501,$A32,PROSPECTS!$O$2:$O$501,"&lt;&gt;")</f>
        <v/>
      </c>
      <c r="D32">
        <f>COUNTIFS(PROSPECTS!$D$2:$D$501,$A32,PROSPECTS!$R$2:$R$501,"&lt;&gt;")</f>
        <v/>
      </c>
      <c r="E32">
        <f>COUNTIFS(PROSPECTS!$D$2:$D$501,$A32,PROSPECTS!$T$2:$T$501,"&lt;&gt;")</f>
        <v/>
      </c>
      <c r="F32">
        <f>COUNTIFS(PROSPECTS!$D$2:$D$501,$A32,PROSPECTS!$V$2:$V$501,"&lt;&gt;")</f>
        <v/>
      </c>
      <c r="G32">
        <f>COUNTIFS(PROSPECTS!$D$2:$D$501,$A32,PROSPECTS!$AH$2:$AH$501,"YES")</f>
        <v/>
      </c>
      <c r="H32">
        <f>COUNTIFS(PROSPECTS!$D$2:$D$501,$A32,PROSPECTS!$AC$2:$AC$501,"&lt;&gt;")</f>
        <v/>
      </c>
      <c r="I32" s="13">
        <f>IF(C32=0,"",D32/C32)</f>
        <v/>
      </c>
      <c r="J32" s="13">
        <f>IF(C32=0,"",G32/C32)</f>
        <v/>
      </c>
    </row>
    <row r="33">
      <c r="A33" t="inlineStr">
        <is>
          <t>Space &amp; Design</t>
        </is>
      </c>
      <c r="B33">
        <f>COUNTIFS(PROSPECTS!$D$2:$D$501,$A33)</f>
        <v/>
      </c>
      <c r="C33">
        <f>COUNTIFS(PROSPECTS!$D$2:$D$501,$A33,PROSPECTS!$O$2:$O$501,"&lt;&gt;")</f>
        <v/>
      </c>
      <c r="D33">
        <f>COUNTIFS(PROSPECTS!$D$2:$D$501,$A33,PROSPECTS!$R$2:$R$501,"&lt;&gt;")</f>
        <v/>
      </c>
      <c r="E33">
        <f>COUNTIFS(PROSPECTS!$D$2:$D$501,$A33,PROSPECTS!$T$2:$T$501,"&lt;&gt;")</f>
        <v/>
      </c>
      <c r="F33">
        <f>COUNTIFS(PROSPECTS!$D$2:$D$501,$A33,PROSPECTS!$V$2:$V$501,"&lt;&gt;")</f>
        <v/>
      </c>
      <c r="G33">
        <f>COUNTIFS(PROSPECTS!$D$2:$D$501,$A33,PROSPECTS!$AH$2:$AH$501,"YES")</f>
        <v/>
      </c>
      <c r="H33">
        <f>COUNTIFS(PROSPECTS!$D$2:$D$501,$A33,PROSPECTS!$AC$2:$AC$501,"&lt;&gt;")</f>
        <v/>
      </c>
      <c r="I33" s="13">
        <f>IF(C33=0,"",D33/C33)</f>
        <v/>
      </c>
      <c r="J33" s="13">
        <f>IF(C33=0,"",G33/C33)</f>
        <v/>
      </c>
    </row>
    <row r="34">
      <c r="A34" t="inlineStr">
        <is>
          <t>Digital &amp; Visual Arts</t>
        </is>
      </c>
      <c r="B34">
        <f>COUNTIFS(PROSPECTS!$D$2:$D$501,$A34)</f>
        <v/>
      </c>
      <c r="C34">
        <f>COUNTIFS(PROSPECTS!$D$2:$D$501,$A34,PROSPECTS!$O$2:$O$501,"&lt;&gt;")</f>
        <v/>
      </c>
      <c r="D34">
        <f>COUNTIFS(PROSPECTS!$D$2:$D$501,$A34,PROSPECTS!$R$2:$R$501,"&lt;&gt;")</f>
        <v/>
      </c>
      <c r="E34">
        <f>COUNTIFS(PROSPECTS!$D$2:$D$501,$A34,PROSPECTS!$T$2:$T$501,"&lt;&gt;")</f>
        <v/>
      </c>
      <c r="F34">
        <f>COUNTIFS(PROSPECTS!$D$2:$D$501,$A34,PROSPECTS!$V$2:$V$501,"&lt;&gt;")</f>
        <v/>
      </c>
      <c r="G34">
        <f>COUNTIFS(PROSPECTS!$D$2:$D$501,$A34,PROSPECTS!$AH$2:$AH$501,"YES")</f>
        <v/>
      </c>
      <c r="H34">
        <f>COUNTIFS(PROSPECTS!$D$2:$D$501,$A34,PROSPECTS!$AC$2:$AC$501,"&lt;&gt;")</f>
        <v/>
      </c>
      <c r="I34" s="13">
        <f>IF(C34=0,"",D34/C34)</f>
        <v/>
      </c>
      <c r="J34" s="13">
        <f>IF(C34=0,"",G34/C34)</f>
        <v/>
      </c>
    </row>
    <row r="35">
      <c r="A35" t="inlineStr">
        <is>
          <t>Beauty &amp; Makeup</t>
        </is>
      </c>
      <c r="B35">
        <f>COUNTIFS(PROSPECTS!$D$2:$D$501,$A35)</f>
        <v/>
      </c>
      <c r="C35">
        <f>COUNTIFS(PROSPECTS!$D$2:$D$501,$A35,PROSPECTS!$O$2:$O$501,"&lt;&gt;")</f>
        <v/>
      </c>
      <c r="D35">
        <f>COUNTIFS(PROSPECTS!$D$2:$D$501,$A35,PROSPECTS!$R$2:$R$501,"&lt;&gt;")</f>
        <v/>
      </c>
      <c r="E35">
        <f>COUNTIFS(PROSPECTS!$D$2:$D$501,$A35,PROSPECTS!$T$2:$T$501,"&lt;&gt;")</f>
        <v/>
      </c>
      <c r="F35">
        <f>COUNTIFS(PROSPECTS!$D$2:$D$501,$A35,PROSPECTS!$V$2:$V$501,"&lt;&gt;")</f>
        <v/>
      </c>
      <c r="G35">
        <f>COUNTIFS(PROSPECTS!$D$2:$D$501,$A35,PROSPECTS!$AH$2:$AH$501,"YES")</f>
        <v/>
      </c>
      <c r="H35">
        <f>COUNTIFS(PROSPECTS!$D$2:$D$501,$A35,PROSPECTS!$AC$2:$AC$501,"&lt;&gt;")</f>
        <v/>
      </c>
      <c r="I35" s="13">
        <f>IF(C35=0,"",D35/C35)</f>
        <v/>
      </c>
      <c r="J35" s="13">
        <f>IF(C35=0,"",G35/C35)</f>
        <v/>
      </c>
    </row>
    <row r="36">
      <c r="A36" t="inlineStr">
        <is>
          <t>Lens &amp; Motion</t>
        </is>
      </c>
      <c r="B36">
        <f>COUNTIFS(PROSPECTS!$D$2:$D$501,$A36)</f>
        <v/>
      </c>
      <c r="C36">
        <f>COUNTIFS(PROSPECTS!$D$2:$D$501,$A36,PROSPECTS!$O$2:$O$501,"&lt;&gt;")</f>
        <v/>
      </c>
      <c r="D36">
        <f>COUNTIFS(PROSPECTS!$D$2:$D$501,$A36,PROSPECTS!$R$2:$R$501,"&lt;&gt;")</f>
        <v/>
      </c>
      <c r="E36">
        <f>COUNTIFS(PROSPECTS!$D$2:$D$501,$A36,PROSPECTS!$T$2:$T$501,"&lt;&gt;")</f>
        <v/>
      </c>
      <c r="F36">
        <f>COUNTIFS(PROSPECTS!$D$2:$D$501,$A36,PROSPECTS!$V$2:$V$501,"&lt;&gt;")</f>
        <v/>
      </c>
      <c r="G36">
        <f>COUNTIFS(PROSPECTS!$D$2:$D$501,$A36,PROSPECTS!$AH$2:$AH$501,"YES")</f>
        <v/>
      </c>
      <c r="H36">
        <f>COUNTIFS(PROSPECTS!$D$2:$D$501,$A36,PROSPECTS!$AC$2:$AC$501,"&lt;&gt;")</f>
        <v/>
      </c>
      <c r="I36" s="13">
        <f>IF(C36=0,"",D36/C36)</f>
        <v/>
      </c>
      <c r="J36" s="13">
        <f>IF(C36=0,"",G36/C36)</f>
        <v/>
      </c>
    </row>
    <row r="37">
      <c r="A37" t="inlineStr">
        <is>
          <t>Content &amp; Media</t>
        </is>
      </c>
      <c r="B37">
        <f>COUNTIFS(PROSPECTS!$D$2:$D$501,$A37)</f>
        <v/>
      </c>
      <c r="C37">
        <f>COUNTIFS(PROSPECTS!$D$2:$D$501,$A37,PROSPECTS!$O$2:$O$501,"&lt;&gt;")</f>
        <v/>
      </c>
      <c r="D37">
        <f>COUNTIFS(PROSPECTS!$D$2:$D$501,$A37,PROSPECTS!$R$2:$R$501,"&lt;&gt;")</f>
        <v/>
      </c>
      <c r="E37">
        <f>COUNTIFS(PROSPECTS!$D$2:$D$501,$A37,PROSPECTS!$T$2:$T$501,"&lt;&gt;")</f>
        <v/>
      </c>
      <c r="F37">
        <f>COUNTIFS(PROSPECTS!$D$2:$D$501,$A37,PROSPECTS!$V$2:$V$501,"&lt;&gt;")</f>
        <v/>
      </c>
      <c r="G37">
        <f>COUNTIFS(PROSPECTS!$D$2:$D$501,$A37,PROSPECTS!$AH$2:$AH$501,"YES")</f>
        <v/>
      </c>
      <c r="H37">
        <f>COUNTIFS(PROSPECTS!$D$2:$D$501,$A37,PROSPECTS!$AC$2:$AC$501,"&lt;&gt;")</f>
        <v/>
      </c>
      <c r="I37" s="13">
        <f>IF(C37=0,"",D37/C37)</f>
        <v/>
      </c>
      <c r="J37" s="13">
        <f>IF(C37=0,"",G37/C37)</f>
        <v/>
      </c>
    </row>
    <row r="39">
      <c r="A39" s="14" t="inlineStr">
        <is>
          <t>By channel</t>
        </is>
      </c>
    </row>
    <row r="40">
      <c r="A40" s="4" t="inlineStr">
        <is>
          <t>Channel used</t>
        </is>
      </c>
      <c r="B40" s="4" t="inlineStr">
        <is>
          <t>Prospects</t>
        </is>
      </c>
      <c r="C40" s="4" t="inlineStr">
        <is>
          <t>Contacted</t>
        </is>
      </c>
      <c r="D40" s="4" t="inlineStr">
        <is>
          <t>Responded</t>
        </is>
      </c>
      <c r="E40" s="4" t="inlineStr">
        <is>
          <t>Interested</t>
        </is>
      </c>
      <c r="F40" s="4" t="inlineStr">
        <is>
          <t>Registered</t>
        </is>
      </c>
      <c r="G40" s="4" t="inlineStr">
        <is>
          <t>Activated</t>
        </is>
      </c>
      <c r="H40" s="4" t="inlineStr">
        <is>
          <t>Transacting</t>
        </is>
      </c>
      <c r="I40" s="4" t="inlineStr">
        <is>
          <t>Reply rate</t>
        </is>
      </c>
      <c r="J40" s="4" t="inlineStr">
        <is>
          <t>Contacted → Activated</t>
        </is>
      </c>
    </row>
    <row r="41">
      <c r="A41" t="inlineStr">
        <is>
          <t>Email (1:1)</t>
        </is>
      </c>
      <c r="B41">
        <f>COUNTIFS(PROSPECTS!$M$2:$M$501,$A41)</f>
        <v/>
      </c>
      <c r="C41">
        <f>COUNTIFS(PROSPECTS!$M$2:$M$501,$A41,PROSPECTS!$O$2:$O$501,"&lt;&gt;")</f>
        <v/>
      </c>
      <c r="D41">
        <f>COUNTIFS(PROSPECTS!$M$2:$M$501,$A41,PROSPECTS!$R$2:$R$501,"&lt;&gt;")</f>
        <v/>
      </c>
      <c r="E41">
        <f>COUNTIFS(PROSPECTS!$M$2:$M$501,$A41,PROSPECTS!$T$2:$T$501,"&lt;&gt;")</f>
        <v/>
      </c>
      <c r="F41">
        <f>COUNTIFS(PROSPECTS!$M$2:$M$501,$A41,PROSPECTS!$V$2:$V$501,"&lt;&gt;")</f>
        <v/>
      </c>
      <c r="G41">
        <f>COUNTIFS(PROSPECTS!$M$2:$M$501,$A41,PROSPECTS!$AH$2:$AH$501,"YES")</f>
        <v/>
      </c>
      <c r="H41">
        <f>COUNTIFS(PROSPECTS!$M$2:$M$501,$A41,PROSPECTS!$AC$2:$AC$501,"&lt;&gt;")</f>
        <v/>
      </c>
      <c r="I41" s="13">
        <f>IF(C41=0,"",D41/C41)</f>
        <v/>
      </c>
      <c r="J41" s="13">
        <f>IF(C41=0,"",G41/C41)</f>
        <v/>
      </c>
    </row>
    <row r="42">
      <c r="A42" t="inlineStr">
        <is>
          <t>Instagram DM (1:1)</t>
        </is>
      </c>
      <c r="B42">
        <f>COUNTIFS(PROSPECTS!$M$2:$M$501,$A42)</f>
        <v/>
      </c>
      <c r="C42">
        <f>COUNTIFS(PROSPECTS!$M$2:$M$501,$A42,PROSPECTS!$O$2:$O$501,"&lt;&gt;")</f>
        <v/>
      </c>
      <c r="D42">
        <f>COUNTIFS(PROSPECTS!$M$2:$M$501,$A42,PROSPECTS!$R$2:$R$501,"&lt;&gt;")</f>
        <v/>
      </c>
      <c r="E42">
        <f>COUNTIFS(PROSPECTS!$M$2:$M$501,$A42,PROSPECTS!$T$2:$T$501,"&lt;&gt;")</f>
        <v/>
      </c>
      <c r="F42">
        <f>COUNTIFS(PROSPECTS!$M$2:$M$501,$A42,PROSPECTS!$V$2:$V$501,"&lt;&gt;")</f>
        <v/>
      </c>
      <c r="G42">
        <f>COUNTIFS(PROSPECTS!$M$2:$M$501,$A42,PROSPECTS!$AH$2:$AH$501,"YES")</f>
        <v/>
      </c>
      <c r="H42">
        <f>COUNTIFS(PROSPECTS!$M$2:$M$501,$A42,PROSPECTS!$AC$2:$AC$501,"&lt;&gt;")</f>
        <v/>
      </c>
      <c r="I42" s="13">
        <f>IF(C42=0,"",D42/C42)</f>
        <v/>
      </c>
      <c r="J42" s="13">
        <f>IF(C42=0,"",G42/C42)</f>
        <v/>
      </c>
    </row>
    <row r="43">
      <c r="A43" t="inlineStr">
        <is>
          <t>LinkedIn (1:1)</t>
        </is>
      </c>
      <c r="B43">
        <f>COUNTIFS(PROSPECTS!$M$2:$M$501,$A43)</f>
        <v/>
      </c>
      <c r="C43">
        <f>COUNTIFS(PROSPECTS!$M$2:$M$501,$A43,PROSPECTS!$O$2:$O$501,"&lt;&gt;")</f>
        <v/>
      </c>
      <c r="D43">
        <f>COUNTIFS(PROSPECTS!$M$2:$M$501,$A43,PROSPECTS!$R$2:$R$501,"&lt;&gt;")</f>
        <v/>
      </c>
      <c r="E43">
        <f>COUNTIFS(PROSPECTS!$M$2:$M$501,$A43,PROSPECTS!$T$2:$T$501,"&lt;&gt;")</f>
        <v/>
      </c>
      <c r="F43">
        <f>COUNTIFS(PROSPECTS!$M$2:$M$501,$A43,PROSPECTS!$V$2:$V$501,"&lt;&gt;")</f>
        <v/>
      </c>
      <c r="G43">
        <f>COUNTIFS(PROSPECTS!$M$2:$M$501,$A43,PROSPECTS!$AH$2:$AH$501,"YES")</f>
        <v/>
      </c>
      <c r="H43">
        <f>COUNTIFS(PROSPECTS!$M$2:$M$501,$A43,PROSPECTS!$AC$2:$AC$501,"&lt;&gt;")</f>
        <v/>
      </c>
      <c r="I43" s="13">
        <f>IF(C43=0,"",D43/C43)</f>
        <v/>
      </c>
      <c r="J43" s="13">
        <f>IF(C43=0,"",G43/C43)</f>
        <v/>
      </c>
    </row>
    <row r="44">
      <c r="A44" t="inlineStr">
        <is>
          <t>Website form (1:1)</t>
        </is>
      </c>
      <c r="B44">
        <f>COUNTIFS(PROSPECTS!$M$2:$M$501,$A44)</f>
        <v/>
      </c>
      <c r="C44">
        <f>COUNTIFS(PROSPECTS!$M$2:$M$501,$A44,PROSPECTS!$O$2:$O$501,"&lt;&gt;")</f>
        <v/>
      </c>
      <c r="D44">
        <f>COUNTIFS(PROSPECTS!$M$2:$M$501,$A44,PROSPECTS!$R$2:$R$501,"&lt;&gt;")</f>
        <v/>
      </c>
      <c r="E44">
        <f>COUNTIFS(PROSPECTS!$M$2:$M$501,$A44,PROSPECTS!$T$2:$T$501,"&lt;&gt;")</f>
        <v/>
      </c>
      <c r="F44">
        <f>COUNTIFS(PROSPECTS!$M$2:$M$501,$A44,PROSPECTS!$V$2:$V$501,"&lt;&gt;")</f>
        <v/>
      </c>
      <c r="G44">
        <f>COUNTIFS(PROSPECTS!$M$2:$M$501,$A44,PROSPECTS!$AH$2:$AH$501,"YES")</f>
        <v/>
      </c>
      <c r="H44">
        <f>COUNTIFS(PROSPECTS!$M$2:$M$501,$A44,PROSPECTS!$AC$2:$AC$501,"&lt;&gt;")</f>
        <v/>
      </c>
      <c r="I44" s="13">
        <f>IF(C44=0,"",D44/C44)</f>
        <v/>
      </c>
      <c r="J44" s="13">
        <f>IF(C44=0,"",G44/C44)</f>
        <v/>
      </c>
    </row>
    <row r="45">
      <c r="A45" t="inlineStr">
        <is>
          <t>WhatsApp (invited by professional)</t>
        </is>
      </c>
      <c r="B45">
        <f>COUNTIFS(PROSPECTS!$M$2:$M$501,$A45)</f>
        <v/>
      </c>
      <c r="C45">
        <f>COUNTIFS(PROSPECTS!$M$2:$M$501,$A45,PROSPECTS!$O$2:$O$501,"&lt;&gt;")</f>
        <v/>
      </c>
      <c r="D45">
        <f>COUNTIFS(PROSPECTS!$M$2:$M$501,$A45,PROSPECTS!$R$2:$R$501,"&lt;&gt;")</f>
        <v/>
      </c>
      <c r="E45">
        <f>COUNTIFS(PROSPECTS!$M$2:$M$501,$A45,PROSPECTS!$T$2:$T$501,"&lt;&gt;")</f>
        <v/>
      </c>
      <c r="F45">
        <f>COUNTIFS(PROSPECTS!$M$2:$M$501,$A45,PROSPECTS!$V$2:$V$501,"&lt;&gt;")</f>
        <v/>
      </c>
      <c r="G45">
        <f>COUNTIFS(PROSPECTS!$M$2:$M$501,$A45,PROSPECTS!$AH$2:$AH$501,"YES")</f>
        <v/>
      </c>
      <c r="H45">
        <f>COUNTIFS(PROSPECTS!$M$2:$M$501,$A45,PROSPECTS!$AC$2:$AC$501,"&lt;&gt;")</f>
        <v/>
      </c>
      <c r="I45" s="13">
        <f>IF(C45=0,"",D45/C45)</f>
        <v/>
      </c>
      <c r="J45" s="13">
        <f>IF(C45=0,"",G45/C45)</f>
        <v/>
      </c>
    </row>
    <row r="46">
      <c r="A46" t="inlineStr">
        <is>
          <t>In person / call (warm)</t>
        </is>
      </c>
      <c r="B46">
        <f>COUNTIFS(PROSPECTS!$M$2:$M$501,$A46)</f>
        <v/>
      </c>
      <c r="C46">
        <f>COUNTIFS(PROSPECTS!$M$2:$M$501,$A46,PROSPECTS!$O$2:$O$501,"&lt;&gt;")</f>
        <v/>
      </c>
      <c r="D46">
        <f>COUNTIFS(PROSPECTS!$M$2:$M$501,$A46,PROSPECTS!$R$2:$R$501,"&lt;&gt;")</f>
        <v/>
      </c>
      <c r="E46">
        <f>COUNTIFS(PROSPECTS!$M$2:$M$501,$A46,PROSPECTS!$T$2:$T$501,"&lt;&gt;")</f>
        <v/>
      </c>
      <c r="F46">
        <f>COUNTIFS(PROSPECTS!$M$2:$M$501,$A46,PROSPECTS!$V$2:$V$501,"&lt;&gt;")</f>
        <v/>
      </c>
      <c r="G46">
        <f>COUNTIFS(PROSPECTS!$M$2:$M$501,$A46,PROSPECTS!$AH$2:$AH$501,"YES")</f>
        <v/>
      </c>
      <c r="H46">
        <f>COUNTIFS(PROSPECTS!$M$2:$M$501,$A46,PROSPECTS!$AC$2:$AC$501,"&lt;&gt;")</f>
        <v/>
      </c>
      <c r="I46" s="13">
        <f>IF(C46=0,"",D46/C46)</f>
        <v/>
      </c>
      <c r="J46" s="13">
        <f>IF(C46=0,"",G46/C46)</f>
        <v/>
      </c>
    </row>
    <row r="47">
      <c r="A47" t="inlineStr">
        <is>
          <t>Existing relationship (account)</t>
        </is>
      </c>
      <c r="B47">
        <f>COUNTIFS(PROSPECTS!$M$2:$M$501,$A47)</f>
        <v/>
      </c>
      <c r="C47">
        <f>COUNTIFS(PROSPECTS!$M$2:$M$501,$A47,PROSPECTS!$O$2:$O$501,"&lt;&gt;")</f>
        <v/>
      </c>
      <c r="D47">
        <f>COUNTIFS(PROSPECTS!$M$2:$M$501,$A47,PROSPECTS!$R$2:$R$501,"&lt;&gt;")</f>
        <v/>
      </c>
      <c r="E47">
        <f>COUNTIFS(PROSPECTS!$M$2:$M$501,$A47,PROSPECTS!$T$2:$T$501,"&lt;&gt;")</f>
        <v/>
      </c>
      <c r="F47">
        <f>COUNTIFS(PROSPECTS!$M$2:$M$501,$A47,PROSPECTS!$V$2:$V$501,"&lt;&gt;")</f>
        <v/>
      </c>
      <c r="G47">
        <f>COUNTIFS(PROSPECTS!$M$2:$M$501,$A47,PROSPECTS!$AH$2:$AH$501,"YES")</f>
        <v/>
      </c>
      <c r="H47">
        <f>COUNTIFS(PROSPECTS!$M$2:$M$501,$A47,PROSPECTS!$AC$2:$AC$501,"&lt;&gt;")</f>
        <v/>
      </c>
      <c r="I47" s="13">
        <f>IF(C47=0,"",D47/C47)</f>
        <v/>
      </c>
      <c r="J47" s="13">
        <f>IF(C47=0,"",G47/C47)</f>
        <v/>
      </c>
    </row>
    <row r="49">
      <c r="A49" s="14" t="inlineStr">
        <is>
          <t>By city</t>
        </is>
      </c>
    </row>
    <row r="50">
      <c r="A50" s="4" t="inlineStr">
        <is>
          <t>City</t>
        </is>
      </c>
      <c r="B50" s="4" t="inlineStr">
        <is>
          <t>Prospects</t>
        </is>
      </c>
      <c r="C50" s="4" t="inlineStr">
        <is>
          <t>Contacted</t>
        </is>
      </c>
      <c r="D50" s="4" t="inlineStr">
        <is>
          <t>Responded</t>
        </is>
      </c>
      <c r="E50" s="4" t="inlineStr">
        <is>
          <t>Interested</t>
        </is>
      </c>
      <c r="F50" s="4" t="inlineStr">
        <is>
          <t>Registered</t>
        </is>
      </c>
      <c r="G50" s="4" t="inlineStr">
        <is>
          <t>Activated</t>
        </is>
      </c>
      <c r="H50" s="4" t="inlineStr">
        <is>
          <t>Transacting</t>
        </is>
      </c>
      <c r="I50" s="4" t="inlineStr">
        <is>
          <t>Reply rate</t>
        </is>
      </c>
      <c r="J50" s="4" t="inlineStr">
        <is>
          <t>Contacted → Activated</t>
        </is>
      </c>
    </row>
    <row r="51">
      <c r="A51" t="inlineStr">
        <is>
          <t>Delhi NCR</t>
        </is>
      </c>
      <c r="B51">
        <f>COUNTIFS(PROSPECTS!$F$2:$F$501,$A51)</f>
        <v/>
      </c>
      <c r="C51">
        <f>COUNTIFS(PROSPECTS!$F$2:$F$501,$A51,PROSPECTS!$O$2:$O$501,"&lt;&gt;")</f>
        <v/>
      </c>
      <c r="D51">
        <f>COUNTIFS(PROSPECTS!$F$2:$F$501,$A51,PROSPECTS!$R$2:$R$501,"&lt;&gt;")</f>
        <v/>
      </c>
      <c r="E51">
        <f>COUNTIFS(PROSPECTS!$F$2:$F$501,$A51,PROSPECTS!$T$2:$T$501,"&lt;&gt;")</f>
        <v/>
      </c>
      <c r="F51">
        <f>COUNTIFS(PROSPECTS!$F$2:$F$501,$A51,PROSPECTS!$V$2:$V$501,"&lt;&gt;")</f>
        <v/>
      </c>
      <c r="G51">
        <f>COUNTIFS(PROSPECTS!$F$2:$F$501,$A51,PROSPECTS!$AH$2:$AH$501,"YES")</f>
        <v/>
      </c>
      <c r="H51">
        <f>COUNTIFS(PROSPECTS!$F$2:$F$501,$A51,PROSPECTS!$AC$2:$AC$501,"&lt;&gt;")</f>
        <v/>
      </c>
      <c r="I51" s="13">
        <f>IF(C51=0,"",D51/C51)</f>
        <v/>
      </c>
      <c r="J51" s="13">
        <f>IF(C51=0,"",G51/C51)</f>
        <v/>
      </c>
    </row>
    <row r="52">
      <c r="A52" t="inlineStr">
        <is>
          <t>Mumbai</t>
        </is>
      </c>
      <c r="B52">
        <f>COUNTIFS(PROSPECTS!$F$2:$F$501,$A52)</f>
        <v/>
      </c>
      <c r="C52">
        <f>COUNTIFS(PROSPECTS!$F$2:$F$501,$A52,PROSPECTS!$O$2:$O$501,"&lt;&gt;")</f>
        <v/>
      </c>
      <c r="D52">
        <f>COUNTIFS(PROSPECTS!$F$2:$F$501,$A52,PROSPECTS!$R$2:$R$501,"&lt;&gt;")</f>
        <v/>
      </c>
      <c r="E52">
        <f>COUNTIFS(PROSPECTS!$F$2:$F$501,$A52,PROSPECTS!$T$2:$T$501,"&lt;&gt;")</f>
        <v/>
      </c>
      <c r="F52">
        <f>COUNTIFS(PROSPECTS!$F$2:$F$501,$A52,PROSPECTS!$V$2:$V$501,"&lt;&gt;")</f>
        <v/>
      </c>
      <c r="G52">
        <f>COUNTIFS(PROSPECTS!$F$2:$F$501,$A52,PROSPECTS!$AH$2:$AH$501,"YES")</f>
        <v/>
      </c>
      <c r="H52">
        <f>COUNTIFS(PROSPECTS!$F$2:$F$501,$A52,PROSPECTS!$AC$2:$AC$501,"&lt;&gt;")</f>
        <v/>
      </c>
      <c r="I52" s="13">
        <f>IF(C52=0,"",D52/C52)</f>
        <v/>
      </c>
      <c r="J52" s="13">
        <f>IF(C52=0,"",G52/C52)</f>
        <v/>
      </c>
    </row>
    <row r="53">
      <c r="A53" t="inlineStr">
        <is>
          <t>Bengaluru</t>
        </is>
      </c>
      <c r="B53">
        <f>COUNTIFS(PROSPECTS!$F$2:$F$501,$A53)</f>
        <v/>
      </c>
      <c r="C53">
        <f>COUNTIFS(PROSPECTS!$F$2:$F$501,$A53,PROSPECTS!$O$2:$O$501,"&lt;&gt;")</f>
        <v/>
      </c>
      <c r="D53">
        <f>COUNTIFS(PROSPECTS!$F$2:$F$501,$A53,PROSPECTS!$R$2:$R$501,"&lt;&gt;")</f>
        <v/>
      </c>
      <c r="E53">
        <f>COUNTIFS(PROSPECTS!$F$2:$F$501,$A53,PROSPECTS!$T$2:$T$501,"&lt;&gt;")</f>
        <v/>
      </c>
      <c r="F53">
        <f>COUNTIFS(PROSPECTS!$F$2:$F$501,$A53,PROSPECTS!$V$2:$V$501,"&lt;&gt;")</f>
        <v/>
      </c>
      <c r="G53">
        <f>COUNTIFS(PROSPECTS!$F$2:$F$501,$A53,PROSPECTS!$AH$2:$AH$501,"YES")</f>
        <v/>
      </c>
      <c r="H53">
        <f>COUNTIFS(PROSPECTS!$F$2:$F$501,$A53,PROSPECTS!$AC$2:$AC$501,"&lt;&gt;")</f>
        <v/>
      </c>
      <c r="I53" s="13">
        <f>IF(C53=0,"",D53/C53)</f>
        <v/>
      </c>
      <c r="J53" s="13">
        <f>IF(C53=0,"",G53/C53)</f>
        <v/>
      </c>
    </row>
    <row r="54">
      <c r="A54" t="inlineStr">
        <is>
          <t>Jaipur</t>
        </is>
      </c>
      <c r="B54">
        <f>COUNTIFS(PROSPECTS!$F$2:$F$501,$A54)</f>
        <v/>
      </c>
      <c r="C54">
        <f>COUNTIFS(PROSPECTS!$F$2:$F$501,$A54,PROSPECTS!$O$2:$O$501,"&lt;&gt;")</f>
        <v/>
      </c>
      <c r="D54">
        <f>COUNTIFS(PROSPECTS!$F$2:$F$501,$A54,PROSPECTS!$R$2:$R$501,"&lt;&gt;")</f>
        <v/>
      </c>
      <c r="E54">
        <f>COUNTIFS(PROSPECTS!$F$2:$F$501,$A54,PROSPECTS!$T$2:$T$501,"&lt;&gt;")</f>
        <v/>
      </c>
      <c r="F54">
        <f>COUNTIFS(PROSPECTS!$F$2:$F$501,$A54,PROSPECTS!$V$2:$V$501,"&lt;&gt;")</f>
        <v/>
      </c>
      <c r="G54">
        <f>COUNTIFS(PROSPECTS!$F$2:$F$501,$A54,PROSPECTS!$AH$2:$AH$501,"YES")</f>
        <v/>
      </c>
      <c r="H54">
        <f>COUNTIFS(PROSPECTS!$F$2:$F$501,$A54,PROSPECTS!$AC$2:$AC$501,"&lt;&gt;")</f>
        <v/>
      </c>
      <c r="I54" s="13">
        <f>IF(C54=0,"",D54/C54)</f>
        <v/>
      </c>
      <c r="J54" s="13">
        <f>IF(C54=0,"",G54/C54)</f>
        <v/>
      </c>
    </row>
    <row r="55">
      <c r="A55" t="inlineStr">
        <is>
          <t>Pune</t>
        </is>
      </c>
      <c r="B55">
        <f>COUNTIFS(PROSPECTS!$F$2:$F$501,$A55)</f>
        <v/>
      </c>
      <c r="C55">
        <f>COUNTIFS(PROSPECTS!$F$2:$F$501,$A55,PROSPECTS!$O$2:$O$501,"&lt;&gt;")</f>
        <v/>
      </c>
      <c r="D55">
        <f>COUNTIFS(PROSPECTS!$F$2:$F$501,$A55,PROSPECTS!$R$2:$R$501,"&lt;&gt;")</f>
        <v/>
      </c>
      <c r="E55">
        <f>COUNTIFS(PROSPECTS!$F$2:$F$501,$A55,PROSPECTS!$T$2:$T$501,"&lt;&gt;")</f>
        <v/>
      </c>
      <c r="F55">
        <f>COUNTIFS(PROSPECTS!$F$2:$F$501,$A55,PROSPECTS!$V$2:$V$501,"&lt;&gt;")</f>
        <v/>
      </c>
      <c r="G55">
        <f>COUNTIFS(PROSPECTS!$F$2:$F$501,$A55,PROSPECTS!$AH$2:$AH$501,"YES")</f>
        <v/>
      </c>
      <c r="H55">
        <f>COUNTIFS(PROSPECTS!$F$2:$F$501,$A55,PROSPECTS!$AC$2:$AC$501,"&lt;&gt;")</f>
        <v/>
      </c>
      <c r="I55" s="13">
        <f>IF(C55=0,"",D55/C55)</f>
        <v/>
      </c>
      <c r="J55" s="13">
        <f>IF(C55=0,"",G55/C55)</f>
        <v/>
      </c>
    </row>
    <row r="56">
      <c r="A56" t="inlineStr">
        <is>
          <t>Hyderabad</t>
        </is>
      </c>
      <c r="B56">
        <f>COUNTIFS(PROSPECTS!$F$2:$F$501,$A56)</f>
        <v/>
      </c>
      <c r="C56">
        <f>COUNTIFS(PROSPECTS!$F$2:$F$501,$A56,PROSPECTS!$O$2:$O$501,"&lt;&gt;")</f>
        <v/>
      </c>
      <c r="D56">
        <f>COUNTIFS(PROSPECTS!$F$2:$F$501,$A56,PROSPECTS!$R$2:$R$501,"&lt;&gt;")</f>
        <v/>
      </c>
      <c r="E56">
        <f>COUNTIFS(PROSPECTS!$F$2:$F$501,$A56,PROSPECTS!$T$2:$T$501,"&lt;&gt;")</f>
        <v/>
      </c>
      <c r="F56">
        <f>COUNTIFS(PROSPECTS!$F$2:$F$501,$A56,PROSPECTS!$V$2:$V$501,"&lt;&gt;")</f>
        <v/>
      </c>
      <c r="G56">
        <f>COUNTIFS(PROSPECTS!$F$2:$F$501,$A56,PROSPECTS!$AH$2:$AH$501,"YES")</f>
        <v/>
      </c>
      <c r="H56">
        <f>COUNTIFS(PROSPECTS!$F$2:$F$501,$A56,PROSPECTS!$AC$2:$AC$501,"&lt;&gt;")</f>
        <v/>
      </c>
      <c r="I56" s="13">
        <f>IF(C56=0,"",D56/C56)</f>
        <v/>
      </c>
      <c r="J56" s="13">
        <f>IF(C56=0,"",G56/C56)</f>
        <v/>
      </c>
    </row>
    <row r="57">
      <c r="A57" t="inlineStr">
        <is>
          <t>Chennai</t>
        </is>
      </c>
      <c r="B57">
        <f>COUNTIFS(PROSPECTS!$F$2:$F$501,$A57)</f>
        <v/>
      </c>
      <c r="C57">
        <f>COUNTIFS(PROSPECTS!$F$2:$F$501,$A57,PROSPECTS!$O$2:$O$501,"&lt;&gt;")</f>
        <v/>
      </c>
      <c r="D57">
        <f>COUNTIFS(PROSPECTS!$F$2:$F$501,$A57,PROSPECTS!$R$2:$R$501,"&lt;&gt;")</f>
        <v/>
      </c>
      <c r="E57">
        <f>COUNTIFS(PROSPECTS!$F$2:$F$501,$A57,PROSPECTS!$T$2:$T$501,"&lt;&gt;")</f>
        <v/>
      </c>
      <c r="F57">
        <f>COUNTIFS(PROSPECTS!$F$2:$F$501,$A57,PROSPECTS!$V$2:$V$501,"&lt;&gt;")</f>
        <v/>
      </c>
      <c r="G57">
        <f>COUNTIFS(PROSPECTS!$F$2:$F$501,$A57,PROSPECTS!$AH$2:$AH$501,"YES")</f>
        <v/>
      </c>
      <c r="H57">
        <f>COUNTIFS(PROSPECTS!$F$2:$F$501,$A57,PROSPECTS!$AC$2:$AC$501,"&lt;&gt;")</f>
        <v/>
      </c>
      <c r="I57" s="13">
        <f>IF(C57=0,"",D57/C57)</f>
        <v/>
      </c>
      <c r="J57" s="13">
        <f>IF(C57=0,"",G57/C57)</f>
        <v/>
      </c>
    </row>
    <row r="58">
      <c r="A58" t="inlineStr">
        <is>
          <t>Kolkata</t>
        </is>
      </c>
      <c r="B58">
        <f>COUNTIFS(PROSPECTS!$F$2:$F$501,$A58)</f>
        <v/>
      </c>
      <c r="C58">
        <f>COUNTIFS(PROSPECTS!$F$2:$F$501,$A58,PROSPECTS!$O$2:$O$501,"&lt;&gt;")</f>
        <v/>
      </c>
      <c r="D58">
        <f>COUNTIFS(PROSPECTS!$F$2:$F$501,$A58,PROSPECTS!$R$2:$R$501,"&lt;&gt;")</f>
        <v/>
      </c>
      <c r="E58">
        <f>COUNTIFS(PROSPECTS!$F$2:$F$501,$A58,PROSPECTS!$T$2:$T$501,"&lt;&gt;")</f>
        <v/>
      </c>
      <c r="F58">
        <f>COUNTIFS(PROSPECTS!$F$2:$F$501,$A58,PROSPECTS!$V$2:$V$501,"&lt;&gt;")</f>
        <v/>
      </c>
      <c r="G58">
        <f>COUNTIFS(PROSPECTS!$F$2:$F$501,$A58,PROSPECTS!$AH$2:$AH$501,"YES")</f>
        <v/>
      </c>
      <c r="H58">
        <f>COUNTIFS(PROSPECTS!$F$2:$F$501,$A58,PROSPECTS!$AC$2:$AC$501,"&lt;&gt;")</f>
        <v/>
      </c>
      <c r="I58" s="13">
        <f>IF(C58=0,"",D58/C58)</f>
        <v/>
      </c>
      <c r="J58" s="13">
        <f>IF(C58=0,"",G58/C58)</f>
        <v/>
      </c>
    </row>
    <row r="59">
      <c r="A59" t="inlineStr">
        <is>
          <t>Ahmedabad</t>
        </is>
      </c>
      <c r="B59">
        <f>COUNTIFS(PROSPECTS!$F$2:$F$501,$A59)</f>
        <v/>
      </c>
      <c r="C59">
        <f>COUNTIFS(PROSPECTS!$F$2:$F$501,$A59,PROSPECTS!$O$2:$O$501,"&lt;&gt;")</f>
        <v/>
      </c>
      <c r="D59">
        <f>COUNTIFS(PROSPECTS!$F$2:$F$501,$A59,PROSPECTS!$R$2:$R$501,"&lt;&gt;")</f>
        <v/>
      </c>
      <c r="E59">
        <f>COUNTIFS(PROSPECTS!$F$2:$F$501,$A59,PROSPECTS!$T$2:$T$501,"&lt;&gt;")</f>
        <v/>
      </c>
      <c r="F59">
        <f>COUNTIFS(PROSPECTS!$F$2:$F$501,$A59,PROSPECTS!$V$2:$V$501,"&lt;&gt;")</f>
        <v/>
      </c>
      <c r="G59">
        <f>COUNTIFS(PROSPECTS!$F$2:$F$501,$A59,PROSPECTS!$AH$2:$AH$501,"YES")</f>
        <v/>
      </c>
      <c r="H59">
        <f>COUNTIFS(PROSPECTS!$F$2:$F$501,$A59,PROSPECTS!$AC$2:$AC$501,"&lt;&gt;")</f>
        <v/>
      </c>
      <c r="I59" s="13">
        <f>IF(C59=0,"",D59/C59)</f>
        <v/>
      </c>
      <c r="J59" s="13">
        <f>IF(C59=0,"",G59/C59)</f>
        <v/>
      </c>
    </row>
    <row r="60">
      <c r="A60" t="inlineStr">
        <is>
          <t>Chandigarh</t>
        </is>
      </c>
      <c r="B60">
        <f>COUNTIFS(PROSPECTS!$F$2:$F$501,$A60)</f>
        <v/>
      </c>
      <c r="C60">
        <f>COUNTIFS(PROSPECTS!$F$2:$F$501,$A60,PROSPECTS!$O$2:$O$501,"&lt;&gt;")</f>
        <v/>
      </c>
      <c r="D60">
        <f>COUNTIFS(PROSPECTS!$F$2:$F$501,$A60,PROSPECTS!$R$2:$R$501,"&lt;&gt;")</f>
        <v/>
      </c>
      <c r="E60">
        <f>COUNTIFS(PROSPECTS!$F$2:$F$501,$A60,PROSPECTS!$T$2:$T$501,"&lt;&gt;")</f>
        <v/>
      </c>
      <c r="F60">
        <f>COUNTIFS(PROSPECTS!$F$2:$F$501,$A60,PROSPECTS!$V$2:$V$501,"&lt;&gt;")</f>
        <v/>
      </c>
      <c r="G60">
        <f>COUNTIFS(PROSPECTS!$F$2:$F$501,$A60,PROSPECTS!$AH$2:$AH$501,"YES")</f>
        <v/>
      </c>
      <c r="H60">
        <f>COUNTIFS(PROSPECTS!$F$2:$F$501,$A60,PROSPECTS!$AC$2:$AC$501,"&lt;&gt;")</f>
        <v/>
      </c>
      <c r="I60" s="13">
        <f>IF(C60=0,"",D60/C60)</f>
        <v/>
      </c>
      <c r="J60" s="13">
        <f>IF(C60=0,"",G60/C60)</f>
        <v/>
      </c>
    </row>
    <row r="62">
      <c r="A62" s="14" t="inlineStr">
        <is>
          <t>By tier</t>
        </is>
      </c>
    </row>
    <row r="63">
      <c r="A63" s="4" t="inlineStr">
        <is>
          <t>Tier</t>
        </is>
      </c>
      <c r="B63" s="4" t="inlineStr">
        <is>
          <t>Prospects</t>
        </is>
      </c>
      <c r="C63" s="4" t="inlineStr">
        <is>
          <t>Contacted</t>
        </is>
      </c>
      <c r="D63" s="4" t="inlineStr">
        <is>
          <t>Responded</t>
        </is>
      </c>
      <c r="E63" s="4" t="inlineStr">
        <is>
          <t>Interested</t>
        </is>
      </c>
      <c r="F63" s="4" t="inlineStr">
        <is>
          <t>Registered</t>
        </is>
      </c>
      <c r="G63" s="4" t="inlineStr">
        <is>
          <t>Activated</t>
        </is>
      </c>
      <c r="H63" s="4" t="inlineStr">
        <is>
          <t>Transacting</t>
        </is>
      </c>
      <c r="I63" s="4" t="inlineStr">
        <is>
          <t>Reply rate</t>
        </is>
      </c>
      <c r="J63" s="4" t="inlineStr">
        <is>
          <t>Contacted → Activated</t>
        </is>
      </c>
    </row>
    <row r="64">
      <c r="A64" t="inlineStr">
        <is>
          <t>A</t>
        </is>
      </c>
      <c r="B64">
        <f>COUNTIFS(PROSPECTS!$G$2:$G$501,$A64)</f>
        <v/>
      </c>
      <c r="C64">
        <f>COUNTIFS(PROSPECTS!$G$2:$G$501,$A64,PROSPECTS!$O$2:$O$501,"&lt;&gt;")</f>
        <v/>
      </c>
      <c r="D64">
        <f>COUNTIFS(PROSPECTS!$G$2:$G$501,$A64,PROSPECTS!$R$2:$R$501,"&lt;&gt;")</f>
        <v/>
      </c>
      <c r="E64">
        <f>COUNTIFS(PROSPECTS!$G$2:$G$501,$A64,PROSPECTS!$T$2:$T$501,"&lt;&gt;")</f>
        <v/>
      </c>
      <c r="F64">
        <f>COUNTIFS(PROSPECTS!$G$2:$G$501,$A64,PROSPECTS!$V$2:$V$501,"&lt;&gt;")</f>
        <v/>
      </c>
      <c r="G64">
        <f>COUNTIFS(PROSPECTS!$G$2:$G$501,$A64,PROSPECTS!$AH$2:$AH$501,"YES")</f>
        <v/>
      </c>
      <c r="H64">
        <f>COUNTIFS(PROSPECTS!$G$2:$G$501,$A64,PROSPECTS!$AC$2:$AC$501,"&lt;&gt;")</f>
        <v/>
      </c>
      <c r="I64" s="13">
        <f>IF(C64=0,"",D64/C64)</f>
        <v/>
      </c>
      <c r="J64" s="13">
        <f>IF(C64=0,"",G64/C64)</f>
        <v/>
      </c>
    </row>
    <row r="65">
      <c r="A65" t="inlineStr">
        <is>
          <t>B</t>
        </is>
      </c>
      <c r="B65">
        <f>COUNTIFS(PROSPECTS!$G$2:$G$501,$A65)</f>
        <v/>
      </c>
      <c r="C65">
        <f>COUNTIFS(PROSPECTS!$G$2:$G$501,$A65,PROSPECTS!$O$2:$O$501,"&lt;&gt;")</f>
        <v/>
      </c>
      <c r="D65">
        <f>COUNTIFS(PROSPECTS!$G$2:$G$501,$A65,PROSPECTS!$R$2:$R$501,"&lt;&gt;")</f>
        <v/>
      </c>
      <c r="E65">
        <f>COUNTIFS(PROSPECTS!$G$2:$G$501,$A65,PROSPECTS!$T$2:$T$501,"&lt;&gt;")</f>
        <v/>
      </c>
      <c r="F65">
        <f>COUNTIFS(PROSPECTS!$G$2:$G$501,$A65,PROSPECTS!$V$2:$V$501,"&lt;&gt;")</f>
        <v/>
      </c>
      <c r="G65">
        <f>COUNTIFS(PROSPECTS!$G$2:$G$501,$A65,PROSPECTS!$AH$2:$AH$501,"YES")</f>
        <v/>
      </c>
      <c r="H65">
        <f>COUNTIFS(PROSPECTS!$G$2:$G$501,$A65,PROSPECTS!$AC$2:$AC$501,"&lt;&gt;")</f>
        <v/>
      </c>
      <c r="I65" s="13">
        <f>IF(C65=0,"",D65/C65)</f>
        <v/>
      </c>
      <c r="J65" s="13">
        <f>IF(C65=0,"",G65/C65)</f>
        <v/>
      </c>
    </row>
    <row r="66">
      <c r="A66" t="inlineStr">
        <is>
          <t>C</t>
        </is>
      </c>
      <c r="B66">
        <f>COUNTIFS(PROSPECTS!$G$2:$G$501,$A66)</f>
        <v/>
      </c>
      <c r="C66">
        <f>COUNTIFS(PROSPECTS!$G$2:$G$501,$A66,PROSPECTS!$O$2:$O$501,"&lt;&gt;")</f>
        <v/>
      </c>
      <c r="D66">
        <f>COUNTIFS(PROSPECTS!$G$2:$G$501,$A66,PROSPECTS!$R$2:$R$501,"&lt;&gt;")</f>
        <v/>
      </c>
      <c r="E66">
        <f>COUNTIFS(PROSPECTS!$G$2:$G$501,$A66,PROSPECTS!$T$2:$T$501,"&lt;&gt;")</f>
        <v/>
      </c>
      <c r="F66">
        <f>COUNTIFS(PROSPECTS!$G$2:$G$501,$A66,PROSPECTS!$V$2:$V$501,"&lt;&gt;")</f>
        <v/>
      </c>
      <c r="G66">
        <f>COUNTIFS(PROSPECTS!$G$2:$G$501,$A66,PROSPECTS!$AH$2:$AH$501,"YES")</f>
        <v/>
      </c>
      <c r="H66">
        <f>COUNTIFS(PROSPECTS!$G$2:$G$501,$A66,PROSPECTS!$AC$2:$AC$501,"&lt;&gt;")</f>
        <v/>
      </c>
      <c r="I66" s="13">
        <f>IF(C66=0,"",D66/C66)</f>
        <v/>
      </c>
      <c r="J66" s="13">
        <f>IF(C66=0,"",G66/C66)</f>
        <v/>
      </c>
    </row>
    <row r="68">
      <c r="A68" s="14" t="inlineStr">
        <is>
          <t>Guardrails</t>
        </is>
      </c>
    </row>
    <row r="69">
      <c r="A69" t="inlineStr">
        <is>
          <t>Activated with GSTIN not verified</t>
        </is>
      </c>
      <c r="B69">
        <f>COUNTIFS(PROSPECTS!$AH$2:$AH$501,"YES",PROSPECTS!$U$2:$U$501,"&lt;&gt;Active (verified)")</f>
        <v/>
      </c>
    </row>
    <row r="70">
      <c r="A70" t="inlineStr">
        <is>
          <t>Follow-ups DUE today or overdue</t>
        </is>
      </c>
      <c r="B70">
        <f>COUNTIF(PROSPECTS!$AM$2:$AM$501,"DUE")</f>
        <v/>
      </c>
    </row>
    <row r="71">
      <c r="A71" t="inlineStr">
        <is>
          <t>Professionals STUCK in onboarding</t>
        </is>
      </c>
      <c r="B71">
        <f>COUNTIF(PROSPECTS!$AO$2:$AO$501,"STUCK*")</f>
        <v/>
      </c>
    </row>
    <row r="72">
      <c r="A72" t="inlineStr">
        <is>
          <t>Consent to be named (share of activated)</t>
        </is>
      </c>
      <c r="B72" s="13">
        <f>IF(B14=0,"",COUNTIFS(PROSPECTS!$AH$2:$AH$501,"YES",PROSPECTS!$AD$2:$AD$501,"Y")/B14)</f>
        <v/>
      </c>
    </row>
    <row r="73">
      <c r="A73" t="inlineStr">
        <is>
          <t>Largest category share of activated</t>
        </is>
      </c>
      <c r="B73" s="13">
        <f>IF(B14=0,"",MAX(G32:G37)/B14)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60" customWidth="1" min="11" max="11"/>
  </cols>
  <sheetData>
    <row r="1">
      <c r="A1" s="3" t="inlineStr">
        <is>
          <t>Weekly cohorts by FIRST-CONTACT week (live). Read a cohort only after ~3 weeks.</t>
        </is>
      </c>
    </row>
    <row r="3">
      <c r="A3" s="4" t="inlineStr">
        <is>
          <t>Week starting (Mon)</t>
        </is>
      </c>
      <c r="B3" s="4" t="inlineStr">
        <is>
          <t>Week ending</t>
        </is>
      </c>
      <c r="C3" s="4" t="inlineStr">
        <is>
          <t>Contacted</t>
        </is>
      </c>
      <c r="D3" s="4" t="inlineStr">
        <is>
          <t>Responded</t>
        </is>
      </c>
      <c r="E3" s="4" t="inlineStr">
        <is>
          <t>Interested</t>
        </is>
      </c>
      <c r="F3" s="4" t="inlineStr">
        <is>
          <t>Registered</t>
        </is>
      </c>
      <c r="G3" s="4" t="inlineStr">
        <is>
          <t>Activated</t>
        </is>
      </c>
      <c r="H3" s="4" t="inlineStr">
        <is>
          <t>Reply rate</t>
        </is>
      </c>
      <c r="I3" s="4" t="inlineStr">
        <is>
          <t>Interest rate</t>
        </is>
      </c>
      <c r="J3" s="4" t="inlineStr">
        <is>
          <t>Contacted → Activated</t>
        </is>
      </c>
      <c r="K3" s="4" t="inlineStr">
        <is>
          <t>Decision / note (manual)</t>
        </is>
      </c>
    </row>
    <row r="4">
      <c r="A4" s="10" t="n">
        <v>46307</v>
      </c>
      <c r="B4" s="10">
        <f>A4+6</f>
        <v/>
      </c>
      <c r="C4">
        <f>COUNTIFS(PROSPECTS!$O$2:$O$501,"&gt;="&amp;A4,PROSPECTS!$O$2:$O$501,"&lt;="&amp;B4)</f>
        <v/>
      </c>
      <c r="D4">
        <f>COUNTIFS(PROSPECTS!$O$2:$O$501,"&gt;="&amp;A4,PROSPECTS!$O$2:$O$501,"&lt;="&amp;B4,PROSPECTS!$R$2:$R$501,"&lt;&gt;")</f>
        <v/>
      </c>
      <c r="E4">
        <f>COUNTIFS(PROSPECTS!$O$2:$O$501,"&gt;="&amp;A4,PROSPECTS!$O$2:$O$501,"&lt;="&amp;B4,PROSPECTS!$T$2:$T$501,"&lt;&gt;")</f>
        <v/>
      </c>
      <c r="F4">
        <f>COUNTIFS(PROSPECTS!$O$2:$O$501,"&gt;="&amp;A4,PROSPECTS!$O$2:$O$501,"&lt;="&amp;B4,PROSPECTS!$V$2:$V$501,"&lt;&gt;")</f>
        <v/>
      </c>
      <c r="G4">
        <f>COUNTIFS(PROSPECTS!$O$2:$O$501,"&gt;="&amp;A4,PROSPECTS!$O$2:$O$501,"&lt;="&amp;B4,PROSPECTS!$AH$2:$AH$501,"YES")</f>
        <v/>
      </c>
      <c r="H4" s="13">
        <f>IF(C4=0,"",D4/C4)</f>
        <v/>
      </c>
      <c r="I4" s="13">
        <f>IF(D4=0,"",E4/D4)</f>
        <v/>
      </c>
      <c r="J4" s="13">
        <f>IF(C4=0,"",G4/C4)</f>
        <v/>
      </c>
    </row>
    <row r="5">
      <c r="A5" s="10" t="n">
        <v>46314</v>
      </c>
      <c r="B5" s="10">
        <f>A5+6</f>
        <v/>
      </c>
      <c r="C5">
        <f>COUNTIFS(PROSPECTS!$O$2:$O$501,"&gt;="&amp;A5,PROSPECTS!$O$2:$O$501,"&lt;="&amp;B5)</f>
        <v/>
      </c>
      <c r="D5">
        <f>COUNTIFS(PROSPECTS!$O$2:$O$501,"&gt;="&amp;A5,PROSPECTS!$O$2:$O$501,"&lt;="&amp;B5,PROSPECTS!$R$2:$R$501,"&lt;&gt;")</f>
        <v/>
      </c>
      <c r="E5">
        <f>COUNTIFS(PROSPECTS!$O$2:$O$501,"&gt;="&amp;A5,PROSPECTS!$O$2:$O$501,"&lt;="&amp;B5,PROSPECTS!$T$2:$T$501,"&lt;&gt;")</f>
        <v/>
      </c>
      <c r="F5">
        <f>COUNTIFS(PROSPECTS!$O$2:$O$501,"&gt;="&amp;A5,PROSPECTS!$O$2:$O$501,"&lt;="&amp;B5,PROSPECTS!$V$2:$V$501,"&lt;&gt;")</f>
        <v/>
      </c>
      <c r="G5">
        <f>COUNTIFS(PROSPECTS!$O$2:$O$501,"&gt;="&amp;A5,PROSPECTS!$O$2:$O$501,"&lt;="&amp;B5,PROSPECTS!$AH$2:$AH$501,"YES")</f>
        <v/>
      </c>
      <c r="H5" s="13">
        <f>IF(C5=0,"",D5/C5)</f>
        <v/>
      </c>
      <c r="I5" s="13">
        <f>IF(D5=0,"",E5/D5)</f>
        <v/>
      </c>
      <c r="J5" s="13">
        <f>IF(C5=0,"",G5/C5)</f>
        <v/>
      </c>
    </row>
    <row r="6">
      <c r="A6" s="10" t="n">
        <v>46321</v>
      </c>
      <c r="B6" s="10">
        <f>A6+6</f>
        <v/>
      </c>
      <c r="C6">
        <f>COUNTIFS(PROSPECTS!$O$2:$O$501,"&gt;="&amp;A6,PROSPECTS!$O$2:$O$501,"&lt;="&amp;B6)</f>
        <v/>
      </c>
      <c r="D6">
        <f>COUNTIFS(PROSPECTS!$O$2:$O$501,"&gt;="&amp;A6,PROSPECTS!$O$2:$O$501,"&lt;="&amp;B6,PROSPECTS!$R$2:$R$501,"&lt;&gt;")</f>
        <v/>
      </c>
      <c r="E6">
        <f>COUNTIFS(PROSPECTS!$O$2:$O$501,"&gt;="&amp;A6,PROSPECTS!$O$2:$O$501,"&lt;="&amp;B6,PROSPECTS!$T$2:$T$501,"&lt;&gt;")</f>
        <v/>
      </c>
      <c r="F6">
        <f>COUNTIFS(PROSPECTS!$O$2:$O$501,"&gt;="&amp;A6,PROSPECTS!$O$2:$O$501,"&lt;="&amp;B6,PROSPECTS!$V$2:$V$501,"&lt;&gt;")</f>
        <v/>
      </c>
      <c r="G6">
        <f>COUNTIFS(PROSPECTS!$O$2:$O$501,"&gt;="&amp;A6,PROSPECTS!$O$2:$O$501,"&lt;="&amp;B6,PROSPECTS!$AH$2:$AH$501,"YES")</f>
        <v/>
      </c>
      <c r="H6" s="13">
        <f>IF(C6=0,"",D6/C6)</f>
        <v/>
      </c>
      <c r="I6" s="13">
        <f>IF(D6=0,"",E6/D6)</f>
        <v/>
      </c>
      <c r="J6" s="13">
        <f>IF(C6=0,"",G6/C6)</f>
        <v/>
      </c>
    </row>
    <row r="7">
      <c r="A7" s="10" t="n">
        <v>46328</v>
      </c>
      <c r="B7" s="10">
        <f>A7+6</f>
        <v/>
      </c>
      <c r="C7">
        <f>COUNTIFS(PROSPECTS!$O$2:$O$501,"&gt;="&amp;A7,PROSPECTS!$O$2:$O$501,"&lt;="&amp;B7)</f>
        <v/>
      </c>
      <c r="D7">
        <f>COUNTIFS(PROSPECTS!$O$2:$O$501,"&gt;="&amp;A7,PROSPECTS!$O$2:$O$501,"&lt;="&amp;B7,PROSPECTS!$R$2:$R$501,"&lt;&gt;")</f>
        <v/>
      </c>
      <c r="E7">
        <f>COUNTIFS(PROSPECTS!$O$2:$O$501,"&gt;="&amp;A7,PROSPECTS!$O$2:$O$501,"&lt;="&amp;B7,PROSPECTS!$T$2:$T$501,"&lt;&gt;")</f>
        <v/>
      </c>
      <c r="F7">
        <f>COUNTIFS(PROSPECTS!$O$2:$O$501,"&gt;="&amp;A7,PROSPECTS!$O$2:$O$501,"&lt;="&amp;B7,PROSPECTS!$V$2:$V$501,"&lt;&gt;")</f>
        <v/>
      </c>
      <c r="G7">
        <f>COUNTIFS(PROSPECTS!$O$2:$O$501,"&gt;="&amp;A7,PROSPECTS!$O$2:$O$501,"&lt;="&amp;B7,PROSPECTS!$AH$2:$AH$501,"YES")</f>
        <v/>
      </c>
      <c r="H7" s="13">
        <f>IF(C7=0,"",D7/C7)</f>
        <v/>
      </c>
      <c r="I7" s="13">
        <f>IF(D7=0,"",E7/D7)</f>
        <v/>
      </c>
      <c r="J7" s="13">
        <f>IF(C7=0,"",G7/C7)</f>
        <v/>
      </c>
    </row>
    <row r="8">
      <c r="A8" s="10" t="n">
        <v>46335</v>
      </c>
      <c r="B8" s="10">
        <f>A8+6</f>
        <v/>
      </c>
      <c r="C8">
        <f>COUNTIFS(PROSPECTS!$O$2:$O$501,"&gt;="&amp;A8,PROSPECTS!$O$2:$O$501,"&lt;="&amp;B8)</f>
        <v/>
      </c>
      <c r="D8">
        <f>COUNTIFS(PROSPECTS!$O$2:$O$501,"&gt;="&amp;A8,PROSPECTS!$O$2:$O$501,"&lt;="&amp;B8,PROSPECTS!$R$2:$R$501,"&lt;&gt;")</f>
        <v/>
      </c>
      <c r="E8">
        <f>COUNTIFS(PROSPECTS!$O$2:$O$501,"&gt;="&amp;A8,PROSPECTS!$O$2:$O$501,"&lt;="&amp;B8,PROSPECTS!$T$2:$T$501,"&lt;&gt;")</f>
        <v/>
      </c>
      <c r="F8">
        <f>COUNTIFS(PROSPECTS!$O$2:$O$501,"&gt;="&amp;A8,PROSPECTS!$O$2:$O$501,"&lt;="&amp;B8,PROSPECTS!$V$2:$V$501,"&lt;&gt;")</f>
        <v/>
      </c>
      <c r="G8">
        <f>COUNTIFS(PROSPECTS!$O$2:$O$501,"&gt;="&amp;A8,PROSPECTS!$O$2:$O$501,"&lt;="&amp;B8,PROSPECTS!$AH$2:$AH$501,"YES")</f>
        <v/>
      </c>
      <c r="H8" s="13">
        <f>IF(C8=0,"",D8/C8)</f>
        <v/>
      </c>
      <c r="I8" s="13">
        <f>IF(D8=0,"",E8/D8)</f>
        <v/>
      </c>
      <c r="J8" s="13">
        <f>IF(C8=0,"",G8/C8)</f>
        <v/>
      </c>
    </row>
    <row r="9">
      <c r="A9" s="10" t="n">
        <v>46342</v>
      </c>
      <c r="B9" s="10">
        <f>A9+6</f>
        <v/>
      </c>
      <c r="C9">
        <f>COUNTIFS(PROSPECTS!$O$2:$O$501,"&gt;="&amp;A9,PROSPECTS!$O$2:$O$501,"&lt;="&amp;B9)</f>
        <v/>
      </c>
      <c r="D9">
        <f>COUNTIFS(PROSPECTS!$O$2:$O$501,"&gt;="&amp;A9,PROSPECTS!$O$2:$O$501,"&lt;="&amp;B9,PROSPECTS!$R$2:$R$501,"&lt;&gt;")</f>
        <v/>
      </c>
      <c r="E9">
        <f>COUNTIFS(PROSPECTS!$O$2:$O$501,"&gt;="&amp;A9,PROSPECTS!$O$2:$O$501,"&lt;="&amp;B9,PROSPECTS!$T$2:$T$501,"&lt;&gt;")</f>
        <v/>
      </c>
      <c r="F9">
        <f>COUNTIFS(PROSPECTS!$O$2:$O$501,"&gt;="&amp;A9,PROSPECTS!$O$2:$O$501,"&lt;="&amp;B9,PROSPECTS!$V$2:$V$501,"&lt;&gt;")</f>
        <v/>
      </c>
      <c r="G9">
        <f>COUNTIFS(PROSPECTS!$O$2:$O$501,"&gt;="&amp;A9,PROSPECTS!$O$2:$O$501,"&lt;="&amp;B9,PROSPECTS!$AH$2:$AH$501,"YES")</f>
        <v/>
      </c>
      <c r="H9" s="13">
        <f>IF(C9=0,"",D9/C9)</f>
        <v/>
      </c>
      <c r="I9" s="13">
        <f>IF(D9=0,"",E9/D9)</f>
        <v/>
      </c>
      <c r="J9" s="13">
        <f>IF(C9=0,"",G9/C9)</f>
        <v/>
      </c>
    </row>
    <row r="10">
      <c r="A10" s="10" t="n">
        <v>46349</v>
      </c>
      <c r="B10" s="10">
        <f>A10+6</f>
        <v/>
      </c>
      <c r="C10">
        <f>COUNTIFS(PROSPECTS!$O$2:$O$501,"&gt;="&amp;A10,PROSPECTS!$O$2:$O$501,"&lt;="&amp;B10)</f>
        <v/>
      </c>
      <c r="D10">
        <f>COUNTIFS(PROSPECTS!$O$2:$O$501,"&gt;="&amp;A10,PROSPECTS!$O$2:$O$501,"&lt;="&amp;B10,PROSPECTS!$R$2:$R$501,"&lt;&gt;")</f>
        <v/>
      </c>
      <c r="E10">
        <f>COUNTIFS(PROSPECTS!$O$2:$O$501,"&gt;="&amp;A10,PROSPECTS!$O$2:$O$501,"&lt;="&amp;B10,PROSPECTS!$T$2:$T$501,"&lt;&gt;")</f>
        <v/>
      </c>
      <c r="F10">
        <f>COUNTIFS(PROSPECTS!$O$2:$O$501,"&gt;="&amp;A10,PROSPECTS!$O$2:$O$501,"&lt;="&amp;B10,PROSPECTS!$V$2:$V$501,"&lt;&gt;")</f>
        <v/>
      </c>
      <c r="G10">
        <f>COUNTIFS(PROSPECTS!$O$2:$O$501,"&gt;="&amp;A10,PROSPECTS!$O$2:$O$501,"&lt;="&amp;B10,PROSPECTS!$AH$2:$AH$501,"YES")</f>
        <v/>
      </c>
      <c r="H10" s="13">
        <f>IF(C10=0,"",D10/C10)</f>
        <v/>
      </c>
      <c r="I10" s="13">
        <f>IF(D10=0,"",E10/D10)</f>
        <v/>
      </c>
      <c r="J10" s="13">
        <f>IF(C10=0,"",G10/C10)</f>
        <v/>
      </c>
    </row>
    <row r="11">
      <c r="A11" s="10" t="n">
        <v>46356</v>
      </c>
      <c r="B11" s="10">
        <f>A11+6</f>
        <v/>
      </c>
      <c r="C11">
        <f>COUNTIFS(PROSPECTS!$O$2:$O$501,"&gt;="&amp;A11,PROSPECTS!$O$2:$O$501,"&lt;="&amp;B11)</f>
        <v/>
      </c>
      <c r="D11">
        <f>COUNTIFS(PROSPECTS!$O$2:$O$501,"&gt;="&amp;A11,PROSPECTS!$O$2:$O$501,"&lt;="&amp;B11,PROSPECTS!$R$2:$R$501,"&lt;&gt;")</f>
        <v/>
      </c>
      <c r="E11">
        <f>COUNTIFS(PROSPECTS!$O$2:$O$501,"&gt;="&amp;A11,PROSPECTS!$O$2:$O$501,"&lt;="&amp;B11,PROSPECTS!$T$2:$T$501,"&lt;&gt;")</f>
        <v/>
      </c>
      <c r="F11">
        <f>COUNTIFS(PROSPECTS!$O$2:$O$501,"&gt;="&amp;A11,PROSPECTS!$O$2:$O$501,"&lt;="&amp;B11,PROSPECTS!$V$2:$V$501,"&lt;&gt;")</f>
        <v/>
      </c>
      <c r="G11">
        <f>COUNTIFS(PROSPECTS!$O$2:$O$501,"&gt;="&amp;A11,PROSPECTS!$O$2:$O$501,"&lt;="&amp;B11,PROSPECTS!$AH$2:$AH$501,"YES")</f>
        <v/>
      </c>
      <c r="H11" s="13">
        <f>IF(C11=0,"",D11/C11)</f>
        <v/>
      </c>
      <c r="I11" s="13">
        <f>IF(D11=0,"",E11/D11)</f>
        <v/>
      </c>
      <c r="J11" s="13">
        <f>IF(C11=0,"",G11/C11)</f>
        <v/>
      </c>
    </row>
    <row r="12">
      <c r="A12" s="10" t="n">
        <v>46363</v>
      </c>
      <c r="B12" s="10">
        <f>A12+6</f>
        <v/>
      </c>
      <c r="C12">
        <f>COUNTIFS(PROSPECTS!$O$2:$O$501,"&gt;="&amp;A12,PROSPECTS!$O$2:$O$501,"&lt;="&amp;B12)</f>
        <v/>
      </c>
      <c r="D12">
        <f>COUNTIFS(PROSPECTS!$O$2:$O$501,"&gt;="&amp;A12,PROSPECTS!$O$2:$O$501,"&lt;="&amp;B12,PROSPECTS!$R$2:$R$501,"&lt;&gt;")</f>
        <v/>
      </c>
      <c r="E12">
        <f>COUNTIFS(PROSPECTS!$O$2:$O$501,"&gt;="&amp;A12,PROSPECTS!$O$2:$O$501,"&lt;="&amp;B12,PROSPECTS!$T$2:$T$501,"&lt;&gt;")</f>
        <v/>
      </c>
      <c r="F12">
        <f>COUNTIFS(PROSPECTS!$O$2:$O$501,"&gt;="&amp;A12,PROSPECTS!$O$2:$O$501,"&lt;="&amp;B12,PROSPECTS!$V$2:$V$501,"&lt;&gt;")</f>
        <v/>
      </c>
      <c r="G12">
        <f>COUNTIFS(PROSPECTS!$O$2:$O$501,"&gt;="&amp;A12,PROSPECTS!$O$2:$O$501,"&lt;="&amp;B12,PROSPECTS!$AH$2:$AH$501,"YES")</f>
        <v/>
      </c>
      <c r="H12" s="13">
        <f>IF(C12=0,"",D12/C12)</f>
        <v/>
      </c>
      <c r="I12" s="13">
        <f>IF(D12=0,"",E12/D12)</f>
        <v/>
      </c>
      <c r="J12" s="13">
        <f>IF(C12=0,"",G12/C12)</f>
        <v/>
      </c>
    </row>
    <row r="13">
      <c r="A13" s="10" t="n">
        <v>46370</v>
      </c>
      <c r="B13" s="10">
        <f>A13+6</f>
        <v/>
      </c>
      <c r="C13">
        <f>COUNTIFS(PROSPECTS!$O$2:$O$501,"&gt;="&amp;A13,PROSPECTS!$O$2:$O$501,"&lt;="&amp;B13)</f>
        <v/>
      </c>
      <c r="D13">
        <f>COUNTIFS(PROSPECTS!$O$2:$O$501,"&gt;="&amp;A13,PROSPECTS!$O$2:$O$501,"&lt;="&amp;B13,PROSPECTS!$R$2:$R$501,"&lt;&gt;")</f>
        <v/>
      </c>
      <c r="E13">
        <f>COUNTIFS(PROSPECTS!$O$2:$O$501,"&gt;="&amp;A13,PROSPECTS!$O$2:$O$501,"&lt;="&amp;B13,PROSPECTS!$T$2:$T$501,"&lt;&gt;")</f>
        <v/>
      </c>
      <c r="F13">
        <f>COUNTIFS(PROSPECTS!$O$2:$O$501,"&gt;="&amp;A13,PROSPECTS!$O$2:$O$501,"&lt;="&amp;B13,PROSPECTS!$V$2:$V$501,"&lt;&gt;")</f>
        <v/>
      </c>
      <c r="G13">
        <f>COUNTIFS(PROSPECTS!$O$2:$O$501,"&gt;="&amp;A13,PROSPECTS!$O$2:$O$501,"&lt;="&amp;B13,PROSPECTS!$AH$2:$AH$501,"YES")</f>
        <v/>
      </c>
      <c r="H13" s="13">
        <f>IF(C13=0,"",D13/C13)</f>
        <v/>
      </c>
      <c r="I13" s="13">
        <f>IF(D13=0,"",E13/D13)</f>
        <v/>
      </c>
      <c r="J13" s="13">
        <f>IF(C13=0,"",G13/C13)</f>
        <v/>
      </c>
    </row>
    <row r="14">
      <c r="A14" s="10" t="n">
        <v>46377</v>
      </c>
      <c r="B14" s="10">
        <f>A14+6</f>
        <v/>
      </c>
      <c r="C14">
        <f>COUNTIFS(PROSPECTS!$O$2:$O$501,"&gt;="&amp;A14,PROSPECTS!$O$2:$O$501,"&lt;="&amp;B14)</f>
        <v/>
      </c>
      <c r="D14">
        <f>COUNTIFS(PROSPECTS!$O$2:$O$501,"&gt;="&amp;A14,PROSPECTS!$O$2:$O$501,"&lt;="&amp;B14,PROSPECTS!$R$2:$R$501,"&lt;&gt;")</f>
        <v/>
      </c>
      <c r="E14">
        <f>COUNTIFS(PROSPECTS!$O$2:$O$501,"&gt;="&amp;A14,PROSPECTS!$O$2:$O$501,"&lt;="&amp;B14,PROSPECTS!$T$2:$T$501,"&lt;&gt;")</f>
        <v/>
      </c>
      <c r="F14">
        <f>COUNTIFS(PROSPECTS!$O$2:$O$501,"&gt;="&amp;A14,PROSPECTS!$O$2:$O$501,"&lt;="&amp;B14,PROSPECTS!$V$2:$V$501,"&lt;&gt;")</f>
        <v/>
      </c>
      <c r="G14">
        <f>COUNTIFS(PROSPECTS!$O$2:$O$501,"&gt;="&amp;A14,PROSPECTS!$O$2:$O$501,"&lt;="&amp;B14,PROSPECTS!$AH$2:$AH$501,"YES")</f>
        <v/>
      </c>
      <c r="H14" s="13">
        <f>IF(C14=0,"",D14/C14)</f>
        <v/>
      </c>
      <c r="I14" s="13">
        <f>IF(D14=0,"",E14/D14)</f>
        <v/>
      </c>
      <c r="J14" s="13">
        <f>IF(C14=0,"",G14/C14)</f>
        <v/>
      </c>
    </row>
    <row r="15">
      <c r="A15" s="10" t="n">
        <v>46384</v>
      </c>
      <c r="B15" s="10">
        <f>A15+6</f>
        <v/>
      </c>
      <c r="C15">
        <f>COUNTIFS(PROSPECTS!$O$2:$O$501,"&gt;="&amp;A15,PROSPECTS!$O$2:$O$501,"&lt;="&amp;B15)</f>
        <v/>
      </c>
      <c r="D15">
        <f>COUNTIFS(PROSPECTS!$O$2:$O$501,"&gt;="&amp;A15,PROSPECTS!$O$2:$O$501,"&lt;="&amp;B15,PROSPECTS!$R$2:$R$501,"&lt;&gt;")</f>
        <v/>
      </c>
      <c r="E15">
        <f>COUNTIFS(PROSPECTS!$O$2:$O$501,"&gt;="&amp;A15,PROSPECTS!$O$2:$O$501,"&lt;="&amp;B15,PROSPECTS!$T$2:$T$501,"&lt;&gt;")</f>
        <v/>
      </c>
      <c r="F15">
        <f>COUNTIFS(PROSPECTS!$O$2:$O$501,"&gt;="&amp;A15,PROSPECTS!$O$2:$O$501,"&lt;="&amp;B15,PROSPECTS!$V$2:$V$501,"&lt;&gt;")</f>
        <v/>
      </c>
      <c r="G15">
        <f>COUNTIFS(PROSPECTS!$O$2:$O$501,"&gt;="&amp;A15,PROSPECTS!$O$2:$O$501,"&lt;="&amp;B15,PROSPECTS!$AH$2:$AH$501,"YES")</f>
        <v/>
      </c>
      <c r="H15" s="13">
        <f>IF(C15=0,"",D15/C15)</f>
        <v/>
      </c>
      <c r="I15" s="13">
        <f>IF(D15=0,"",E15/D15)</f>
        <v/>
      </c>
      <c r="J15" s="13">
        <f>IF(C15=0,"",G15/C15)</f>
        <v/>
      </c>
    </row>
    <row r="16">
      <c r="A16" s="10" t="n">
        <v>46391</v>
      </c>
      <c r="B16" s="10">
        <f>A16+6</f>
        <v/>
      </c>
      <c r="C16">
        <f>COUNTIFS(PROSPECTS!$O$2:$O$501,"&gt;="&amp;A16,PROSPECTS!$O$2:$O$501,"&lt;="&amp;B16)</f>
        <v/>
      </c>
      <c r="D16">
        <f>COUNTIFS(PROSPECTS!$O$2:$O$501,"&gt;="&amp;A16,PROSPECTS!$O$2:$O$501,"&lt;="&amp;B16,PROSPECTS!$R$2:$R$501,"&lt;&gt;")</f>
        <v/>
      </c>
      <c r="E16">
        <f>COUNTIFS(PROSPECTS!$O$2:$O$501,"&gt;="&amp;A16,PROSPECTS!$O$2:$O$501,"&lt;="&amp;B16,PROSPECTS!$T$2:$T$501,"&lt;&gt;")</f>
        <v/>
      </c>
      <c r="F16">
        <f>COUNTIFS(PROSPECTS!$O$2:$O$501,"&gt;="&amp;A16,PROSPECTS!$O$2:$O$501,"&lt;="&amp;B16,PROSPECTS!$V$2:$V$501,"&lt;&gt;")</f>
        <v/>
      </c>
      <c r="G16">
        <f>COUNTIFS(PROSPECTS!$O$2:$O$501,"&gt;="&amp;A16,PROSPECTS!$O$2:$O$501,"&lt;="&amp;B16,PROSPECTS!$AH$2:$AH$501,"YES")</f>
        <v/>
      </c>
      <c r="H16" s="13">
        <f>IF(C16=0,"",D16/C16)</f>
        <v/>
      </c>
      <c r="I16" s="13">
        <f>IF(D16=0,"",E16/D16)</f>
        <v/>
      </c>
      <c r="J16" s="13">
        <f>IF(C16=0,"",G16/C16)</f>
        <v/>
      </c>
    </row>
    <row r="17">
      <c r="A17" s="10" t="n">
        <v>46398</v>
      </c>
      <c r="B17" s="10">
        <f>A17+6</f>
        <v/>
      </c>
      <c r="C17">
        <f>COUNTIFS(PROSPECTS!$O$2:$O$501,"&gt;="&amp;A17,PROSPECTS!$O$2:$O$501,"&lt;="&amp;B17)</f>
        <v/>
      </c>
      <c r="D17">
        <f>COUNTIFS(PROSPECTS!$O$2:$O$501,"&gt;="&amp;A17,PROSPECTS!$O$2:$O$501,"&lt;="&amp;B17,PROSPECTS!$R$2:$R$501,"&lt;&gt;")</f>
        <v/>
      </c>
      <c r="E17">
        <f>COUNTIFS(PROSPECTS!$O$2:$O$501,"&gt;="&amp;A17,PROSPECTS!$O$2:$O$501,"&lt;="&amp;B17,PROSPECTS!$T$2:$T$501,"&lt;&gt;")</f>
        <v/>
      </c>
      <c r="F17">
        <f>COUNTIFS(PROSPECTS!$O$2:$O$501,"&gt;="&amp;A17,PROSPECTS!$O$2:$O$501,"&lt;="&amp;B17,PROSPECTS!$V$2:$V$501,"&lt;&gt;")</f>
        <v/>
      </c>
      <c r="G17">
        <f>COUNTIFS(PROSPECTS!$O$2:$O$501,"&gt;="&amp;A17,PROSPECTS!$O$2:$O$501,"&lt;="&amp;B17,PROSPECTS!$AH$2:$AH$501,"YES")</f>
        <v/>
      </c>
      <c r="H17" s="13">
        <f>IF(C17=0,"",D17/C17)</f>
        <v/>
      </c>
      <c r="I17" s="13">
        <f>IF(D17=0,"",E17/D17)</f>
        <v/>
      </c>
      <c r="J17" s="13">
        <f>IF(C17=0,"",G17/C17)</f>
        <v/>
      </c>
    </row>
    <row r="18">
      <c r="A18" s="10" t="n">
        <v>46405</v>
      </c>
      <c r="B18" s="10">
        <f>A18+6</f>
        <v/>
      </c>
      <c r="C18">
        <f>COUNTIFS(PROSPECTS!$O$2:$O$501,"&gt;="&amp;A18,PROSPECTS!$O$2:$O$501,"&lt;="&amp;B18)</f>
        <v/>
      </c>
      <c r="D18">
        <f>COUNTIFS(PROSPECTS!$O$2:$O$501,"&gt;="&amp;A18,PROSPECTS!$O$2:$O$501,"&lt;="&amp;B18,PROSPECTS!$R$2:$R$501,"&lt;&gt;")</f>
        <v/>
      </c>
      <c r="E18">
        <f>COUNTIFS(PROSPECTS!$O$2:$O$501,"&gt;="&amp;A18,PROSPECTS!$O$2:$O$501,"&lt;="&amp;B18,PROSPECTS!$T$2:$T$501,"&lt;&gt;")</f>
        <v/>
      </c>
      <c r="F18">
        <f>COUNTIFS(PROSPECTS!$O$2:$O$501,"&gt;="&amp;A18,PROSPECTS!$O$2:$O$501,"&lt;="&amp;B18,PROSPECTS!$V$2:$V$501,"&lt;&gt;")</f>
        <v/>
      </c>
      <c r="G18">
        <f>COUNTIFS(PROSPECTS!$O$2:$O$501,"&gt;="&amp;A18,PROSPECTS!$O$2:$O$501,"&lt;="&amp;B18,PROSPECTS!$AH$2:$AH$501,"YES")</f>
        <v/>
      </c>
      <c r="H18" s="13">
        <f>IF(C18=0,"",D18/C18)</f>
        <v/>
      </c>
      <c r="I18" s="13">
        <f>IF(D18=0,"",E18/D18)</f>
        <v/>
      </c>
      <c r="J18" s="13">
        <f>IF(C18=0,"",G18/C18)</f>
        <v/>
      </c>
    </row>
    <row r="19">
      <c r="A19" s="10" t="n">
        <v>46412</v>
      </c>
      <c r="B19" s="10">
        <f>A19+6</f>
        <v/>
      </c>
      <c r="C19">
        <f>COUNTIFS(PROSPECTS!$O$2:$O$501,"&gt;="&amp;A19,PROSPECTS!$O$2:$O$501,"&lt;="&amp;B19)</f>
        <v/>
      </c>
      <c r="D19">
        <f>COUNTIFS(PROSPECTS!$O$2:$O$501,"&gt;="&amp;A19,PROSPECTS!$O$2:$O$501,"&lt;="&amp;B19,PROSPECTS!$R$2:$R$501,"&lt;&gt;")</f>
        <v/>
      </c>
      <c r="E19">
        <f>COUNTIFS(PROSPECTS!$O$2:$O$501,"&gt;="&amp;A19,PROSPECTS!$O$2:$O$501,"&lt;="&amp;B19,PROSPECTS!$T$2:$T$501,"&lt;&gt;")</f>
        <v/>
      </c>
      <c r="F19">
        <f>COUNTIFS(PROSPECTS!$O$2:$O$501,"&gt;="&amp;A19,PROSPECTS!$O$2:$O$501,"&lt;="&amp;B19,PROSPECTS!$V$2:$V$501,"&lt;&gt;")</f>
        <v/>
      </c>
      <c r="G19">
        <f>COUNTIFS(PROSPECTS!$O$2:$O$501,"&gt;="&amp;A19,PROSPECTS!$O$2:$O$501,"&lt;="&amp;B19,PROSPECTS!$AH$2:$AH$501,"YES")</f>
        <v/>
      </c>
      <c r="H19" s="13">
        <f>IF(C19=0,"",D19/C19)</f>
        <v/>
      </c>
      <c r="I19" s="13">
        <f>IF(D19=0,"",E19/D19)</f>
        <v/>
      </c>
      <c r="J19" s="13">
        <f>IF(C19=0,"",G19/C19)</f>
        <v/>
      </c>
    </row>
    <row r="20">
      <c r="A20" s="10" t="n">
        <v>46419</v>
      </c>
      <c r="B20" s="10">
        <f>A20+6</f>
        <v/>
      </c>
      <c r="C20">
        <f>COUNTIFS(PROSPECTS!$O$2:$O$501,"&gt;="&amp;A20,PROSPECTS!$O$2:$O$501,"&lt;="&amp;B20)</f>
        <v/>
      </c>
      <c r="D20">
        <f>COUNTIFS(PROSPECTS!$O$2:$O$501,"&gt;="&amp;A20,PROSPECTS!$O$2:$O$501,"&lt;="&amp;B20,PROSPECTS!$R$2:$R$501,"&lt;&gt;")</f>
        <v/>
      </c>
      <c r="E20">
        <f>COUNTIFS(PROSPECTS!$O$2:$O$501,"&gt;="&amp;A20,PROSPECTS!$O$2:$O$501,"&lt;="&amp;B20,PROSPECTS!$T$2:$T$501,"&lt;&gt;")</f>
        <v/>
      </c>
      <c r="F20">
        <f>COUNTIFS(PROSPECTS!$O$2:$O$501,"&gt;="&amp;A20,PROSPECTS!$O$2:$O$501,"&lt;="&amp;B20,PROSPECTS!$V$2:$V$501,"&lt;&gt;")</f>
        <v/>
      </c>
      <c r="G20">
        <f>COUNTIFS(PROSPECTS!$O$2:$O$501,"&gt;="&amp;A20,PROSPECTS!$O$2:$O$501,"&lt;="&amp;B20,PROSPECTS!$AH$2:$AH$501,"YES")</f>
        <v/>
      </c>
      <c r="H20" s="13">
        <f>IF(C20=0,"",D20/C20)</f>
        <v/>
      </c>
      <c r="I20" s="13">
        <f>IF(D20=0,"",E20/D20)</f>
        <v/>
      </c>
      <c r="J20" s="13">
        <f>IF(C20=0,"",G20/C20)</f>
        <v/>
      </c>
    </row>
    <row r="21">
      <c r="A21" s="10" t="n">
        <v>46426</v>
      </c>
      <c r="B21" s="10">
        <f>A21+6</f>
        <v/>
      </c>
      <c r="C21">
        <f>COUNTIFS(PROSPECTS!$O$2:$O$501,"&gt;="&amp;A21,PROSPECTS!$O$2:$O$501,"&lt;="&amp;B21)</f>
        <v/>
      </c>
      <c r="D21">
        <f>COUNTIFS(PROSPECTS!$O$2:$O$501,"&gt;="&amp;A21,PROSPECTS!$O$2:$O$501,"&lt;="&amp;B21,PROSPECTS!$R$2:$R$501,"&lt;&gt;")</f>
        <v/>
      </c>
      <c r="E21">
        <f>COUNTIFS(PROSPECTS!$O$2:$O$501,"&gt;="&amp;A21,PROSPECTS!$O$2:$O$501,"&lt;="&amp;B21,PROSPECTS!$T$2:$T$501,"&lt;&gt;")</f>
        <v/>
      </c>
      <c r="F21">
        <f>COUNTIFS(PROSPECTS!$O$2:$O$501,"&gt;="&amp;A21,PROSPECTS!$O$2:$O$501,"&lt;="&amp;B21,PROSPECTS!$V$2:$V$501,"&lt;&gt;")</f>
        <v/>
      </c>
      <c r="G21">
        <f>COUNTIFS(PROSPECTS!$O$2:$O$501,"&gt;="&amp;A21,PROSPECTS!$O$2:$O$501,"&lt;="&amp;B21,PROSPECTS!$AH$2:$AH$501,"YES")</f>
        <v/>
      </c>
      <c r="H21" s="13">
        <f>IF(C21=0,"",D21/C21)</f>
        <v/>
      </c>
      <c r="I21" s="13">
        <f>IF(D21=0,"",E21/D21)</f>
        <v/>
      </c>
      <c r="J21" s="13">
        <f>IF(C21=0,"",G21/C21)</f>
        <v/>
      </c>
    </row>
    <row r="22">
      <c r="A22" s="10" t="n">
        <v>46433</v>
      </c>
      <c r="B22" s="10">
        <f>A22+6</f>
        <v/>
      </c>
      <c r="C22">
        <f>COUNTIFS(PROSPECTS!$O$2:$O$501,"&gt;="&amp;A22,PROSPECTS!$O$2:$O$501,"&lt;="&amp;B22)</f>
        <v/>
      </c>
      <c r="D22">
        <f>COUNTIFS(PROSPECTS!$O$2:$O$501,"&gt;="&amp;A22,PROSPECTS!$O$2:$O$501,"&lt;="&amp;B22,PROSPECTS!$R$2:$R$501,"&lt;&gt;")</f>
        <v/>
      </c>
      <c r="E22">
        <f>COUNTIFS(PROSPECTS!$O$2:$O$501,"&gt;="&amp;A22,PROSPECTS!$O$2:$O$501,"&lt;="&amp;B22,PROSPECTS!$T$2:$T$501,"&lt;&gt;")</f>
        <v/>
      </c>
      <c r="F22">
        <f>COUNTIFS(PROSPECTS!$O$2:$O$501,"&gt;="&amp;A22,PROSPECTS!$O$2:$O$501,"&lt;="&amp;B22,PROSPECTS!$V$2:$V$501,"&lt;&gt;")</f>
        <v/>
      </c>
      <c r="G22">
        <f>COUNTIFS(PROSPECTS!$O$2:$O$501,"&gt;="&amp;A22,PROSPECTS!$O$2:$O$501,"&lt;="&amp;B22,PROSPECTS!$AH$2:$AH$501,"YES")</f>
        <v/>
      </c>
      <c r="H22" s="13">
        <f>IF(C22=0,"",D22/C22)</f>
        <v/>
      </c>
      <c r="I22" s="13">
        <f>IF(D22=0,"",E22/D22)</f>
        <v/>
      </c>
      <c r="J22" s="13">
        <f>IF(C22=0,"",G22/C22)</f>
        <v/>
      </c>
    </row>
    <row r="23">
      <c r="A23" s="10" t="n">
        <v>46440</v>
      </c>
      <c r="B23" s="10">
        <f>A23+6</f>
        <v/>
      </c>
      <c r="C23">
        <f>COUNTIFS(PROSPECTS!$O$2:$O$501,"&gt;="&amp;A23,PROSPECTS!$O$2:$O$501,"&lt;="&amp;B23)</f>
        <v/>
      </c>
      <c r="D23">
        <f>COUNTIFS(PROSPECTS!$O$2:$O$501,"&gt;="&amp;A23,PROSPECTS!$O$2:$O$501,"&lt;="&amp;B23,PROSPECTS!$R$2:$R$501,"&lt;&gt;")</f>
        <v/>
      </c>
      <c r="E23">
        <f>COUNTIFS(PROSPECTS!$O$2:$O$501,"&gt;="&amp;A23,PROSPECTS!$O$2:$O$501,"&lt;="&amp;B23,PROSPECTS!$T$2:$T$501,"&lt;&gt;")</f>
        <v/>
      </c>
      <c r="F23">
        <f>COUNTIFS(PROSPECTS!$O$2:$O$501,"&gt;="&amp;A23,PROSPECTS!$O$2:$O$501,"&lt;="&amp;B23,PROSPECTS!$V$2:$V$501,"&lt;&gt;")</f>
        <v/>
      </c>
      <c r="G23">
        <f>COUNTIFS(PROSPECTS!$O$2:$O$501,"&gt;="&amp;A23,PROSPECTS!$O$2:$O$501,"&lt;="&amp;B23,PROSPECTS!$AH$2:$AH$501,"YES")</f>
        <v/>
      </c>
      <c r="H23" s="13">
        <f>IF(C23=0,"",D23/C23)</f>
        <v/>
      </c>
      <c r="I23" s="13">
        <f>IF(D23=0,"",E23/D23)</f>
        <v/>
      </c>
      <c r="J23" s="13">
        <f>IF(C23=0,"",G23/C23)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  <col width="10" customWidth="1" min="4" max="4"/>
    <col width="22" customWidth="1" min="5" max="5"/>
    <col width="20" customWidth="1" min="6" max="6"/>
    <col width="14" customWidth="1" min="7" max="7"/>
    <col width="30" customWidth="1" min="8" max="8"/>
  </cols>
  <sheetData>
    <row r="1">
      <c r="A1" s="3" t="inlineStr">
        <is>
          <t>Launch gates (red-team verdict: AMBER). Close Critical gates before the campaign that needs them.</t>
        </is>
      </c>
    </row>
    <row r="3">
      <c r="A3" s="4" t="inlineStr">
        <is>
          <t>ID</t>
        </is>
      </c>
      <c r="B3" s="4" t="inlineStr">
        <is>
          <t>Gate</t>
        </is>
      </c>
      <c r="C3" s="4" t="inlineStr">
        <is>
          <t>Why it blocks</t>
        </is>
      </c>
      <c r="D3" s="4" t="inlineStr">
        <is>
          <t>Severity</t>
        </is>
      </c>
      <c r="E3" s="4" t="inlineStr">
        <is>
          <t>Needed before</t>
        </is>
      </c>
      <c r="F3" s="4" t="inlineStr">
        <is>
          <t>Owner</t>
        </is>
      </c>
      <c r="G3" s="4" t="inlineStr">
        <is>
          <t>Status</t>
        </is>
      </c>
      <c r="H3" s="4" t="inlineStr">
        <is>
          <t>Evidence of closure (link/date)</t>
        </is>
      </c>
    </row>
    <row r="4">
      <c r="A4" s="11" t="inlineStr">
        <is>
          <t>G1</t>
        </is>
      </c>
      <c r="B4" s="11" t="inlineStr">
        <is>
          <t>FP-OUT: founder-approved founding-programme wording for 1:1 use (short and long)</t>
        </is>
      </c>
      <c r="C4" s="11" t="inlineStr">
        <is>
          <t>Every outreach message contains it; default is weak</t>
        </is>
      </c>
      <c r="D4" s="11" t="inlineStr">
        <is>
          <t>Critical</t>
        </is>
      </c>
      <c r="E4" s="11" t="inlineStr">
        <is>
          <t>W0</t>
        </is>
      </c>
      <c r="F4" s="11" t="inlineStr">
        <is>
          <t>Founder</t>
        </is>
      </c>
      <c r="G4" s="15" t="inlineStr">
        <is>
          <t>Open</t>
        </is>
      </c>
      <c r="H4" s="11" t="n"/>
    </row>
    <row r="5">
      <c r="A5" s="11" t="inlineStr">
        <is>
          <t>G2</t>
        </is>
      </c>
      <c r="B5" s="11" t="inlineStr">
        <is>
          <t>Seller journey works end to end in production (registration with ₹1 + GST, KYC, store approval, profile, listing, payout details) — proven by W-1 journey test</t>
        </is>
      </c>
      <c r="C5" s="11" t="inlineStr">
        <is>
          <t>Recruiting into a broken journey burns prospects and trust</t>
        </is>
      </c>
      <c r="D5" s="11" t="inlineStr">
        <is>
          <t>Critical</t>
        </is>
      </c>
      <c r="E5" s="11" t="inlineStr">
        <is>
          <t>W0</t>
        </is>
      </c>
      <c r="F5" s="11" t="inlineStr">
        <is>
          <t>Founder + Engineering</t>
        </is>
      </c>
      <c r="G5" s="15" t="inlineStr">
        <is>
          <t>Open</t>
        </is>
      </c>
      <c r="H5" s="11" t="n"/>
    </row>
    <row r="6">
      <c r="A6" s="11" t="inlineStr">
        <is>
          <t>G3</t>
        </is>
      </c>
      <c r="B6" s="11" t="inlineStr">
        <is>
          <t>Interim information note approved; what terms a seller accepts at registration today is known and acceptable (Seller Policy v1.4 not yet approved)</t>
        </is>
      </c>
      <c r="C6" s="11" t="inlineStr">
        <is>
          <t>Professionals ask "send details"; registration may imply acceptance of terms</t>
        </is>
      </c>
      <c r="D6" s="11" t="inlineStr">
        <is>
          <t>Critical</t>
        </is>
      </c>
      <c r="E6" s="11" t="inlineStr">
        <is>
          <t>W0</t>
        </is>
      </c>
      <c r="F6" s="11" t="inlineStr">
        <is>
          <t>Founder + Legal</t>
        </is>
      </c>
      <c r="G6" s="15" t="inlineStr">
        <is>
          <t>Open</t>
        </is>
      </c>
      <c r="H6" s="11" t="n"/>
    </row>
    <row r="7">
      <c r="A7" s="11" t="inlineStr">
        <is>
          <t>G4</t>
        </is>
      </c>
      <c r="B7" s="11" t="inlineStr">
        <is>
          <t>Policy for sellers without a verified GSTIN (orders blocked in current code)</t>
        </is>
      </c>
      <c r="C7" s="11" t="inlineStr">
        <is>
          <t>Independents may activate but be unable to receive orders</t>
        </is>
      </c>
      <c r="D7" s="11" t="inlineStr">
        <is>
          <t>Critical</t>
        </is>
      </c>
      <c r="E7" s="11" t="inlineStr">
        <is>
          <t>W0 (for service/independent segments); W1 overall</t>
        </is>
      </c>
      <c r="F7" s="11" t="inlineStr">
        <is>
          <t>Founder + CA</t>
        </is>
      </c>
      <c r="G7" s="15" t="inlineStr">
        <is>
          <t>Open</t>
        </is>
      </c>
      <c r="H7" s="11" t="n"/>
    </row>
    <row r="8">
      <c r="A8" s="11" t="inlineStr">
        <is>
          <t>G5</t>
        </is>
      </c>
      <c r="B8" s="11" t="inlineStr">
        <is>
          <t>U-1: can free sellers withdraw earnings? (withdraw premium in code)</t>
        </is>
      </c>
      <c r="C8" s="11" t="inlineStr">
        <is>
          <t>Contradicts free core; payout set-up and trust</t>
        </is>
      </c>
      <c r="D8" s="11" t="inlineStr">
        <is>
          <t>Critical</t>
        </is>
      </c>
      <c r="E8" s="11" t="inlineStr">
        <is>
          <t>W1</t>
        </is>
      </c>
      <c r="F8" s="11" t="inlineStr">
        <is>
          <t>Founder</t>
        </is>
      </c>
      <c r="G8" s="15" t="inlineStr">
        <is>
          <t>Open</t>
        </is>
      </c>
      <c r="H8" s="11" t="n"/>
    </row>
    <row r="9">
      <c r="A9" s="11" t="inlineStr">
        <is>
          <t>G6</t>
        </is>
      </c>
      <c r="B9" s="11" t="inlineStr">
        <is>
          <t>Remove sign-up redirect to Refer &amp; Earn (referral launch deferred, E4)</t>
        </is>
      </c>
      <c r="C9" s="11" t="inlineStr">
        <is>
          <t>Implies rewards that do not exist</t>
        </is>
      </c>
      <c r="D9" s="11" t="inlineStr">
        <is>
          <t>Critical</t>
        </is>
      </c>
      <c r="E9" s="11" t="inlineStr">
        <is>
          <t>W-1</t>
        </is>
      </c>
      <c r="F9" s="11" t="inlineStr">
        <is>
          <t>Engineering</t>
        </is>
      </c>
      <c r="G9" s="15" t="inlineStr">
        <is>
          <t>Open</t>
        </is>
      </c>
      <c r="H9" s="11" t="n"/>
    </row>
    <row r="10">
      <c r="A10" s="11" t="inlineStr">
        <is>
          <t>G7</t>
        </is>
      </c>
      <c r="B10" s="11" t="inlineStr">
        <is>
          <t>Credibility surface: one approved page or link a professional can check (founder name, what Uepaki is, stage) + professional sender identity (domain email, Uepaki Instagram with real content)</t>
        </is>
      </c>
      <c r="C10" s="11" t="inlineStr">
        <is>
          <t>An unverifiable sender reads as spam; "send me the website" has no answer (LP-1 blocked)</t>
        </is>
      </c>
      <c r="D10" s="11" t="inlineStr">
        <is>
          <t>Critical</t>
        </is>
      </c>
      <c r="E10" s="11" t="inlineStr">
        <is>
          <t>W0</t>
        </is>
      </c>
      <c r="F10" s="11" t="inlineStr">
        <is>
          <t>Founder</t>
        </is>
      </c>
      <c r="G10" s="15" t="inlineStr">
        <is>
          <t>Open</t>
        </is>
      </c>
      <c r="H10" s="11" t="n"/>
    </row>
    <row r="11">
      <c r="A11" s="11" t="inlineStr">
        <is>
          <t>G8</t>
        </is>
      </c>
      <c r="B11" s="11" t="inlineStr">
        <is>
          <t>Q-LEGAL-OUT: lawyer view on 1:1 outreach to published business routes, consent capture, WhatsApp opt-in flow (DPDP Act)</t>
        </is>
      </c>
      <c r="C11" s="11" t="inlineStr">
        <is>
          <t>Compliance boundary</t>
        </is>
      </c>
      <c r="D11" s="11" t="inlineStr">
        <is>
          <t>High</t>
        </is>
      </c>
      <c r="E11" s="11" t="inlineStr">
        <is>
          <t>W1 (W0 limited to own-site email and professional IG)</t>
        </is>
      </c>
      <c r="F11" s="11" t="inlineStr">
        <is>
          <t>Legal</t>
        </is>
      </c>
      <c r="G11" s="15" t="inlineStr">
        <is>
          <t>Open</t>
        </is>
      </c>
      <c r="H11" s="11" t="n"/>
    </row>
    <row r="12">
      <c r="A12" s="11" t="inlineStr">
        <is>
          <t>G9</t>
        </is>
      </c>
      <c r="B12" s="11" t="inlineStr">
        <is>
          <t>Legacy dormant accounts (registered 3–5 years ago, none active — founder, 9 Oct): (a) exclude from all "who has joined" counts; (b) confirm they do not take founding seats (adopt activation-based FP-QUAL); (c) decide whether dormant profiles are hidden from customers at launch; (d) terms-migration notice (legal)</t>
        </is>
      </c>
      <c r="C12" s="11" t="inlineStr">
        <is>
          <t>Dormant profiles visible at launch look like an abandoned marketplace; legacy sign-ups could consume founding seats</t>
        </is>
      </c>
      <c r="D12" s="11" t="inlineStr">
        <is>
          <t>High</t>
        </is>
      </c>
      <c r="E12" s="11" t="inlineStr">
        <is>
          <t>W0 (a, b); launch (c, d)</t>
        </is>
      </c>
      <c r="F12" s="11" t="inlineStr">
        <is>
          <t>Founder + Engineering + Legal</t>
        </is>
      </c>
      <c r="G12" s="15" t="inlineStr">
        <is>
          <t>Open</t>
        </is>
      </c>
      <c r="H12" s="11" t="n"/>
    </row>
    <row r="13">
      <c r="A13" s="11" t="inlineStr">
        <is>
          <t>G10</t>
        </is>
      </c>
      <c r="B13" s="11" t="inlineStr">
        <is>
          <t>FP-QUAL qualifying rule for founding seats</t>
        </is>
      </c>
      <c r="C13" s="11" t="inlineStr">
        <is>
          <t>Seats may go to non-activated sign-ups</t>
        </is>
      </c>
      <c r="D13" s="11" t="inlineStr">
        <is>
          <t>High</t>
        </is>
      </c>
      <c r="E13" s="11" t="inlineStr">
        <is>
          <t>W1</t>
        </is>
      </c>
      <c r="F13" s="11" t="inlineStr">
        <is>
          <t>Founder</t>
        </is>
      </c>
      <c r="G13" s="15" t="inlineStr">
        <is>
          <t>Open</t>
        </is>
      </c>
      <c r="H13" s="11" t="n"/>
    </row>
    <row r="14">
      <c r="A14" s="11" t="inlineStr">
        <is>
          <t>G11</t>
        </is>
      </c>
      <c r="B14" s="11" t="inlineStr">
        <is>
          <t>EV-09: which service/booking features are on at launch; U-5 (are intracity bookings premium?)</t>
        </is>
      </c>
      <c r="C14" s="11" t="inlineStr">
        <is>
          <t>Service professionals (40% of Golden 300 v2) need an honest answer</t>
        </is>
      </c>
      <c r="D14" s="11" t="inlineStr">
        <is>
          <t>High</t>
        </is>
      </c>
      <c r="E14" s="11" t="inlineStr">
        <is>
          <t>W1 for service segments</t>
        </is>
      </c>
      <c r="F14" s="11" t="inlineStr">
        <is>
          <t>Engineering + Founder</t>
        </is>
      </c>
      <c r="G14" s="15" t="inlineStr">
        <is>
          <t>Open</t>
        </is>
      </c>
      <c r="H14" s="11" t="n"/>
    </row>
    <row r="15">
      <c r="A15" s="11" t="inlineStr">
        <is>
          <t>G12</t>
        </is>
      </c>
      <c r="B15" s="11" t="inlineStr">
        <is>
          <t>NAME-CONSENT field + Verified Professional Register</t>
        </is>
      </c>
      <c r="C15" s="11" t="inlineStr">
        <is>
          <t>"Who has joined?" must be answerable truthfully</t>
        </is>
      </c>
      <c r="D15" s="11" t="inlineStr">
        <is>
          <t>Medium</t>
        </is>
      </c>
      <c r="E15" s="11" t="inlineStr">
        <is>
          <t>W1</t>
        </is>
      </c>
      <c r="F15" s="11" t="inlineStr">
        <is>
          <t>Operations</t>
        </is>
      </c>
      <c r="G15" s="15" t="inlineStr">
        <is>
          <t>Open</t>
        </is>
      </c>
      <c r="H15" s="11" t="n"/>
    </row>
    <row r="16">
      <c r="A16" s="11" t="inlineStr">
        <is>
          <t>G13</t>
        </is>
      </c>
      <c r="B16" s="11" t="inlineStr">
        <is>
          <t>Email deliverability set-up (SPF, DKIM, DMARC on the sending domain)</t>
        </is>
      </c>
      <c r="C16" s="11" t="inlineStr">
        <is>
          <t>Cold 1:1 email from an unauthenticated domain lands in spam</t>
        </is>
      </c>
      <c r="D16" s="11" t="inlineStr">
        <is>
          <t>Medium</t>
        </is>
      </c>
      <c r="E16" s="11" t="inlineStr">
        <is>
          <t>W0</t>
        </is>
      </c>
      <c r="F16" s="11" t="inlineStr">
        <is>
          <t>Founder / IT</t>
        </is>
      </c>
      <c r="G16" s="15" t="inlineStr">
        <is>
          <t>Open</t>
        </is>
      </c>
      <c r="H16" s="11" t="n"/>
    </row>
    <row r="17">
      <c r="A17" s="11" t="inlineStr">
        <is>
          <t>G14</t>
        </is>
      </c>
      <c r="B17" s="11" t="inlineStr">
        <is>
          <t>Decide whether the exact policy sentence on paid placement may be used proactively in outreach (B1-OUT) — currently reply-only</t>
        </is>
      </c>
      <c r="C17" s="11" t="inlineStr">
        <is>
          <t>Strongest truthful differentiator; public wording blocked (B4/EV-08)</t>
        </is>
      </c>
      <c r="D17" s="11" t="inlineStr">
        <is>
          <t>Medium</t>
        </is>
      </c>
      <c r="E17" s="11" t="inlineStr">
        <is>
          <t>W1 (optional)</t>
        </is>
      </c>
      <c r="F17" s="11" t="inlineStr">
        <is>
          <t>Founder</t>
        </is>
      </c>
      <c r="G17" s="15" t="inlineStr">
        <is>
          <t>Open</t>
        </is>
      </c>
      <c r="H17" s="11" t="n"/>
    </row>
    <row r="19">
      <c r="A19" s="14" t="inlineStr">
        <is>
          <t>Open Critical gates</t>
        </is>
      </c>
      <c r="C19">
        <f>COUNTIFS(D4:D17,"Critical",G4:G17,"&lt;&gt;Closed")</f>
        <v/>
      </c>
    </row>
    <row r="20">
      <c r="A20" s="14" t="inlineStr">
        <is>
          <t>Verdict</t>
        </is>
      </c>
      <c r="C20">
        <f>IF(C19=0,IF(COUNTIFS(D4:D17,"High",G4:G17,"&lt;&gt;Closed")=0,"GREEN — ready for controlled execution","GREEN for W0 only — close High gates before W1"),"AMBER — do not start cold outreach (W0). W-1 journey test may proceed once G6 is closed")</f>
        <v/>
      </c>
    </row>
  </sheetData>
  <conditionalFormatting sqref="G4:G17">
    <cfRule type="expression" priority="1" dxfId="1">
      <formula>G4="Closed"</formula>
    </cfRule>
  </conditionalFormatting>
  <dataValidations count="1">
    <dataValidation sqref="G4:G17" showDropDown="0" showInputMessage="0" showErrorMessage="0" allowBlank="1" type="list">
      <formula1>LISTS!$F$2:$F$5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  <col width="42" customWidth="1" min="9" max="9"/>
    <col width="16" customWidth="1" min="10" max="10"/>
  </cols>
  <sheetData>
    <row r="1">
      <c r="A1" s="3" t="inlineStr">
        <is>
          <t>Spend log — every rupee is classified. NOT ALLOWED lines must be zero.</t>
        </is>
      </c>
    </row>
    <row r="3">
      <c r="A3" s="4" t="inlineStr">
        <is>
          <t>Date</t>
        </is>
      </c>
      <c r="B3" s="4" t="inlineStr">
        <is>
          <t>Item</t>
        </is>
      </c>
      <c r="C3" s="4" t="inlineStr">
        <is>
          <t>Class</t>
        </is>
      </c>
      <c r="D3" s="4" t="inlineStr">
        <is>
          <t>Amount (₹)</t>
        </is>
      </c>
      <c r="E3" s="4" t="inlineStr">
        <is>
          <t>Campaign</t>
        </is>
      </c>
      <c r="F3" s="4" t="inlineStr">
        <is>
          <t>Approved by</t>
        </is>
      </c>
      <c r="G3" s="4" t="inlineStr">
        <is>
          <t>Note</t>
        </is>
      </c>
      <c r="I3" s="14" t="inlineStr">
        <is>
          <t>Summary</t>
        </is>
      </c>
    </row>
    <row r="4">
      <c r="A4" s="10" t="n"/>
      <c r="I4" t="inlineStr">
        <is>
          <t>Tier 0 — time only</t>
        </is>
      </c>
      <c r="J4">
        <f>SUMIF(C4:C203,I4,D4:D203)</f>
        <v/>
      </c>
    </row>
    <row r="5">
      <c r="A5" s="10" t="n"/>
      <c r="I5" t="inlineStr">
        <is>
          <t>Tier 1 — small, enabling</t>
        </is>
      </c>
      <c r="J5">
        <f>SUMIF(C4:C203,I5,D4:D203)</f>
        <v/>
      </c>
    </row>
    <row r="6">
      <c r="A6" s="10" t="n"/>
      <c r="I6" t="inlineStr">
        <is>
          <t>Tier 2 — only after proof</t>
        </is>
      </c>
      <c r="J6">
        <f>SUMIF(C4:C203,I6,D4:D203)</f>
        <v/>
      </c>
    </row>
    <row r="7">
      <c r="A7" s="10" t="n"/>
      <c r="I7" t="inlineStr">
        <is>
          <t>NOT ALLOWED (see playbook §9)</t>
        </is>
      </c>
      <c r="J7">
        <f>SUMIF(C4:C203,I7,D4:D203)</f>
        <v/>
      </c>
    </row>
    <row r="8">
      <c r="A8" s="10" t="n"/>
    </row>
    <row r="9">
      <c r="A9" s="10" t="n"/>
      <c r="I9" t="inlineStr">
        <is>
          <t>Total spend</t>
        </is>
      </c>
      <c r="J9">
        <f>SUM(D4:D203)</f>
        <v/>
      </c>
    </row>
    <row r="10">
      <c r="A10" s="10" t="n"/>
      <c r="I10" t="inlineStr">
        <is>
          <t>Activated professionals</t>
        </is>
      </c>
      <c r="J10">
        <f>KPI_FUNNEL!B14</f>
        <v/>
      </c>
    </row>
    <row r="11">
      <c r="A11" s="10" t="n"/>
      <c r="I11" t="inlineStr">
        <is>
          <t>Cash cost per activated (excl. team time)</t>
        </is>
      </c>
      <c r="J11">
        <f>IF(J10=0,"",J9/J10)</f>
        <v/>
      </c>
    </row>
    <row r="12">
      <c r="A12" s="10" t="n"/>
      <c r="I12" t="inlineStr">
        <is>
          <t>NOT ALLOWED spend (must be 0)</t>
        </is>
      </c>
      <c r="J12">
        <f>J7</f>
        <v/>
      </c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</sheetData>
  <conditionalFormatting sqref="J12">
    <cfRule type="expression" priority="1" dxfId="0">
      <formula>J12&gt;0</formula>
    </cfRule>
  </conditionalFormatting>
  <dataValidations count="2">
    <dataValidation sqref="C4:C203" showDropDown="0" showInputMessage="0" showErrorMessage="0" allowBlank="1" type="list">
      <formula1>LISTS!$G$2:$G$5</formula1>
    </dataValidation>
    <dataValidation sqref="E4:E203" showDropDown="0" showInputMessage="0" showErrorMessage="0" allowBlank="1" type="list">
      <formula1>LISTS!$A$2:$A$10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4" t="inlineStr">
        <is>
          <t>Campaign</t>
        </is>
      </c>
      <c r="B1" s="14" t="inlineStr">
        <is>
          <t>Channel</t>
        </is>
      </c>
      <c r="C1" s="14" t="inlineStr">
        <is>
          <t>Response type</t>
        </is>
      </c>
      <c r="D1" s="14" t="inlineStr">
        <is>
          <t>Y/N</t>
        </is>
      </c>
      <c r="E1" s="14" t="inlineStr">
        <is>
          <t>GSTIN status</t>
        </is>
      </c>
      <c r="F1" s="14" t="inlineStr">
        <is>
          <t>Gate status</t>
        </is>
      </c>
      <c r="G1" s="14" t="inlineStr">
        <is>
          <t>Budget class</t>
        </is>
      </c>
      <c r="H1" s="14" t="inlineStr">
        <is>
          <t>Category</t>
        </is>
      </c>
      <c r="I1" s="14" t="inlineStr">
        <is>
          <t>Owner</t>
        </is>
      </c>
    </row>
    <row r="2">
      <c r="A2" t="inlineStr">
        <is>
          <t>W-1 Journey test (friendly)</t>
        </is>
      </c>
      <c r="B2" t="inlineStr">
        <is>
          <t>Email (1:1)</t>
        </is>
      </c>
      <c r="C2" t="inlineStr">
        <is>
          <t>Positive — interested</t>
        </is>
      </c>
      <c r="D2" t="inlineStr">
        <is>
          <t>Y</t>
        </is>
      </c>
      <c r="E2" t="inlineStr">
        <is>
          <t>Active (verified)</t>
        </is>
      </c>
      <c r="F2" t="inlineStr">
        <is>
          <t>Open</t>
        </is>
      </c>
      <c r="G2" t="inlineStr">
        <is>
          <t>Tier 0 — time only</t>
        </is>
      </c>
      <c r="H2" t="inlineStr">
        <is>
          <t>Fashion &amp; Lifestyle</t>
        </is>
      </c>
      <c r="I2" t="inlineStr">
        <is>
          <t>Founder</t>
        </is>
      </c>
    </row>
    <row r="3">
      <c r="A3" t="inlineStr">
        <is>
          <t>X Legacy accounts (dormant)</t>
        </is>
      </c>
      <c r="B3" t="inlineStr">
        <is>
          <t>Instagram DM (1:1)</t>
        </is>
      </c>
      <c r="C3" t="inlineStr">
        <is>
          <t>Question / neutral</t>
        </is>
      </c>
      <c r="D3" t="inlineStr">
        <is>
          <t>N</t>
        </is>
      </c>
      <c r="E3" t="inlineStr">
        <is>
          <t>Not registered</t>
        </is>
      </c>
      <c r="F3" t="inlineStr">
        <is>
          <t>In progress</t>
        </is>
      </c>
      <c r="G3" t="inlineStr">
        <is>
          <t>Tier 1 — small, enabling</t>
        </is>
      </c>
      <c r="H3" t="inlineStr">
        <is>
          <t>Space &amp; Design</t>
        </is>
      </c>
      <c r="I3" t="inlineStr">
        <is>
          <t>Outreach lead</t>
        </is>
      </c>
    </row>
    <row r="4">
      <c r="A4" t="inlineStr">
        <is>
          <t>W0 Pilot</t>
        </is>
      </c>
      <c r="B4" t="inlineStr">
        <is>
          <t>LinkedIn (1:1)</t>
        </is>
      </c>
      <c r="C4" t="inlineStr">
        <is>
          <t>Not now — later</t>
        </is>
      </c>
      <c r="E4" t="inlineStr">
        <is>
          <t>Applied / pending</t>
        </is>
      </c>
      <c r="F4" t="inlineStr">
        <is>
          <t>Closed</t>
        </is>
      </c>
      <c r="G4" t="inlineStr">
        <is>
          <t>Tier 2 — only after proof</t>
        </is>
      </c>
      <c r="H4" t="inlineStr">
        <is>
          <t>Digital &amp; Visual Arts</t>
        </is>
      </c>
      <c r="I4" t="inlineStr">
        <is>
          <t>Onboarding lead</t>
        </is>
      </c>
    </row>
    <row r="5">
      <c r="A5" t="inlineStr">
        <is>
          <t>W1 Founding cohort</t>
        </is>
      </c>
      <c r="B5" t="inlineStr">
        <is>
          <t>Website form (1:1)</t>
        </is>
      </c>
      <c r="C5" t="inlineStr">
        <is>
          <t>Not interested</t>
        </is>
      </c>
      <c r="E5" t="inlineStr">
        <is>
          <t>Unknown</t>
        </is>
      </c>
      <c r="F5" t="inlineStr">
        <is>
          <t>Not applicable</t>
        </is>
      </c>
      <c r="G5" t="inlineStr">
        <is>
          <t>NOT ALLOWED (see playbook §9)</t>
        </is>
      </c>
      <c r="H5" t="inlineStr">
        <is>
          <t>Beauty &amp; Makeup</t>
        </is>
      </c>
      <c r="I5" t="inlineStr">
        <is>
          <t>Engineering</t>
        </is>
      </c>
    </row>
    <row r="6">
      <c r="A6" t="inlineStr">
        <is>
          <t>W2 Expansion</t>
        </is>
      </c>
      <c r="B6" t="inlineStr">
        <is>
          <t>WhatsApp (invited by professional)</t>
        </is>
      </c>
      <c r="C6" t="inlineStr">
        <is>
          <t>Opt-out / do not contact</t>
        </is>
      </c>
      <c r="H6" t="inlineStr">
        <is>
          <t>Lens &amp; Motion</t>
        </is>
      </c>
      <c r="I6" t="inlineStr">
        <is>
          <t>Legal</t>
        </is>
      </c>
    </row>
    <row r="7">
      <c r="A7" t="inlineStr">
        <is>
          <t>W3 Reserve &amp; enrichment</t>
        </is>
      </c>
      <c r="B7" t="inlineStr">
        <is>
          <t>In person / call (warm)</t>
        </is>
      </c>
      <c r="C7" t="inlineStr">
        <is>
          <t>Bounced / undeliverable</t>
        </is>
      </c>
      <c r="H7" t="inlineStr">
        <is>
          <t>Content &amp; Media</t>
        </is>
      </c>
      <c r="I7" t="inlineStr">
        <is>
          <t>CA / Finance</t>
        </is>
      </c>
    </row>
    <row r="8">
      <c r="A8" t="inlineStr">
        <is>
          <t>W4 Launch window</t>
        </is>
      </c>
      <c r="B8" t="inlineStr">
        <is>
          <t>Existing relationship (account)</t>
        </is>
      </c>
    </row>
    <row r="9">
      <c r="A9" t="inlineStr">
        <is>
          <t>Inbound</t>
        </is>
      </c>
    </row>
    <row r="10">
      <c r="A10" t="inlineStr">
        <is>
          <t>Peer introduction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2026-10-09T05:14:58Z</dcterms:created>
  <dcterms:modified xmlns:dcterms="http://purl.org/dc/terms/" xmlns:xsi="http://www.w3.org/2001/XMLSchema-instance" xsi:type="dcterms:W3CDTF">2026-10-09T05:14:58Z</dcterms:modified>
</cp:coreProperties>
</file>